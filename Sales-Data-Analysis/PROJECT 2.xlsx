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tables/table8.xml" ContentType="application/vnd.openxmlformats-officedocument.spreadsheetml.table+xml"/>
  <Override PartName="/xl/queryTables/queryTable2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EC77976-E7E2-495E-822D-02FACAF09309}" xr6:coauthVersionLast="47" xr6:coauthVersionMax="47" xr10:uidLastSave="{00000000-0000-0000-0000-000000000000}"/>
  <bookViews>
    <workbookView xWindow="-120" yWindow="-120" windowWidth="38640" windowHeight="21120" firstSheet="1" activeTab="7" xr2:uid="{00000000-000D-0000-FFFF-FFFF00000000}"/>
  </bookViews>
  <sheets>
    <sheet name="DIM_MATERIAL" sheetId="1" r:id="rId1"/>
    <sheet name="DIM_SOURCE" sheetId="2" r:id="rId2"/>
    <sheet name="DIM_CLIENT" sheetId="5" r:id="rId3"/>
    <sheet name="DIM_COST_TYPE" sheetId="18" r:id="rId4"/>
    <sheet name="FACT_SHIPMENT" sheetId="4" r:id="rId5"/>
    <sheet name="FACT_OPERATIONAL_COST" sheetId="11" r:id="rId6"/>
    <sheet name="FACT_PRODUCTION" sheetId="12" r:id="rId7"/>
    <sheet name="FACT_COLLECTION" sheetId="17" r:id="rId8"/>
    <sheet name="RAW_DATA_COL" sheetId="3" r:id="rId9"/>
    <sheet name="RW_DT_PRODUCTION" sheetId="9" r:id="rId10"/>
  </sheets>
  <definedNames>
    <definedName name="ExternalData_1" localSheetId="6" hidden="1">FACT_PRODUCTION!$A$1:$G$3102</definedName>
    <definedName name="ExternalData_2" localSheetId="7" hidden="1">FACT_COLLECTION!$A$1:$F$658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DIM_MATERIAL_b5050972-527d-4b45-8574-e2932f6f1032" name="DIM_MATERIAL" connection="Query - DIM_MATERIAL"/>
          <x15:modelTable id="RAW_DATA_COL  2_4a1b8034-de2f-4d49-9c3a-694d5d9bf284" name="RAW_DATA_COL  2" connection="Query - RAW_DATA_COL (2)2"/>
          <x15:modelTable id="RAW_DATA_COL_e31f3bce-15c8-4c9e-8569-68f448914274" name="RAW_DATA_COL" connection="Query - RAW_DATA_CO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" i="1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D1915" i="9"/>
  <c r="D1916" i="9"/>
  <c r="D1917" i="9"/>
  <c r="D1918" i="9"/>
  <c r="D1919" i="9"/>
  <c r="D1920" i="9"/>
  <c r="D1921" i="9"/>
  <c r="D1922" i="9"/>
  <c r="D1923" i="9"/>
  <c r="D1924" i="9"/>
  <c r="D1925" i="9"/>
  <c r="D1926" i="9"/>
  <c r="D1927" i="9"/>
  <c r="D1928" i="9"/>
  <c r="D1929" i="9"/>
  <c r="D1930" i="9"/>
  <c r="D1931" i="9"/>
  <c r="D1932" i="9"/>
  <c r="D1933" i="9"/>
  <c r="D1934" i="9"/>
  <c r="D1935" i="9"/>
  <c r="D1936" i="9"/>
  <c r="D1937" i="9"/>
  <c r="D1938" i="9"/>
  <c r="D1939" i="9"/>
  <c r="D1940" i="9"/>
  <c r="D1941" i="9"/>
  <c r="D1942" i="9"/>
  <c r="D1943" i="9"/>
  <c r="D1944" i="9"/>
  <c r="D1945" i="9"/>
  <c r="D1946" i="9"/>
  <c r="D1947" i="9"/>
  <c r="D1948" i="9"/>
  <c r="D1949" i="9"/>
  <c r="D1950" i="9"/>
  <c r="D1951" i="9"/>
  <c r="D1952" i="9"/>
  <c r="D1953" i="9"/>
  <c r="D1954" i="9"/>
  <c r="D1955" i="9"/>
  <c r="D1956" i="9"/>
  <c r="D1957" i="9"/>
  <c r="D1958" i="9"/>
  <c r="D1959" i="9"/>
  <c r="D1960" i="9"/>
  <c r="D1961" i="9"/>
  <c r="D1962" i="9"/>
  <c r="D1963" i="9"/>
  <c r="D1964" i="9"/>
  <c r="D1965" i="9"/>
  <c r="D1966" i="9"/>
  <c r="D1967" i="9"/>
  <c r="D1968" i="9"/>
  <c r="D1969" i="9"/>
  <c r="D1970" i="9"/>
  <c r="D1971" i="9"/>
  <c r="D1972" i="9"/>
  <c r="D1973" i="9"/>
  <c r="D1974" i="9"/>
  <c r="D1975" i="9"/>
  <c r="D1976" i="9"/>
  <c r="D1977" i="9"/>
  <c r="D1978" i="9"/>
  <c r="D1979" i="9"/>
  <c r="D1980" i="9"/>
  <c r="D1981" i="9"/>
  <c r="D1982" i="9"/>
  <c r="D1983" i="9"/>
  <c r="D1984" i="9"/>
  <c r="D1985" i="9"/>
  <c r="D1986" i="9"/>
  <c r="D1987" i="9"/>
  <c r="D1988" i="9"/>
  <c r="D1989" i="9"/>
  <c r="D1990" i="9"/>
  <c r="D1991" i="9"/>
  <c r="D1992" i="9"/>
  <c r="D1993" i="9"/>
  <c r="D1994" i="9"/>
  <c r="D1995" i="9"/>
  <c r="D1996" i="9"/>
  <c r="D1997" i="9"/>
  <c r="D1998" i="9"/>
  <c r="D1999" i="9"/>
  <c r="D2000" i="9"/>
  <c r="D2001" i="9"/>
  <c r="D2002" i="9"/>
  <c r="D2003" i="9"/>
  <c r="D2004" i="9"/>
  <c r="D2005" i="9"/>
  <c r="D2006" i="9"/>
  <c r="D2007" i="9"/>
  <c r="D2008" i="9"/>
  <c r="D2009" i="9"/>
  <c r="D2010" i="9"/>
  <c r="D2011" i="9"/>
  <c r="D2012" i="9"/>
  <c r="D2013" i="9"/>
  <c r="D2014" i="9"/>
  <c r="D2015" i="9"/>
  <c r="D2016" i="9"/>
  <c r="D2017" i="9"/>
  <c r="D2018" i="9"/>
  <c r="D2019" i="9"/>
  <c r="D2020" i="9"/>
  <c r="D2021" i="9"/>
  <c r="D2022" i="9"/>
  <c r="D2023" i="9"/>
  <c r="D2024" i="9"/>
  <c r="D2025" i="9"/>
  <c r="D2026" i="9"/>
  <c r="D2027" i="9"/>
  <c r="D2028" i="9"/>
  <c r="D2029" i="9"/>
  <c r="D2030" i="9"/>
  <c r="D2031" i="9"/>
  <c r="D2032" i="9"/>
  <c r="D2033" i="9"/>
  <c r="D2034" i="9"/>
  <c r="D2035" i="9"/>
  <c r="D2036" i="9"/>
  <c r="D2037" i="9"/>
  <c r="D2038" i="9"/>
  <c r="D2039" i="9"/>
  <c r="D2040" i="9"/>
  <c r="D2041" i="9"/>
  <c r="D2042" i="9"/>
  <c r="D2043" i="9"/>
  <c r="D2044" i="9"/>
  <c r="D2045" i="9"/>
  <c r="D2046" i="9"/>
  <c r="D2047" i="9"/>
  <c r="D2048" i="9"/>
  <c r="D2049" i="9"/>
  <c r="D2050" i="9"/>
  <c r="D2051" i="9"/>
  <c r="D2052" i="9"/>
  <c r="D2053" i="9"/>
  <c r="D2054" i="9"/>
  <c r="D2055" i="9"/>
  <c r="D2056" i="9"/>
  <c r="D2057" i="9"/>
  <c r="D2058" i="9"/>
  <c r="D2059" i="9"/>
  <c r="D2060" i="9"/>
  <c r="D2061" i="9"/>
  <c r="D2062" i="9"/>
  <c r="D2063" i="9"/>
  <c r="D2064" i="9"/>
  <c r="D2065" i="9"/>
  <c r="D2066" i="9"/>
  <c r="D2067" i="9"/>
  <c r="D2068" i="9"/>
  <c r="D2069" i="9"/>
  <c r="D2070" i="9"/>
  <c r="D2071" i="9"/>
  <c r="D2072" i="9"/>
  <c r="D2073" i="9"/>
  <c r="D2074" i="9"/>
  <c r="D2075" i="9"/>
  <c r="D2076" i="9"/>
  <c r="D2077" i="9"/>
  <c r="D2078" i="9"/>
  <c r="D2079" i="9"/>
  <c r="D2080" i="9"/>
  <c r="D2081" i="9"/>
  <c r="D2082" i="9"/>
  <c r="D2083" i="9"/>
  <c r="D2084" i="9"/>
  <c r="D2085" i="9"/>
  <c r="D2086" i="9"/>
  <c r="D2087" i="9"/>
  <c r="D2088" i="9"/>
  <c r="D2089" i="9"/>
  <c r="D2090" i="9"/>
  <c r="D2091" i="9"/>
  <c r="D2092" i="9"/>
  <c r="D2093" i="9"/>
  <c r="D2094" i="9"/>
  <c r="D2095" i="9"/>
  <c r="D2096" i="9"/>
  <c r="D2097" i="9"/>
  <c r="D2098" i="9"/>
  <c r="D2099" i="9"/>
  <c r="D2100" i="9"/>
  <c r="D2101" i="9"/>
  <c r="D2102" i="9"/>
  <c r="D2103" i="9"/>
  <c r="D2104" i="9"/>
  <c r="D2105" i="9"/>
  <c r="D2106" i="9"/>
  <c r="D2107" i="9"/>
  <c r="D2108" i="9"/>
  <c r="D2109" i="9"/>
  <c r="D2110" i="9"/>
  <c r="D2111" i="9"/>
  <c r="D2112" i="9"/>
  <c r="D2113" i="9"/>
  <c r="D2114" i="9"/>
  <c r="D2115" i="9"/>
  <c r="D2116" i="9"/>
  <c r="D2117" i="9"/>
  <c r="D2118" i="9"/>
  <c r="D2119" i="9"/>
  <c r="D2120" i="9"/>
  <c r="D2121" i="9"/>
  <c r="D2122" i="9"/>
  <c r="D2123" i="9"/>
  <c r="D2124" i="9"/>
  <c r="D2125" i="9"/>
  <c r="D2126" i="9"/>
  <c r="D2127" i="9"/>
  <c r="D2128" i="9"/>
  <c r="D2129" i="9"/>
  <c r="D2130" i="9"/>
  <c r="D2131" i="9"/>
  <c r="D2132" i="9"/>
  <c r="D2133" i="9"/>
  <c r="D2134" i="9"/>
  <c r="D2135" i="9"/>
  <c r="D2136" i="9"/>
  <c r="D2137" i="9"/>
  <c r="D2138" i="9"/>
  <c r="D2139" i="9"/>
  <c r="D2140" i="9"/>
  <c r="D2141" i="9"/>
  <c r="D2142" i="9"/>
  <c r="D2143" i="9"/>
  <c r="D2144" i="9"/>
  <c r="D2145" i="9"/>
  <c r="D2146" i="9"/>
  <c r="D2147" i="9"/>
  <c r="D2148" i="9"/>
  <c r="D2149" i="9"/>
  <c r="D2150" i="9"/>
  <c r="D2151" i="9"/>
  <c r="D2152" i="9"/>
  <c r="D2153" i="9"/>
  <c r="D2154" i="9"/>
  <c r="D2155" i="9"/>
  <c r="D2156" i="9"/>
  <c r="D2157" i="9"/>
  <c r="D2158" i="9"/>
  <c r="D2159" i="9"/>
  <c r="D2160" i="9"/>
  <c r="D2161" i="9"/>
  <c r="D2162" i="9"/>
  <c r="D2163" i="9"/>
  <c r="D2164" i="9"/>
  <c r="D2165" i="9"/>
  <c r="D2166" i="9"/>
  <c r="D2167" i="9"/>
  <c r="D2168" i="9"/>
  <c r="D2169" i="9"/>
  <c r="D2170" i="9"/>
  <c r="D2171" i="9"/>
  <c r="D2172" i="9"/>
  <c r="D2173" i="9"/>
  <c r="D2174" i="9"/>
  <c r="D2175" i="9"/>
  <c r="D2176" i="9"/>
  <c r="D2177" i="9"/>
  <c r="D2178" i="9"/>
  <c r="D2179" i="9"/>
  <c r="D2180" i="9"/>
  <c r="D2181" i="9"/>
  <c r="D2182" i="9"/>
  <c r="D2183" i="9"/>
  <c r="D2184" i="9"/>
  <c r="D2185" i="9"/>
  <c r="D2186" i="9"/>
  <c r="D2187" i="9"/>
  <c r="D2188" i="9"/>
  <c r="D2189" i="9"/>
  <c r="D2190" i="9"/>
  <c r="D2191" i="9"/>
  <c r="D2192" i="9"/>
  <c r="D2193" i="9"/>
  <c r="D2194" i="9"/>
  <c r="D2195" i="9"/>
  <c r="D2196" i="9"/>
  <c r="D2197" i="9"/>
  <c r="D2198" i="9"/>
  <c r="D2199" i="9"/>
  <c r="D2200" i="9"/>
  <c r="D2201" i="9"/>
  <c r="D2202" i="9"/>
  <c r="D2203" i="9"/>
  <c r="D2204" i="9"/>
  <c r="D2205" i="9"/>
  <c r="D2206" i="9"/>
  <c r="D2207" i="9"/>
  <c r="D2208" i="9"/>
  <c r="D2209" i="9"/>
  <c r="D2210" i="9"/>
  <c r="D2211" i="9"/>
  <c r="D2212" i="9"/>
  <c r="D2213" i="9"/>
  <c r="D2214" i="9"/>
  <c r="D2215" i="9"/>
  <c r="D2216" i="9"/>
  <c r="D2217" i="9"/>
  <c r="D2218" i="9"/>
  <c r="D2219" i="9"/>
  <c r="D2220" i="9"/>
  <c r="D2221" i="9"/>
  <c r="D2222" i="9"/>
  <c r="D2223" i="9"/>
  <c r="D2224" i="9"/>
  <c r="D2225" i="9"/>
  <c r="D2226" i="9"/>
  <c r="D2227" i="9"/>
  <c r="D2228" i="9"/>
  <c r="D2229" i="9"/>
  <c r="D2230" i="9"/>
  <c r="D2231" i="9"/>
  <c r="D2232" i="9"/>
  <c r="D2233" i="9"/>
  <c r="D2234" i="9"/>
  <c r="D2235" i="9"/>
  <c r="D2236" i="9"/>
  <c r="D2237" i="9"/>
  <c r="D2238" i="9"/>
  <c r="D2239" i="9"/>
  <c r="D2240" i="9"/>
  <c r="D2241" i="9"/>
  <c r="D2242" i="9"/>
  <c r="D2243" i="9"/>
  <c r="D2244" i="9"/>
  <c r="D2245" i="9"/>
  <c r="D2246" i="9"/>
  <c r="D2247" i="9"/>
  <c r="D2248" i="9"/>
  <c r="D2249" i="9"/>
  <c r="D2250" i="9"/>
  <c r="D2251" i="9"/>
  <c r="D2252" i="9"/>
  <c r="D2253" i="9"/>
  <c r="D2254" i="9"/>
  <c r="D2255" i="9"/>
  <c r="D2256" i="9"/>
  <c r="D2257" i="9"/>
  <c r="D2258" i="9"/>
  <c r="D2259" i="9"/>
  <c r="D2260" i="9"/>
  <c r="D2261" i="9"/>
  <c r="D2262" i="9"/>
  <c r="D2263" i="9"/>
  <c r="D2264" i="9"/>
  <c r="D2265" i="9"/>
  <c r="D2266" i="9"/>
  <c r="D2267" i="9"/>
  <c r="D2268" i="9"/>
  <c r="D2269" i="9"/>
  <c r="D2270" i="9"/>
  <c r="D2271" i="9"/>
  <c r="D2272" i="9"/>
  <c r="D2273" i="9"/>
  <c r="D2274" i="9"/>
  <c r="D2275" i="9"/>
  <c r="D2276" i="9"/>
  <c r="D2277" i="9"/>
  <c r="D2278" i="9"/>
  <c r="D2279" i="9"/>
  <c r="D2280" i="9"/>
  <c r="D2281" i="9"/>
  <c r="D2282" i="9"/>
  <c r="D2283" i="9"/>
  <c r="D2284" i="9"/>
  <c r="D2285" i="9"/>
  <c r="D2286" i="9"/>
  <c r="D2287" i="9"/>
  <c r="D2288" i="9"/>
  <c r="D2289" i="9"/>
  <c r="D2290" i="9"/>
  <c r="D2291" i="9"/>
  <c r="D2292" i="9"/>
  <c r="D2293" i="9"/>
  <c r="D2294" i="9"/>
  <c r="D2295" i="9"/>
  <c r="D2296" i="9"/>
  <c r="D2297" i="9"/>
  <c r="D2298" i="9"/>
  <c r="D2299" i="9"/>
  <c r="D2300" i="9"/>
  <c r="D2301" i="9"/>
  <c r="D2302" i="9"/>
  <c r="D2303" i="9"/>
  <c r="D2304" i="9"/>
  <c r="D2305" i="9"/>
  <c r="D2306" i="9"/>
  <c r="D2307" i="9"/>
  <c r="D2308" i="9"/>
  <c r="D2309" i="9"/>
  <c r="D2310" i="9"/>
  <c r="D2311" i="9"/>
  <c r="D2312" i="9"/>
  <c r="D2313" i="9"/>
  <c r="D2314" i="9"/>
  <c r="D2315" i="9"/>
  <c r="D2316" i="9"/>
  <c r="D2317" i="9"/>
  <c r="D2318" i="9"/>
  <c r="D2319" i="9"/>
  <c r="D2320" i="9"/>
  <c r="D2321" i="9"/>
  <c r="D2322" i="9"/>
  <c r="D2323" i="9"/>
  <c r="D2324" i="9"/>
  <c r="D2325" i="9"/>
  <c r="D2326" i="9"/>
  <c r="D2327" i="9"/>
  <c r="D2328" i="9"/>
  <c r="D2329" i="9"/>
  <c r="D2330" i="9"/>
  <c r="D2331" i="9"/>
  <c r="D2332" i="9"/>
  <c r="D2333" i="9"/>
  <c r="D2334" i="9"/>
  <c r="D2335" i="9"/>
  <c r="D2336" i="9"/>
  <c r="D2337" i="9"/>
  <c r="D2338" i="9"/>
  <c r="D2339" i="9"/>
  <c r="D2340" i="9"/>
  <c r="D2341" i="9"/>
  <c r="D2342" i="9"/>
  <c r="D2343" i="9"/>
  <c r="D2344" i="9"/>
  <c r="D2345" i="9"/>
  <c r="D2346" i="9"/>
  <c r="D2347" i="9"/>
  <c r="D2348" i="9"/>
  <c r="D2349" i="9"/>
  <c r="D2350" i="9"/>
  <c r="D2351" i="9"/>
  <c r="D2352" i="9"/>
  <c r="D2353" i="9"/>
  <c r="D2354" i="9"/>
  <c r="D2355" i="9"/>
  <c r="D2356" i="9"/>
  <c r="D2357" i="9"/>
  <c r="D2358" i="9"/>
  <c r="D2359" i="9"/>
  <c r="D2360" i="9"/>
  <c r="D2361" i="9"/>
  <c r="D2362" i="9"/>
  <c r="D2363" i="9"/>
  <c r="D2364" i="9"/>
  <c r="D2365" i="9"/>
  <c r="D2366" i="9"/>
  <c r="D2367" i="9"/>
  <c r="D2368" i="9"/>
  <c r="D2369" i="9"/>
  <c r="D2370" i="9"/>
  <c r="D2371" i="9"/>
  <c r="D2372" i="9"/>
  <c r="D2373" i="9"/>
  <c r="D2374" i="9"/>
  <c r="D2375" i="9"/>
  <c r="D2376" i="9"/>
  <c r="D2377" i="9"/>
  <c r="D2378" i="9"/>
  <c r="D2379" i="9"/>
  <c r="D2380" i="9"/>
  <c r="D2381" i="9"/>
  <c r="D2382" i="9"/>
  <c r="D2383" i="9"/>
  <c r="D2384" i="9"/>
  <c r="D2385" i="9"/>
  <c r="D2386" i="9"/>
  <c r="D2387" i="9"/>
  <c r="D2388" i="9"/>
  <c r="D2389" i="9"/>
  <c r="D2390" i="9"/>
  <c r="D2391" i="9"/>
  <c r="D2392" i="9"/>
  <c r="D2393" i="9"/>
  <c r="D2394" i="9"/>
  <c r="D2395" i="9"/>
  <c r="D2396" i="9"/>
  <c r="D2397" i="9"/>
  <c r="D2398" i="9"/>
  <c r="D2399" i="9"/>
  <c r="D2400" i="9"/>
  <c r="D2401" i="9"/>
  <c r="D2402" i="9"/>
  <c r="D2403" i="9"/>
  <c r="D2404" i="9"/>
  <c r="D2405" i="9"/>
  <c r="D2406" i="9"/>
  <c r="D2407" i="9"/>
  <c r="D2408" i="9"/>
  <c r="D2409" i="9"/>
  <c r="D2410" i="9"/>
  <c r="D2411" i="9"/>
  <c r="D2412" i="9"/>
  <c r="D2413" i="9"/>
  <c r="D2414" i="9"/>
  <c r="D2415" i="9"/>
  <c r="D2416" i="9"/>
  <c r="D2417" i="9"/>
  <c r="D2418" i="9"/>
  <c r="D2419" i="9"/>
  <c r="D2420" i="9"/>
  <c r="D2421" i="9"/>
  <c r="D2422" i="9"/>
  <c r="D2423" i="9"/>
  <c r="D2424" i="9"/>
  <c r="D2425" i="9"/>
  <c r="D2426" i="9"/>
  <c r="D2427" i="9"/>
  <c r="D2428" i="9"/>
  <c r="D2429" i="9"/>
  <c r="D2430" i="9"/>
  <c r="D2431" i="9"/>
  <c r="D2432" i="9"/>
  <c r="D2433" i="9"/>
  <c r="D2434" i="9"/>
  <c r="D2435" i="9"/>
  <c r="D2436" i="9"/>
  <c r="D2437" i="9"/>
  <c r="D2438" i="9"/>
  <c r="D2439" i="9"/>
  <c r="D2440" i="9"/>
  <c r="D2441" i="9"/>
  <c r="D2442" i="9"/>
  <c r="D2443" i="9"/>
  <c r="D2444" i="9"/>
  <c r="D2445" i="9"/>
  <c r="D2446" i="9"/>
  <c r="D2447" i="9"/>
  <c r="D2448" i="9"/>
  <c r="D2449" i="9"/>
  <c r="D2450" i="9"/>
  <c r="D2451" i="9"/>
  <c r="D2452" i="9"/>
  <c r="D2453" i="9"/>
  <c r="D2454" i="9"/>
  <c r="D2455" i="9"/>
  <c r="D2456" i="9"/>
  <c r="D2457" i="9"/>
  <c r="D2458" i="9"/>
  <c r="D2459" i="9"/>
  <c r="D2460" i="9"/>
  <c r="D2461" i="9"/>
  <c r="D2462" i="9"/>
  <c r="D2463" i="9"/>
  <c r="D2464" i="9"/>
  <c r="D2465" i="9"/>
  <c r="D2466" i="9"/>
  <c r="D2467" i="9"/>
  <c r="D2468" i="9"/>
  <c r="D2469" i="9"/>
  <c r="D2470" i="9"/>
  <c r="D2471" i="9"/>
  <c r="D2472" i="9"/>
  <c r="D2473" i="9"/>
  <c r="D2474" i="9"/>
  <c r="D2475" i="9"/>
  <c r="D2476" i="9"/>
  <c r="D2477" i="9"/>
  <c r="D2478" i="9"/>
  <c r="D2479" i="9"/>
  <c r="D2480" i="9"/>
  <c r="D2481" i="9"/>
  <c r="D2482" i="9"/>
  <c r="D2483" i="9"/>
  <c r="D2484" i="9"/>
  <c r="D2485" i="9"/>
  <c r="D2486" i="9"/>
  <c r="D2487" i="9"/>
  <c r="D2488" i="9"/>
  <c r="D2489" i="9"/>
  <c r="D2490" i="9"/>
  <c r="D2491" i="9"/>
  <c r="D2492" i="9"/>
  <c r="D2493" i="9"/>
  <c r="D2494" i="9"/>
  <c r="D2495" i="9"/>
  <c r="D2496" i="9"/>
  <c r="D2497" i="9"/>
  <c r="D2498" i="9"/>
  <c r="D2499" i="9"/>
  <c r="D2500" i="9"/>
  <c r="D2501" i="9"/>
  <c r="D2502" i="9"/>
  <c r="D2503" i="9"/>
  <c r="D2504" i="9"/>
  <c r="D2505" i="9"/>
  <c r="D2506" i="9"/>
  <c r="D2507" i="9"/>
  <c r="D2508" i="9"/>
  <c r="D2509" i="9"/>
  <c r="D2510" i="9"/>
  <c r="D2511" i="9"/>
  <c r="D2512" i="9"/>
  <c r="D2513" i="9"/>
  <c r="D2514" i="9"/>
  <c r="D2515" i="9"/>
  <c r="D2516" i="9"/>
  <c r="D2517" i="9"/>
  <c r="D2518" i="9"/>
  <c r="D2519" i="9"/>
  <c r="D2520" i="9"/>
  <c r="D2521" i="9"/>
  <c r="D2522" i="9"/>
  <c r="D2523" i="9"/>
  <c r="D2524" i="9"/>
  <c r="D2525" i="9"/>
  <c r="D2526" i="9"/>
  <c r="D2527" i="9"/>
  <c r="D2528" i="9"/>
  <c r="D2529" i="9"/>
  <c r="D2530" i="9"/>
  <c r="D2531" i="9"/>
  <c r="D2532" i="9"/>
  <c r="D2533" i="9"/>
  <c r="D2534" i="9"/>
  <c r="D2535" i="9"/>
  <c r="D2536" i="9"/>
  <c r="D2537" i="9"/>
  <c r="D2538" i="9"/>
  <c r="D2539" i="9"/>
  <c r="D2540" i="9"/>
  <c r="D2541" i="9"/>
  <c r="D2542" i="9"/>
  <c r="D2543" i="9"/>
  <c r="D2544" i="9"/>
  <c r="D2545" i="9"/>
  <c r="D2546" i="9"/>
  <c r="D2547" i="9"/>
  <c r="D2548" i="9"/>
  <c r="D2549" i="9"/>
  <c r="D2550" i="9"/>
  <c r="D2551" i="9"/>
  <c r="D2552" i="9"/>
  <c r="D2553" i="9"/>
  <c r="D2554" i="9"/>
  <c r="D2555" i="9"/>
  <c r="D2556" i="9"/>
  <c r="D2557" i="9"/>
  <c r="D2558" i="9"/>
  <c r="D2559" i="9"/>
  <c r="D2560" i="9"/>
  <c r="D2561" i="9"/>
  <c r="D2562" i="9"/>
  <c r="D2563" i="9"/>
  <c r="D2564" i="9"/>
  <c r="D2565" i="9"/>
  <c r="D2566" i="9"/>
  <c r="D2567" i="9"/>
  <c r="D2568" i="9"/>
  <c r="D2569" i="9"/>
  <c r="D2570" i="9"/>
  <c r="D2571" i="9"/>
  <c r="D2572" i="9"/>
  <c r="D2573" i="9"/>
  <c r="D2574" i="9"/>
  <c r="D2575" i="9"/>
  <c r="D2576" i="9"/>
  <c r="D2577" i="9"/>
  <c r="D2578" i="9"/>
  <c r="D2579" i="9"/>
  <c r="D2580" i="9"/>
  <c r="D2581" i="9"/>
  <c r="D2582" i="9"/>
  <c r="D2583" i="9"/>
  <c r="D2584" i="9"/>
  <c r="D2585" i="9"/>
  <c r="D2586" i="9"/>
  <c r="D2587" i="9"/>
  <c r="D2588" i="9"/>
  <c r="D2589" i="9"/>
  <c r="D2590" i="9"/>
  <c r="D2591" i="9"/>
  <c r="D2592" i="9"/>
  <c r="D2593" i="9"/>
  <c r="D2594" i="9"/>
  <c r="D2595" i="9"/>
  <c r="D2596" i="9"/>
  <c r="D2597" i="9"/>
  <c r="D2598" i="9"/>
  <c r="D2599" i="9"/>
  <c r="D2600" i="9"/>
  <c r="D2601" i="9"/>
  <c r="D2602" i="9"/>
  <c r="D2603" i="9"/>
  <c r="D2604" i="9"/>
  <c r="D2605" i="9"/>
  <c r="D2606" i="9"/>
  <c r="D2607" i="9"/>
  <c r="D2608" i="9"/>
  <c r="D2609" i="9"/>
  <c r="D2610" i="9"/>
  <c r="D2611" i="9"/>
  <c r="D2612" i="9"/>
  <c r="D2613" i="9"/>
  <c r="D2614" i="9"/>
  <c r="D2615" i="9"/>
  <c r="D2616" i="9"/>
  <c r="D2617" i="9"/>
  <c r="D2618" i="9"/>
  <c r="D2619" i="9"/>
  <c r="D2620" i="9"/>
  <c r="D2621" i="9"/>
  <c r="D2622" i="9"/>
  <c r="D2623" i="9"/>
  <c r="D2624" i="9"/>
  <c r="D2625" i="9"/>
  <c r="D2626" i="9"/>
  <c r="D2627" i="9"/>
  <c r="D2628" i="9"/>
  <c r="D2629" i="9"/>
  <c r="D2630" i="9"/>
  <c r="D2631" i="9"/>
  <c r="D2632" i="9"/>
  <c r="D2633" i="9"/>
  <c r="D2634" i="9"/>
  <c r="D2635" i="9"/>
  <c r="D2636" i="9"/>
  <c r="D2637" i="9"/>
  <c r="D2638" i="9"/>
  <c r="D2639" i="9"/>
  <c r="D2640" i="9"/>
  <c r="D2641" i="9"/>
  <c r="D2642" i="9"/>
  <c r="D2643" i="9"/>
  <c r="D2644" i="9"/>
  <c r="D2645" i="9"/>
  <c r="D2646" i="9"/>
  <c r="D2647" i="9"/>
  <c r="D2648" i="9"/>
  <c r="D2649" i="9"/>
  <c r="D2650" i="9"/>
  <c r="D2651" i="9"/>
  <c r="D2652" i="9"/>
  <c r="D2653" i="9"/>
  <c r="D2654" i="9"/>
  <c r="D2655" i="9"/>
  <c r="D2656" i="9"/>
  <c r="D2657" i="9"/>
  <c r="D2658" i="9"/>
  <c r="D2659" i="9"/>
  <c r="D2660" i="9"/>
  <c r="D2661" i="9"/>
  <c r="D2662" i="9"/>
  <c r="D2663" i="9"/>
  <c r="D2664" i="9"/>
  <c r="D2665" i="9"/>
  <c r="D2666" i="9"/>
  <c r="D2667" i="9"/>
  <c r="D2668" i="9"/>
  <c r="D2669" i="9"/>
  <c r="D2670" i="9"/>
  <c r="D2671" i="9"/>
  <c r="D2672" i="9"/>
  <c r="D2673" i="9"/>
  <c r="D2674" i="9"/>
  <c r="D2675" i="9"/>
  <c r="D2676" i="9"/>
  <c r="D2677" i="9"/>
  <c r="D2678" i="9"/>
  <c r="D2679" i="9"/>
  <c r="D2680" i="9"/>
  <c r="D2681" i="9"/>
  <c r="D2682" i="9"/>
  <c r="D2683" i="9"/>
  <c r="D2684" i="9"/>
  <c r="D2685" i="9"/>
  <c r="D2686" i="9"/>
  <c r="D2687" i="9"/>
  <c r="D2688" i="9"/>
  <c r="D2689" i="9"/>
  <c r="D2690" i="9"/>
  <c r="D2691" i="9"/>
  <c r="D2692" i="9"/>
  <c r="D2693" i="9"/>
  <c r="D2694" i="9"/>
  <c r="D2695" i="9"/>
  <c r="D2696" i="9"/>
  <c r="D2697" i="9"/>
  <c r="D2698" i="9"/>
  <c r="D2699" i="9"/>
  <c r="D2700" i="9"/>
  <c r="D2701" i="9"/>
  <c r="D2702" i="9"/>
  <c r="D2703" i="9"/>
  <c r="D2704" i="9"/>
  <c r="D2705" i="9"/>
  <c r="D2706" i="9"/>
  <c r="D2707" i="9"/>
  <c r="D2708" i="9"/>
  <c r="D2709" i="9"/>
  <c r="D2710" i="9"/>
  <c r="D2711" i="9"/>
  <c r="D2712" i="9"/>
  <c r="D2713" i="9"/>
  <c r="D2714" i="9"/>
  <c r="D2715" i="9"/>
  <c r="D2716" i="9"/>
  <c r="D2717" i="9"/>
  <c r="D2718" i="9"/>
  <c r="D2719" i="9"/>
  <c r="D2720" i="9"/>
  <c r="D2721" i="9"/>
  <c r="D2722" i="9"/>
  <c r="D2723" i="9"/>
  <c r="D2724" i="9"/>
  <c r="D2725" i="9"/>
  <c r="D2726" i="9"/>
  <c r="D2727" i="9"/>
  <c r="D2728" i="9"/>
  <c r="D2729" i="9"/>
  <c r="D2730" i="9"/>
  <c r="D2731" i="9"/>
  <c r="D2732" i="9"/>
  <c r="D2733" i="9"/>
  <c r="D2734" i="9"/>
  <c r="D2735" i="9"/>
  <c r="D2736" i="9"/>
  <c r="D2737" i="9"/>
  <c r="D2738" i="9"/>
  <c r="D2739" i="9"/>
  <c r="D2740" i="9"/>
  <c r="D2741" i="9"/>
  <c r="D2742" i="9"/>
  <c r="D2743" i="9"/>
  <c r="D2744" i="9"/>
  <c r="D2745" i="9"/>
  <c r="D2746" i="9"/>
  <c r="D2747" i="9"/>
  <c r="D2748" i="9"/>
  <c r="D2749" i="9"/>
  <c r="D2750" i="9"/>
  <c r="D2751" i="9"/>
  <c r="D2752" i="9"/>
  <c r="D2753" i="9"/>
  <c r="D2754" i="9"/>
  <c r="D2755" i="9"/>
  <c r="D2756" i="9"/>
  <c r="D2757" i="9"/>
  <c r="D2758" i="9"/>
  <c r="D2759" i="9"/>
  <c r="D2760" i="9"/>
  <c r="D2761" i="9"/>
  <c r="D2762" i="9"/>
  <c r="D2763" i="9"/>
  <c r="D2764" i="9"/>
  <c r="D2765" i="9"/>
  <c r="D2766" i="9"/>
  <c r="D2767" i="9"/>
  <c r="D2768" i="9"/>
  <c r="D2769" i="9"/>
  <c r="D2770" i="9"/>
  <c r="D2771" i="9"/>
  <c r="D2772" i="9"/>
  <c r="D2773" i="9"/>
  <c r="D2774" i="9"/>
  <c r="D2775" i="9"/>
  <c r="D2776" i="9"/>
  <c r="D2777" i="9"/>
  <c r="D2778" i="9"/>
  <c r="D2779" i="9"/>
  <c r="D2780" i="9"/>
  <c r="D2781" i="9"/>
  <c r="D2782" i="9"/>
  <c r="D2783" i="9"/>
  <c r="D2784" i="9"/>
  <c r="D2785" i="9"/>
  <c r="D2786" i="9"/>
  <c r="D2787" i="9"/>
  <c r="D2788" i="9"/>
  <c r="D2789" i="9"/>
  <c r="D2790" i="9"/>
  <c r="D2791" i="9"/>
  <c r="D2792" i="9"/>
  <c r="D2793" i="9"/>
  <c r="D2794" i="9"/>
  <c r="D2795" i="9"/>
  <c r="D2796" i="9"/>
  <c r="D2797" i="9"/>
  <c r="D2798" i="9"/>
  <c r="D2799" i="9"/>
  <c r="D2800" i="9"/>
  <c r="D2801" i="9"/>
  <c r="D2802" i="9"/>
  <c r="D2803" i="9"/>
  <c r="D2804" i="9"/>
  <c r="D2805" i="9"/>
  <c r="D2806" i="9"/>
  <c r="D2807" i="9"/>
  <c r="D2808" i="9"/>
  <c r="D2809" i="9"/>
  <c r="D2810" i="9"/>
  <c r="D2811" i="9"/>
  <c r="D2812" i="9"/>
  <c r="D2813" i="9"/>
  <c r="D2814" i="9"/>
  <c r="D2815" i="9"/>
  <c r="D2816" i="9"/>
  <c r="D2817" i="9"/>
  <c r="D2818" i="9"/>
  <c r="D2819" i="9"/>
  <c r="D2820" i="9"/>
  <c r="D2821" i="9"/>
  <c r="D2822" i="9"/>
  <c r="D2823" i="9"/>
  <c r="D2824" i="9"/>
  <c r="D2825" i="9"/>
  <c r="D2826" i="9"/>
  <c r="D2827" i="9"/>
  <c r="D2828" i="9"/>
  <c r="D2829" i="9"/>
  <c r="D2830" i="9"/>
  <c r="D2831" i="9"/>
  <c r="D2832" i="9"/>
  <c r="D2833" i="9"/>
  <c r="D2834" i="9"/>
  <c r="D2835" i="9"/>
  <c r="D2836" i="9"/>
  <c r="D2837" i="9"/>
  <c r="D2838" i="9"/>
  <c r="D2839" i="9"/>
  <c r="D2840" i="9"/>
  <c r="D2841" i="9"/>
  <c r="D2842" i="9"/>
  <c r="D2843" i="9"/>
  <c r="D2844" i="9"/>
  <c r="D2845" i="9"/>
  <c r="D2846" i="9"/>
  <c r="D2847" i="9"/>
  <c r="D2848" i="9"/>
  <c r="D2849" i="9"/>
  <c r="D2850" i="9"/>
  <c r="D2851" i="9"/>
  <c r="D2852" i="9"/>
  <c r="D2853" i="9"/>
  <c r="D2854" i="9"/>
  <c r="D2855" i="9"/>
  <c r="D2856" i="9"/>
  <c r="D2857" i="9"/>
  <c r="D2858" i="9"/>
  <c r="D2859" i="9"/>
  <c r="D2860" i="9"/>
  <c r="D2861" i="9"/>
  <c r="D2862" i="9"/>
  <c r="D2863" i="9"/>
  <c r="D2864" i="9"/>
  <c r="D2865" i="9"/>
  <c r="D2866" i="9"/>
  <c r="D2867" i="9"/>
  <c r="D2868" i="9"/>
  <c r="D2869" i="9"/>
  <c r="D2870" i="9"/>
  <c r="D2871" i="9"/>
  <c r="D2872" i="9"/>
  <c r="D2873" i="9"/>
  <c r="D2874" i="9"/>
  <c r="D2875" i="9"/>
  <c r="D2876" i="9"/>
  <c r="D2877" i="9"/>
  <c r="D2878" i="9"/>
  <c r="D2879" i="9"/>
  <c r="D2880" i="9"/>
  <c r="D2881" i="9"/>
  <c r="D2882" i="9"/>
  <c r="D2883" i="9"/>
  <c r="D2884" i="9"/>
  <c r="D2885" i="9"/>
  <c r="D2886" i="9"/>
  <c r="D2887" i="9"/>
  <c r="D2888" i="9"/>
  <c r="D2889" i="9"/>
  <c r="D2890" i="9"/>
  <c r="D2891" i="9"/>
  <c r="D2892" i="9"/>
  <c r="D2893" i="9"/>
  <c r="D2894" i="9"/>
  <c r="D2895" i="9"/>
  <c r="D2896" i="9"/>
  <c r="D2897" i="9"/>
  <c r="D2898" i="9"/>
  <c r="D2899" i="9"/>
  <c r="D2900" i="9"/>
  <c r="D2901" i="9"/>
  <c r="D2902" i="9"/>
  <c r="D2903" i="9"/>
  <c r="D2904" i="9"/>
  <c r="D2905" i="9"/>
  <c r="D2906" i="9"/>
  <c r="D2907" i="9"/>
  <c r="D2908" i="9"/>
  <c r="D2909" i="9"/>
  <c r="D2910" i="9"/>
  <c r="D2911" i="9"/>
  <c r="D2912" i="9"/>
  <c r="D2913" i="9"/>
  <c r="D2914" i="9"/>
  <c r="D2915" i="9"/>
  <c r="D2916" i="9"/>
  <c r="D2917" i="9"/>
  <c r="D2918" i="9"/>
  <c r="D2919" i="9"/>
  <c r="D2920" i="9"/>
  <c r="D2921" i="9"/>
  <c r="D2922" i="9"/>
  <c r="D2923" i="9"/>
  <c r="D2924" i="9"/>
  <c r="D2925" i="9"/>
  <c r="D2926" i="9"/>
  <c r="D2927" i="9"/>
  <c r="D2928" i="9"/>
  <c r="D2929" i="9"/>
  <c r="D2930" i="9"/>
  <c r="D2931" i="9"/>
  <c r="D2932" i="9"/>
  <c r="D2933" i="9"/>
  <c r="D2934" i="9"/>
  <c r="D2935" i="9"/>
  <c r="D2936" i="9"/>
  <c r="D2937" i="9"/>
  <c r="D2938" i="9"/>
  <c r="D2939" i="9"/>
  <c r="D2940" i="9"/>
  <c r="D2941" i="9"/>
  <c r="D2942" i="9"/>
  <c r="D2943" i="9"/>
  <c r="D2944" i="9"/>
  <c r="D2945" i="9"/>
  <c r="D2946" i="9"/>
  <c r="D2947" i="9"/>
  <c r="D2948" i="9"/>
  <c r="D2949" i="9"/>
  <c r="D2950" i="9"/>
  <c r="D2951" i="9"/>
  <c r="D2952" i="9"/>
  <c r="D2953" i="9"/>
  <c r="D2954" i="9"/>
  <c r="D2955" i="9"/>
  <c r="D2956" i="9"/>
  <c r="D2957" i="9"/>
  <c r="D2958" i="9"/>
  <c r="D2959" i="9"/>
  <c r="D2960" i="9"/>
  <c r="D2961" i="9"/>
  <c r="D2962" i="9"/>
  <c r="D2963" i="9"/>
  <c r="D2964" i="9"/>
  <c r="D2965" i="9"/>
  <c r="D2966" i="9"/>
  <c r="D2967" i="9"/>
  <c r="D2968" i="9"/>
  <c r="D2969" i="9"/>
  <c r="D2970" i="9"/>
  <c r="D2971" i="9"/>
  <c r="D2972" i="9"/>
  <c r="D2973" i="9"/>
  <c r="D2974" i="9"/>
  <c r="D2975" i="9"/>
  <c r="D2976" i="9"/>
  <c r="D2977" i="9"/>
  <c r="D2978" i="9"/>
  <c r="D2979" i="9"/>
  <c r="D2980" i="9"/>
  <c r="D2981" i="9"/>
  <c r="D2982" i="9"/>
  <c r="D2983" i="9"/>
  <c r="D2984" i="9"/>
  <c r="D2985" i="9"/>
  <c r="D2986" i="9"/>
  <c r="D2987" i="9"/>
  <c r="D2988" i="9"/>
  <c r="D2989" i="9"/>
  <c r="D2990" i="9"/>
  <c r="D2991" i="9"/>
  <c r="D2992" i="9"/>
  <c r="D2993" i="9"/>
  <c r="D2994" i="9"/>
  <c r="D2995" i="9"/>
  <c r="D2996" i="9"/>
  <c r="D2997" i="9"/>
  <c r="D2998" i="9"/>
  <c r="D2999" i="9"/>
  <c r="D3000" i="9"/>
  <c r="D3001" i="9"/>
  <c r="D3002" i="9"/>
  <c r="D3003" i="9"/>
  <c r="D3004" i="9"/>
  <c r="D3005" i="9"/>
  <c r="D3006" i="9"/>
  <c r="D3007" i="9"/>
  <c r="D3008" i="9"/>
  <c r="D3009" i="9"/>
  <c r="D3010" i="9"/>
  <c r="D3011" i="9"/>
  <c r="D3012" i="9"/>
  <c r="D3013" i="9"/>
  <c r="D3014" i="9"/>
  <c r="D3015" i="9"/>
  <c r="D3016" i="9"/>
  <c r="D3017" i="9"/>
  <c r="D3018" i="9"/>
  <c r="D3019" i="9"/>
  <c r="D3020" i="9"/>
  <c r="D3021" i="9"/>
  <c r="D3022" i="9"/>
  <c r="D3023" i="9"/>
  <c r="D3024" i="9"/>
  <c r="D3025" i="9"/>
  <c r="D3026" i="9"/>
  <c r="D3027" i="9"/>
  <c r="D3028" i="9"/>
  <c r="D3029" i="9"/>
  <c r="D3030" i="9"/>
  <c r="D3031" i="9"/>
  <c r="D3032" i="9"/>
  <c r="D3033" i="9"/>
  <c r="D3034" i="9"/>
  <c r="D3035" i="9"/>
  <c r="D3036" i="9"/>
  <c r="D3037" i="9"/>
  <c r="D3038" i="9"/>
  <c r="D3039" i="9"/>
  <c r="D3040" i="9"/>
  <c r="D3041" i="9"/>
  <c r="D3042" i="9"/>
  <c r="D3043" i="9"/>
  <c r="D3044" i="9"/>
  <c r="D3045" i="9"/>
  <c r="D3046" i="9"/>
  <c r="D3047" i="9"/>
  <c r="D3048" i="9"/>
  <c r="D3049" i="9"/>
  <c r="D3050" i="9"/>
  <c r="D3051" i="9"/>
  <c r="D3052" i="9"/>
  <c r="D3053" i="9"/>
  <c r="D3054" i="9"/>
  <c r="D3055" i="9"/>
  <c r="D3056" i="9"/>
  <c r="D3057" i="9"/>
  <c r="D3058" i="9"/>
  <c r="D3059" i="9"/>
  <c r="D3060" i="9"/>
  <c r="D3061" i="9"/>
  <c r="D3062" i="9"/>
  <c r="D3063" i="9"/>
  <c r="D3064" i="9"/>
  <c r="D3065" i="9"/>
  <c r="D3066" i="9"/>
  <c r="D3067" i="9"/>
  <c r="D3068" i="9"/>
  <c r="D3069" i="9"/>
  <c r="D3070" i="9"/>
  <c r="D3071" i="9"/>
  <c r="D3072" i="9"/>
  <c r="D3073" i="9"/>
  <c r="D3074" i="9"/>
  <c r="D3075" i="9"/>
  <c r="D3076" i="9"/>
  <c r="D3077" i="9"/>
  <c r="D3078" i="9"/>
  <c r="D3079" i="9"/>
  <c r="D3080" i="9"/>
  <c r="D3081" i="9"/>
  <c r="D3082" i="9"/>
  <c r="D3083" i="9"/>
  <c r="D3084" i="9"/>
  <c r="D3085" i="9"/>
  <c r="D3086" i="9"/>
  <c r="D3087" i="9"/>
  <c r="D3088" i="9"/>
  <c r="D3089" i="9"/>
  <c r="D3090" i="9"/>
  <c r="D3091" i="9"/>
  <c r="D3092" i="9"/>
  <c r="D3093" i="9"/>
  <c r="D3094" i="9"/>
  <c r="D3095" i="9"/>
  <c r="D3096" i="9"/>
  <c r="D3097" i="9"/>
  <c r="D3098" i="9"/>
  <c r="D3099" i="9"/>
  <c r="D3100" i="9"/>
  <c r="D3101" i="9"/>
  <c r="D3102" i="9"/>
  <c r="D2" i="9"/>
  <c r="H3" i="4"/>
  <c r="H4" i="4"/>
  <c r="H5" i="4"/>
  <c r="H6" i="4"/>
  <c r="H7" i="4"/>
  <c r="H8" i="4"/>
  <c r="H9" i="4"/>
  <c r="H2" i="4"/>
  <c r="E9" i="4"/>
  <c r="E2" i="4"/>
  <c r="E3" i="4"/>
  <c r="E4" i="4"/>
  <c r="E5" i="4"/>
  <c r="E6" i="4"/>
  <c r="E7" i="4"/>
  <c r="E8" i="4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3" i="11"/>
  <c r="B4" i="11"/>
  <c r="B5" i="11"/>
  <c r="B6" i="11"/>
  <c r="B7" i="11"/>
  <c r="B8" i="11"/>
  <c r="B2" i="1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10BDAB-D011-4763-AE3B-27B4F8A838E9}" name="Query - DIM_MATERIAL" description="Connection to the 'DIM_MATERIAL' query in the workbook." type="100" refreshedVersion="8" minRefreshableVersion="5">
    <extLst>
      <ext xmlns:x15="http://schemas.microsoft.com/office/spreadsheetml/2010/11/main" uri="{DE250136-89BD-433C-8126-D09CA5730AF9}">
        <x15:connection id="5c3783a4-bf0f-4677-b043-307fa2cbfdc2">
          <x15:oledbPr connection="Provider=Microsoft.Mashup.OleDb.1;Data Source=$Workbook$;Location=DIM_MATERIAL;Extended Properties=&quot;&quot;">
            <x15:dbTables>
              <x15:dbTable name="DIM_MATERIAL"/>
            </x15:dbTables>
          </x15:oledbPr>
        </x15:connection>
      </ext>
    </extLst>
  </connection>
  <connection id="2" xr16:uid="{238270A0-F07E-45D3-81E9-5C17C0C6D8A2}" keepAlive="1" name="Query - FACT_COLLECTION" description="Connection to the 'FACT_COLLECTION' query in the workbook." type="5" refreshedVersion="8" background="1" saveData="1">
    <dbPr connection="Provider=Microsoft.Mashup.OleDb.1;Data Source=$Workbook$;Location=FACT_COLLECTION;Extended Properties=&quot;&quot;" command="SELECT * FROM [FACT_COLLECTION]"/>
  </connection>
  <connection id="3" xr16:uid="{1AB86DB7-0804-4B09-80DA-4E9EDC606078}" keepAlive="1" name="Query - FACT_PRODUCTION" description="Connection to the 'FACT_PRODUCTION' query in the workbook." type="5" refreshedVersion="8" background="1" saveData="1">
    <dbPr connection="Provider=Microsoft.Mashup.OleDb.1;Data Source=$Workbook$;Location=FACT_PRODUCTION;Extended Properties=&quot;&quot;" command="SELECT * FROM [FACT_PRODUCTION]"/>
  </connection>
  <connection id="4" xr16:uid="{4605880F-BC76-40CE-9AB0-680984472297}" name="Query - RAW_DATA_COL" description="Connection to the 'RAW_DATA_COL' query in the workbook." type="100" refreshedVersion="8" minRefreshableVersion="5">
    <extLst>
      <ext xmlns:x15="http://schemas.microsoft.com/office/spreadsheetml/2010/11/main" uri="{DE250136-89BD-433C-8126-D09CA5730AF9}">
        <x15:connection id="b9eb93d8-1e12-4067-95bb-2a27bc83230c"/>
      </ext>
    </extLst>
  </connection>
  <connection id="5" xr16:uid="{5BF4B246-10F3-4E03-8ACA-C068C5C9C465}" keepAlive="1" name="Query - RAW_DATA_COL (2)1" description="Connection to the 'RAW_DATA_COL (2)' query in the workbook." type="5" refreshedVersion="8" background="1" saveData="1">
    <dbPr connection="Provider=Microsoft.Mashup.OleDb.1;Data Source=$Workbook$;Location=&quot;RAW_DATA_COL (2)&quot;;Extended Properties=&quot;&quot;" command="SELECT * FROM [RAW_DATA_COL (2)]"/>
  </connection>
  <connection id="6" xr16:uid="{7970796E-23C2-4A80-87B3-51B8CC30980C}" name="Query - RAW_DATA_COL (2)2" description="Connection to the 'RAW_DATA_COL (2)' query in the workbook." type="100" refreshedVersion="8" minRefreshableVersion="5">
    <extLst>
      <ext xmlns:x15="http://schemas.microsoft.com/office/spreadsheetml/2010/11/main" uri="{DE250136-89BD-433C-8126-D09CA5730AF9}">
        <x15:connection id="ed21b27d-90c4-401b-8756-ebcf066f7cad"/>
      </ext>
    </extLst>
  </connection>
  <connection id="7" xr16:uid="{F9EF1434-6DA2-43CF-A574-3F6039866D0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<sst xmlns="http://schemas.openxmlformats.org/spreadsheetml/2006/main" count="21072" uniqueCount="4028">
  <si>
    <t>MATERIAL_ID</t>
  </si>
  <si>
    <t>MAT001</t>
  </si>
  <si>
    <t>MAT002</t>
  </si>
  <si>
    <t>Carton</t>
  </si>
  <si>
    <t>Jerigen</t>
  </si>
  <si>
    <t>SOURCE_ID</t>
  </si>
  <si>
    <t>SOURCE_NAME</t>
  </si>
  <si>
    <t>CLIENT_ID</t>
  </si>
  <si>
    <t>CLIENT_NAME</t>
  </si>
  <si>
    <t>CLT001</t>
  </si>
  <si>
    <t>AAA</t>
  </si>
  <si>
    <t>SRC001</t>
  </si>
  <si>
    <t>SRC002</t>
  </si>
  <si>
    <t>SHIPMENT_ID</t>
  </si>
  <si>
    <t>DATE</t>
  </si>
  <si>
    <t>COLLECTION_ID</t>
  </si>
  <si>
    <t>WEIGHT_IN</t>
  </si>
  <si>
    <t>349,9</t>
  </si>
  <si>
    <t>438,8</t>
  </si>
  <si>
    <t>874,9</t>
  </si>
  <si>
    <t>279,3</t>
  </si>
  <si>
    <t>360,9</t>
  </si>
  <si>
    <t>307,1</t>
  </si>
  <si>
    <t>1221,3</t>
  </si>
  <si>
    <t>429,1</t>
  </si>
  <si>
    <t>438,6</t>
  </si>
  <si>
    <t>1377,3</t>
  </si>
  <si>
    <t>327,4</t>
  </si>
  <si>
    <t>835,4</t>
  </si>
  <si>
    <t>337,4</t>
  </si>
  <si>
    <t>1203,2</t>
  </si>
  <si>
    <t>507,5</t>
  </si>
  <si>
    <t>740,6</t>
  </si>
  <si>
    <t>970,1</t>
  </si>
  <si>
    <t>1000,6</t>
  </si>
  <si>
    <t>238,9</t>
  </si>
  <si>
    <t>303,7</t>
  </si>
  <si>
    <t>359,3</t>
  </si>
  <si>
    <t>2293,3</t>
  </si>
  <si>
    <t>485,5</t>
  </si>
  <si>
    <t>869,1</t>
  </si>
  <si>
    <t>1184,5</t>
  </si>
  <si>
    <t>855,3</t>
  </si>
  <si>
    <t>664,2</t>
  </si>
  <si>
    <t>852,7</t>
  </si>
  <si>
    <t>917,6</t>
  </si>
  <si>
    <t>667,8</t>
  </si>
  <si>
    <t>753,2</t>
  </si>
  <si>
    <t>723,8</t>
  </si>
  <si>
    <t>1295,2</t>
  </si>
  <si>
    <t>892,4</t>
  </si>
  <si>
    <t>422,7</t>
  </si>
  <si>
    <t>777,7</t>
  </si>
  <si>
    <t>304,2</t>
  </si>
  <si>
    <t>349,6</t>
  </si>
  <si>
    <t>1458,1</t>
  </si>
  <si>
    <t>420,7</t>
  </si>
  <si>
    <t>998,3</t>
  </si>
  <si>
    <t>1684,4</t>
  </si>
  <si>
    <t>1110,5</t>
  </si>
  <si>
    <t>830,1</t>
  </si>
  <si>
    <t>1431,3</t>
  </si>
  <si>
    <t>544,1</t>
  </si>
  <si>
    <t>592,4</t>
  </si>
  <si>
    <t>311,2</t>
  </si>
  <si>
    <t>245,2</t>
  </si>
  <si>
    <t>416,2</t>
  </si>
  <si>
    <t>1184,9</t>
  </si>
  <si>
    <t>366,7</t>
  </si>
  <si>
    <t>754,5</t>
  </si>
  <si>
    <t>443,3</t>
  </si>
  <si>
    <t>862,9</t>
  </si>
  <si>
    <t>934,8</t>
  </si>
  <si>
    <t>937,1</t>
  </si>
  <si>
    <t>941,1</t>
  </si>
  <si>
    <t>175,8</t>
  </si>
  <si>
    <t>1662,8</t>
  </si>
  <si>
    <t>394,2</t>
  </si>
  <si>
    <t>542,9</t>
  </si>
  <si>
    <t>342,8</t>
  </si>
  <si>
    <t>621,3</t>
  </si>
  <si>
    <t>846,4</t>
  </si>
  <si>
    <t>365,7</t>
  </si>
  <si>
    <t>1208,1</t>
  </si>
  <si>
    <t>602,7</t>
  </si>
  <si>
    <t>551,4</t>
  </si>
  <si>
    <t>31/13/24</t>
  </si>
  <si>
    <t>415,4</t>
  </si>
  <si>
    <t>661,9</t>
  </si>
  <si>
    <t>509,8</t>
  </si>
  <si>
    <t>451,3</t>
  </si>
  <si>
    <t>1468,9</t>
  </si>
  <si>
    <t>106,1</t>
  </si>
  <si>
    <t>616,6</t>
  </si>
  <si>
    <t>1065,7</t>
  </si>
  <si>
    <t>1027,2</t>
  </si>
  <si>
    <t>1213,4</t>
  </si>
  <si>
    <t>1039,3</t>
  </si>
  <si>
    <t>1012,8</t>
  </si>
  <si>
    <t>290,6</t>
  </si>
  <si>
    <t>553,8</t>
  </si>
  <si>
    <t>649,1</t>
  </si>
  <si>
    <t>1210,5</t>
  </si>
  <si>
    <t>389,1</t>
  </si>
  <si>
    <t>818,1</t>
  </si>
  <si>
    <t>502,4</t>
  </si>
  <si>
    <t>1028,3</t>
  </si>
  <si>
    <t>275,5</t>
  </si>
  <si>
    <t>480,9</t>
  </si>
  <si>
    <t>635,2</t>
  </si>
  <si>
    <t>133,7</t>
  </si>
  <si>
    <t>1252,4</t>
  </si>
  <si>
    <t>996,1</t>
  </si>
  <si>
    <t>281,2</t>
  </si>
  <si>
    <t>819,3</t>
  </si>
  <si>
    <t>396,9</t>
  </si>
  <si>
    <t>449,9</t>
  </si>
  <si>
    <t>1394,1</t>
  </si>
  <si>
    <t>398,9</t>
  </si>
  <si>
    <t>227,2</t>
  </si>
  <si>
    <t>523,5</t>
  </si>
  <si>
    <t>348,4</t>
  </si>
  <si>
    <t>311,9</t>
  </si>
  <si>
    <t>534,9</t>
  </si>
  <si>
    <t>515,1</t>
  </si>
  <si>
    <t>894,6</t>
  </si>
  <si>
    <t>340,2</t>
  </si>
  <si>
    <t>293,5</t>
  </si>
  <si>
    <t>329,1</t>
  </si>
  <si>
    <t>503,4</t>
  </si>
  <si>
    <t>522,9</t>
  </si>
  <si>
    <t>449,4</t>
  </si>
  <si>
    <t>1106,2</t>
  </si>
  <si>
    <t>176,8</t>
  </si>
  <si>
    <t>537,5</t>
  </si>
  <si>
    <t>521,8</t>
  </si>
  <si>
    <t>765,8</t>
  </si>
  <si>
    <t>808,7</t>
  </si>
  <si>
    <t>517,5</t>
  </si>
  <si>
    <t>678,5</t>
  </si>
  <si>
    <t>858,1</t>
  </si>
  <si>
    <t>393,6</t>
  </si>
  <si>
    <t>460,6</t>
  </si>
  <si>
    <t>371,9</t>
  </si>
  <si>
    <t>296,5</t>
  </si>
  <si>
    <t>535,5</t>
  </si>
  <si>
    <t>835,3</t>
  </si>
  <si>
    <t>310,1</t>
  </si>
  <si>
    <t>947,4</t>
  </si>
  <si>
    <t>349,4</t>
  </si>
  <si>
    <t>526,7</t>
  </si>
  <si>
    <t>172,1</t>
  </si>
  <si>
    <t>740,5</t>
  </si>
  <si>
    <t>399,1</t>
  </si>
  <si>
    <t>438,2</t>
  </si>
  <si>
    <t>445,6</t>
  </si>
  <si>
    <t>278,3</t>
  </si>
  <si>
    <t>985,3</t>
  </si>
  <si>
    <t>678,1</t>
  </si>
  <si>
    <t>345,4</t>
  </si>
  <si>
    <t>202,3</t>
  </si>
  <si>
    <t>381,5</t>
  </si>
  <si>
    <t>181,2</t>
  </si>
  <si>
    <t>250,4</t>
  </si>
  <si>
    <t>746,4</t>
  </si>
  <si>
    <t>1039,7</t>
  </si>
  <si>
    <t>362,5</t>
  </si>
  <si>
    <t>571,2</t>
  </si>
  <si>
    <t>873,3</t>
  </si>
  <si>
    <t>342,7</t>
  </si>
  <si>
    <t>448,6</t>
  </si>
  <si>
    <t>108,2</t>
  </si>
  <si>
    <t>303,5</t>
  </si>
  <si>
    <t>711,1</t>
  </si>
  <si>
    <t>282,2</t>
  </si>
  <si>
    <t>835,6</t>
  </si>
  <si>
    <t>531,7</t>
  </si>
  <si>
    <t>353,2</t>
  </si>
  <si>
    <t>322,5</t>
  </si>
  <si>
    <t>598,3</t>
  </si>
  <si>
    <t>331,1</t>
  </si>
  <si>
    <t>431,2</t>
  </si>
  <si>
    <t>953,2</t>
  </si>
  <si>
    <t>141,3</t>
  </si>
  <si>
    <t>687,5</t>
  </si>
  <si>
    <t>783,9</t>
  </si>
  <si>
    <t>775,1</t>
  </si>
  <si>
    <t>442,5</t>
  </si>
  <si>
    <t>707,1</t>
  </si>
  <si>
    <t>411,3</t>
  </si>
  <si>
    <t>515,5</t>
  </si>
  <si>
    <t>398,7</t>
  </si>
  <si>
    <t>911,5</t>
  </si>
  <si>
    <t>815,1</t>
  </si>
  <si>
    <t>403,3</t>
  </si>
  <si>
    <t>244,8</t>
  </si>
  <si>
    <t>599,3</t>
  </si>
  <si>
    <t>875,8</t>
  </si>
  <si>
    <t>881,4</t>
  </si>
  <si>
    <t>511,9</t>
  </si>
  <si>
    <t>612,5</t>
  </si>
  <si>
    <t>883,1</t>
  </si>
  <si>
    <t>676,8</t>
  </si>
  <si>
    <t>811,,3</t>
  </si>
  <si>
    <t>325,5</t>
  </si>
  <si>
    <t>409,1</t>
  </si>
  <si>
    <t>499,9</t>
  </si>
  <si>
    <t>805,1</t>
  </si>
  <si>
    <t>441,7</t>
  </si>
  <si>
    <t>331,5</t>
  </si>
  <si>
    <t>706,6</t>
  </si>
  <si>
    <t>558,9</t>
  </si>
  <si>
    <t>801,1</t>
  </si>
  <si>
    <t>657,3</t>
  </si>
  <si>
    <t>711,3</t>
  </si>
  <si>
    <t>691,3</t>
  </si>
  <si>
    <t>518,8</t>
  </si>
  <si>
    <t>577,8</t>
  </si>
  <si>
    <t>433,9</t>
  </si>
  <si>
    <t>1202,3</t>
  </si>
  <si>
    <t>435,1</t>
  </si>
  <si>
    <t>430,9</t>
  </si>
  <si>
    <t>571,1</t>
  </si>
  <si>
    <t>COL00001</t>
  </si>
  <si>
    <t>COL00002</t>
  </si>
  <si>
    <t>COL00003</t>
  </si>
  <si>
    <t>COL00004</t>
  </si>
  <si>
    <t>COL00005</t>
  </si>
  <si>
    <t>COL00006</t>
  </si>
  <si>
    <t>COL00007</t>
  </si>
  <si>
    <t>COL00008</t>
  </si>
  <si>
    <t>COL00009</t>
  </si>
  <si>
    <t>COL00010</t>
  </si>
  <si>
    <t>COL00011</t>
  </si>
  <si>
    <t>COL00012</t>
  </si>
  <si>
    <t>COL00013</t>
  </si>
  <si>
    <t>COL00014</t>
  </si>
  <si>
    <t>COL00015</t>
  </si>
  <si>
    <t>COL00016</t>
  </si>
  <si>
    <t>COL00017</t>
  </si>
  <si>
    <t>COL00018</t>
  </si>
  <si>
    <t>COL00019</t>
  </si>
  <si>
    <t>COL00020</t>
  </si>
  <si>
    <t>COL00021</t>
  </si>
  <si>
    <t>COL00022</t>
  </si>
  <si>
    <t>COL00023</t>
  </si>
  <si>
    <t>COL00024</t>
  </si>
  <si>
    <t>COL00025</t>
  </si>
  <si>
    <t>COL00026</t>
  </si>
  <si>
    <t>COL00027</t>
  </si>
  <si>
    <t>COL00028</t>
  </si>
  <si>
    <t>COL00029</t>
  </si>
  <si>
    <t>COL00030</t>
  </si>
  <si>
    <t>COL00031</t>
  </si>
  <si>
    <t>COL00032</t>
  </si>
  <si>
    <t>COL00033</t>
  </si>
  <si>
    <t>COL00034</t>
  </si>
  <si>
    <t>COL00035</t>
  </si>
  <si>
    <t>COL00036</t>
  </si>
  <si>
    <t>COL00037</t>
  </si>
  <si>
    <t>COL00038</t>
  </si>
  <si>
    <t>COL00039</t>
  </si>
  <si>
    <t>COL00040</t>
  </si>
  <si>
    <t>COL00041</t>
  </si>
  <si>
    <t>COL00042</t>
  </si>
  <si>
    <t>COL00043</t>
  </si>
  <si>
    <t>COL00044</t>
  </si>
  <si>
    <t>COL00045</t>
  </si>
  <si>
    <t>COL00046</t>
  </si>
  <si>
    <t>COL00047</t>
  </si>
  <si>
    <t>COL00048</t>
  </si>
  <si>
    <t>COL00049</t>
  </si>
  <si>
    <t>COL00050</t>
  </si>
  <si>
    <t>COL00051</t>
  </si>
  <si>
    <t>COL00052</t>
  </si>
  <si>
    <t>COL00053</t>
  </si>
  <si>
    <t>COL00054</t>
  </si>
  <si>
    <t>COL00055</t>
  </si>
  <si>
    <t>COL00056</t>
  </si>
  <si>
    <t>COL00057</t>
  </si>
  <si>
    <t>COL00058</t>
  </si>
  <si>
    <t>COL00059</t>
  </si>
  <si>
    <t>COL00060</t>
  </si>
  <si>
    <t>COL00061</t>
  </si>
  <si>
    <t>COL00062</t>
  </si>
  <si>
    <t>COL00063</t>
  </si>
  <si>
    <t>COL00064</t>
  </si>
  <si>
    <t>COL00065</t>
  </si>
  <si>
    <t>COL00066</t>
  </si>
  <si>
    <t>COL00067</t>
  </si>
  <si>
    <t>COL00068</t>
  </si>
  <si>
    <t>COL00069</t>
  </si>
  <si>
    <t>COL00070</t>
  </si>
  <si>
    <t>COL00071</t>
  </si>
  <si>
    <t>COL00072</t>
  </si>
  <si>
    <t>COL00073</t>
  </si>
  <si>
    <t>COL00074</t>
  </si>
  <si>
    <t>COL00075</t>
  </si>
  <si>
    <t>COL00076</t>
  </si>
  <si>
    <t>COL00077</t>
  </si>
  <si>
    <t>COL00078</t>
  </si>
  <si>
    <t>COL00079</t>
  </si>
  <si>
    <t>COL00080</t>
  </si>
  <si>
    <t>COL00081</t>
  </si>
  <si>
    <t>COL00082</t>
  </si>
  <si>
    <t>COL00083</t>
  </si>
  <si>
    <t>COL00084</t>
  </si>
  <si>
    <t>COL00085</t>
  </si>
  <si>
    <t>COL00086</t>
  </si>
  <si>
    <t>COL00087</t>
  </si>
  <si>
    <t>COL00088</t>
  </si>
  <si>
    <t>COL00089</t>
  </si>
  <si>
    <t>COL00090</t>
  </si>
  <si>
    <t>COL00091</t>
  </si>
  <si>
    <t>COL00092</t>
  </si>
  <si>
    <t>COL00093</t>
  </si>
  <si>
    <t>COL00094</t>
  </si>
  <si>
    <t>COL00095</t>
  </si>
  <si>
    <t>COL00096</t>
  </si>
  <si>
    <t>COL00097</t>
  </si>
  <si>
    <t>COL00098</t>
  </si>
  <si>
    <t>COL00099</t>
  </si>
  <si>
    <t>COL00100</t>
  </si>
  <si>
    <t>COL00101</t>
  </si>
  <si>
    <t>COL00102</t>
  </si>
  <si>
    <t>COL00103</t>
  </si>
  <si>
    <t>COL00104</t>
  </si>
  <si>
    <t>COL00105</t>
  </si>
  <si>
    <t>COL00106</t>
  </si>
  <si>
    <t>COL00107</t>
  </si>
  <si>
    <t>COL00108</t>
  </si>
  <si>
    <t>COL00109</t>
  </si>
  <si>
    <t>COL00110</t>
  </si>
  <si>
    <t>COL00111</t>
  </si>
  <si>
    <t>COL00112</t>
  </si>
  <si>
    <t>COL00113</t>
  </si>
  <si>
    <t>COL00114</t>
  </si>
  <si>
    <t>COL00115</t>
  </si>
  <si>
    <t>COL00116</t>
  </si>
  <si>
    <t>COL00117</t>
  </si>
  <si>
    <t>COL00118</t>
  </si>
  <si>
    <t>COL00119</t>
  </si>
  <si>
    <t>COL00120</t>
  </si>
  <si>
    <t>COL00121</t>
  </si>
  <si>
    <t>COL00122</t>
  </si>
  <si>
    <t>COL00123</t>
  </si>
  <si>
    <t>COL00124</t>
  </si>
  <si>
    <t>COL00125</t>
  </si>
  <si>
    <t>COL00126</t>
  </si>
  <si>
    <t>COL00127</t>
  </si>
  <si>
    <t>COL00128</t>
  </si>
  <si>
    <t>COL00129</t>
  </si>
  <si>
    <t>COL00130</t>
  </si>
  <si>
    <t>COL00131</t>
  </si>
  <si>
    <t>COL00132</t>
  </si>
  <si>
    <t>COL00133</t>
  </si>
  <si>
    <t>COL00134</t>
  </si>
  <si>
    <t>COL00135</t>
  </si>
  <si>
    <t>COL00136</t>
  </si>
  <si>
    <t>COL00137</t>
  </si>
  <si>
    <t>COL00138</t>
  </si>
  <si>
    <t>COL00139</t>
  </si>
  <si>
    <t>COL00140</t>
  </si>
  <si>
    <t>COL00141</t>
  </si>
  <si>
    <t>COL00142</t>
  </si>
  <si>
    <t>COL00143</t>
  </si>
  <si>
    <t>COL00144</t>
  </si>
  <si>
    <t>COL00145</t>
  </si>
  <si>
    <t>COL00146</t>
  </si>
  <si>
    <t>COL00147</t>
  </si>
  <si>
    <t>COL00148</t>
  </si>
  <si>
    <t>COL00149</t>
  </si>
  <si>
    <t>COL00150</t>
  </si>
  <si>
    <t>COL00151</t>
  </si>
  <si>
    <t>COL00152</t>
  </si>
  <si>
    <t>COL00153</t>
  </si>
  <si>
    <t>COL00154</t>
  </si>
  <si>
    <t>COL00155</t>
  </si>
  <si>
    <t>COL00156</t>
  </si>
  <si>
    <t>COL00157</t>
  </si>
  <si>
    <t>COL00158</t>
  </si>
  <si>
    <t>COL00159</t>
  </si>
  <si>
    <t>COL00160</t>
  </si>
  <si>
    <t>COL00161</t>
  </si>
  <si>
    <t>COL00162</t>
  </si>
  <si>
    <t>COL00163</t>
  </si>
  <si>
    <t>COL00164</t>
  </si>
  <si>
    <t>COL00165</t>
  </si>
  <si>
    <t>COL00166</t>
  </si>
  <si>
    <t>COL00167</t>
  </si>
  <si>
    <t>COL00168</t>
  </si>
  <si>
    <t>COL00169</t>
  </si>
  <si>
    <t>COL00170</t>
  </si>
  <si>
    <t>COL00171</t>
  </si>
  <si>
    <t>COL00172</t>
  </si>
  <si>
    <t>COL00173</t>
  </si>
  <si>
    <t>COL00174</t>
  </si>
  <si>
    <t>COL00175</t>
  </si>
  <si>
    <t>COL00176</t>
  </si>
  <si>
    <t>COL00177</t>
  </si>
  <si>
    <t>COL00178</t>
  </si>
  <si>
    <t>COL00179</t>
  </si>
  <si>
    <t>565.9</t>
  </si>
  <si>
    <t>COL00180</t>
  </si>
  <si>
    <t>COL00181</t>
  </si>
  <si>
    <t>COL00182</t>
  </si>
  <si>
    <t>COL00183</t>
  </si>
  <si>
    <t>COL00184</t>
  </si>
  <si>
    <t>COL00185</t>
  </si>
  <si>
    <t>COL00186</t>
  </si>
  <si>
    <t>COL00187</t>
  </si>
  <si>
    <t>COL00188</t>
  </si>
  <si>
    <t>COL00189</t>
  </si>
  <si>
    <t>COL00190</t>
  </si>
  <si>
    <t>COL00191</t>
  </si>
  <si>
    <t>COL00192</t>
  </si>
  <si>
    <t>COL00193</t>
  </si>
  <si>
    <t>COL00194</t>
  </si>
  <si>
    <t>COL00195</t>
  </si>
  <si>
    <t>COL00196</t>
  </si>
  <si>
    <t>COL00197</t>
  </si>
  <si>
    <t>COL00198</t>
  </si>
  <si>
    <t>COL00199</t>
  </si>
  <si>
    <t>COL00200</t>
  </si>
  <si>
    <t>COL00201</t>
  </si>
  <si>
    <t>COL00202</t>
  </si>
  <si>
    <t>COL00203</t>
  </si>
  <si>
    <t>COL00204</t>
  </si>
  <si>
    <t>COL00205</t>
  </si>
  <si>
    <t>COL00206</t>
  </si>
  <si>
    <t>COL00207</t>
  </si>
  <si>
    <t>COL00208</t>
  </si>
  <si>
    <t>COL00209</t>
  </si>
  <si>
    <t>COL00210</t>
  </si>
  <si>
    <t>COL00211</t>
  </si>
  <si>
    <t>COL00212</t>
  </si>
  <si>
    <t>COL00213</t>
  </si>
  <si>
    <t>COL00214</t>
  </si>
  <si>
    <t>COL00215</t>
  </si>
  <si>
    <t>COL00216</t>
  </si>
  <si>
    <t>COL00217</t>
  </si>
  <si>
    <t>COL00218</t>
  </si>
  <si>
    <t>COL00219</t>
  </si>
  <si>
    <t>COL00220</t>
  </si>
  <si>
    <t>COL00221</t>
  </si>
  <si>
    <t>COL00222</t>
  </si>
  <si>
    <t>COL00223</t>
  </si>
  <si>
    <t>COL00224</t>
  </si>
  <si>
    <t>COL00225</t>
  </si>
  <si>
    <t>COL00226</t>
  </si>
  <si>
    <t>COL00227</t>
  </si>
  <si>
    <t>COL00228</t>
  </si>
  <si>
    <t>COL00229</t>
  </si>
  <si>
    <t>COL00230</t>
  </si>
  <si>
    <t>COL00231</t>
  </si>
  <si>
    <t>COL00232</t>
  </si>
  <si>
    <t>COL00233</t>
  </si>
  <si>
    <t>COL00234</t>
  </si>
  <si>
    <t>COL00235</t>
  </si>
  <si>
    <t>COL00236</t>
  </si>
  <si>
    <t>COL00237</t>
  </si>
  <si>
    <t>COL00238</t>
  </si>
  <si>
    <t>COL00239</t>
  </si>
  <si>
    <t>COL00240</t>
  </si>
  <si>
    <t>COL00241</t>
  </si>
  <si>
    <t>COL00242</t>
  </si>
  <si>
    <t>COL00243</t>
  </si>
  <si>
    <t>COL00244</t>
  </si>
  <si>
    <t>COL00245</t>
  </si>
  <si>
    <t>COL00246</t>
  </si>
  <si>
    <t>COL00247</t>
  </si>
  <si>
    <t>COL00248</t>
  </si>
  <si>
    <t>COL00249</t>
  </si>
  <si>
    <t>COL00250</t>
  </si>
  <si>
    <t>COL00251</t>
  </si>
  <si>
    <t>COL00252</t>
  </si>
  <si>
    <t>COL00253</t>
  </si>
  <si>
    <t>COL00254</t>
  </si>
  <si>
    <t>COL00255</t>
  </si>
  <si>
    <t>COL00256</t>
  </si>
  <si>
    <t>COL00257</t>
  </si>
  <si>
    <t>COL00258</t>
  </si>
  <si>
    <t>COL00259</t>
  </si>
  <si>
    <t>COL00260</t>
  </si>
  <si>
    <t>COL00261</t>
  </si>
  <si>
    <t>COL00262</t>
  </si>
  <si>
    <t>COL00263</t>
  </si>
  <si>
    <t>788.9</t>
  </si>
  <si>
    <t>879.9</t>
  </si>
  <si>
    <t>785.4</t>
  </si>
  <si>
    <t>990.9</t>
  </si>
  <si>
    <t>545.4</t>
  </si>
  <si>
    <t>421.1</t>
  </si>
  <si>
    <t>677.8</t>
  </si>
  <si>
    <t>331.8</t>
  </si>
  <si>
    <t>COL00264</t>
  </si>
  <si>
    <t>COL00265</t>
  </si>
  <si>
    <t>COL00266</t>
  </si>
  <si>
    <t>COL00267</t>
  </si>
  <si>
    <t>COL00268</t>
  </si>
  <si>
    <t>COL00269</t>
  </si>
  <si>
    <t>COL00270</t>
  </si>
  <si>
    <t>COL00271</t>
  </si>
  <si>
    <t>COL00272</t>
  </si>
  <si>
    <t>COL00273</t>
  </si>
  <si>
    <t>COL00274</t>
  </si>
  <si>
    <t>COL00275</t>
  </si>
  <si>
    <t>COL00276</t>
  </si>
  <si>
    <t>COL00277</t>
  </si>
  <si>
    <t>COL00278</t>
  </si>
  <si>
    <t>COL00279</t>
  </si>
  <si>
    <t>COL00280</t>
  </si>
  <si>
    <t>COL00281</t>
  </si>
  <si>
    <t>COL00282</t>
  </si>
  <si>
    <t>COL00283</t>
  </si>
  <si>
    <t>COL00284</t>
  </si>
  <si>
    <t>COL00285</t>
  </si>
  <si>
    <t>COL00286</t>
  </si>
  <si>
    <t>COL00287</t>
  </si>
  <si>
    <t>COL00288</t>
  </si>
  <si>
    <t>COL00289</t>
  </si>
  <si>
    <t>COL00290</t>
  </si>
  <si>
    <t>COL00291</t>
  </si>
  <si>
    <t>COL00292</t>
  </si>
  <si>
    <t>COL00293</t>
  </si>
  <si>
    <t>COL00294</t>
  </si>
  <si>
    <t>COL00295</t>
  </si>
  <si>
    <t>COL00296</t>
  </si>
  <si>
    <t>COL00297</t>
  </si>
  <si>
    <t>COL00298</t>
  </si>
  <si>
    <t>COL00299</t>
  </si>
  <si>
    <t>COL00300</t>
  </si>
  <si>
    <t>COL00301</t>
  </si>
  <si>
    <t>COL00302</t>
  </si>
  <si>
    <t>COL00303</t>
  </si>
  <si>
    <t>COL00304</t>
  </si>
  <si>
    <t>COL00305</t>
  </si>
  <si>
    <t>COL00306</t>
  </si>
  <si>
    <t>COL00307</t>
  </si>
  <si>
    <t>COL00308</t>
  </si>
  <si>
    <t>COL00309</t>
  </si>
  <si>
    <t>COL00310</t>
  </si>
  <si>
    <t>COL00311</t>
  </si>
  <si>
    <t>COL00312</t>
  </si>
  <si>
    <t>COL00313</t>
  </si>
  <si>
    <t>COL00314</t>
  </si>
  <si>
    <t>COL00315</t>
  </si>
  <si>
    <t>COL00316</t>
  </si>
  <si>
    <t>COL00317</t>
  </si>
  <si>
    <t>COL00318</t>
  </si>
  <si>
    <t>COL00319</t>
  </si>
  <si>
    <t>COL00320</t>
  </si>
  <si>
    <t>COL00321</t>
  </si>
  <si>
    <t>COL00322</t>
  </si>
  <si>
    <t>COL00323</t>
  </si>
  <si>
    <t>COL00324</t>
  </si>
  <si>
    <t>COL00325</t>
  </si>
  <si>
    <t>COL00326</t>
  </si>
  <si>
    <t>COL00327</t>
  </si>
  <si>
    <t>COL00328</t>
  </si>
  <si>
    <t>COL00329</t>
  </si>
  <si>
    <t>COL00330</t>
  </si>
  <si>
    <t>COL00331</t>
  </si>
  <si>
    <t>COL00332</t>
  </si>
  <si>
    <t>COL00333</t>
  </si>
  <si>
    <t>COL00334</t>
  </si>
  <si>
    <t>COL00335</t>
  </si>
  <si>
    <t>COL00336</t>
  </si>
  <si>
    <t>COL00337</t>
  </si>
  <si>
    <t>COL00338</t>
  </si>
  <si>
    <t>COL00339</t>
  </si>
  <si>
    <t>COL00340</t>
  </si>
  <si>
    <t>COL00341</t>
  </si>
  <si>
    <t>COL00342</t>
  </si>
  <si>
    <t>COL00343</t>
  </si>
  <si>
    <t>COL00344</t>
  </si>
  <si>
    <t>MAT003</t>
  </si>
  <si>
    <t>MAT004</t>
  </si>
  <si>
    <t>Tutup Botol Biru</t>
  </si>
  <si>
    <t>Tutup Botol Warna</t>
  </si>
  <si>
    <t>MAT005</t>
  </si>
  <si>
    <t>PRICE</t>
  </si>
  <si>
    <t>BC00001</t>
  </si>
  <si>
    <t>WEIGHT_KG</t>
  </si>
  <si>
    <t>SRC003</t>
  </si>
  <si>
    <t>PROCESS_DATE</t>
  </si>
  <si>
    <t>MATERIAL_TYPE</t>
  </si>
  <si>
    <t>INTERNAL WASTE</t>
  </si>
  <si>
    <t>UOM</t>
  </si>
  <si>
    <t>CODE</t>
  </si>
  <si>
    <t>BC</t>
  </si>
  <si>
    <t>JF</t>
  </si>
  <si>
    <t>CB</t>
  </si>
  <si>
    <t>CC</t>
  </si>
  <si>
    <t>PET</t>
  </si>
  <si>
    <t>PET Bottle</t>
  </si>
  <si>
    <t>PREMINA</t>
  </si>
  <si>
    <t>PSAA</t>
  </si>
  <si>
    <t>KG</t>
  </si>
  <si>
    <t>PCS</t>
  </si>
  <si>
    <t>BAG</t>
  </si>
  <si>
    <t>UOM_IN</t>
  </si>
  <si>
    <t>EST_WEIGHT_KG</t>
  </si>
  <si>
    <t>BC00002</t>
  </si>
  <si>
    <t>BC00003</t>
  </si>
  <si>
    <t>JF00001</t>
  </si>
  <si>
    <t>CC00001</t>
  </si>
  <si>
    <t>BC00004</t>
  </si>
  <si>
    <t>BC00005</t>
  </si>
  <si>
    <t>JF00002</t>
  </si>
  <si>
    <t>CC00002</t>
  </si>
  <si>
    <t>BC00006</t>
  </si>
  <si>
    <t>BC00007</t>
  </si>
  <si>
    <t>BC00008</t>
  </si>
  <si>
    <t>BC00009</t>
  </si>
  <si>
    <t>BC00010</t>
  </si>
  <si>
    <t>JF00003</t>
  </si>
  <si>
    <t>CC00003</t>
  </si>
  <si>
    <t>BC00011</t>
  </si>
  <si>
    <t>JF00004</t>
  </si>
  <si>
    <t>CC00004</t>
  </si>
  <si>
    <t>BC00012</t>
  </si>
  <si>
    <t>BC00013</t>
  </si>
  <si>
    <t>JF00005</t>
  </si>
  <si>
    <t>CC00005</t>
  </si>
  <si>
    <t>BC00014</t>
  </si>
  <si>
    <t>BC00015</t>
  </si>
  <si>
    <t>BC00016</t>
  </si>
  <si>
    <t>BC00017</t>
  </si>
  <si>
    <t>BC00018</t>
  </si>
  <si>
    <t>JF00006</t>
  </si>
  <si>
    <t>CC00006</t>
  </si>
  <si>
    <t>BC00019</t>
  </si>
  <si>
    <t>BC00020</t>
  </si>
  <si>
    <t>JF00007</t>
  </si>
  <si>
    <t>CC00007</t>
  </si>
  <si>
    <t>BC00021</t>
  </si>
  <si>
    <t>BC00022</t>
  </si>
  <si>
    <t>BC00023</t>
  </si>
  <si>
    <t>BC00024</t>
  </si>
  <si>
    <t>JF00008</t>
  </si>
  <si>
    <t>CC00008</t>
  </si>
  <si>
    <t>BC00025</t>
  </si>
  <si>
    <t>BC00026</t>
  </si>
  <si>
    <t>BC00027</t>
  </si>
  <si>
    <t>BC00028</t>
  </si>
  <si>
    <t>JF00009</t>
  </si>
  <si>
    <t>CC00009</t>
  </si>
  <si>
    <t>BC00029</t>
  </si>
  <si>
    <t>BC00030</t>
  </si>
  <si>
    <t>JF00010</t>
  </si>
  <si>
    <t>CC00010</t>
  </si>
  <si>
    <t>BC00031</t>
  </si>
  <si>
    <t>JF00011</t>
  </si>
  <si>
    <t>CC00011</t>
  </si>
  <si>
    <t>BC00032</t>
  </si>
  <si>
    <t>BC00033</t>
  </si>
  <si>
    <t>BC00034</t>
  </si>
  <si>
    <t>BC00035</t>
  </si>
  <si>
    <t>BC00036</t>
  </si>
  <si>
    <t>BC00037</t>
  </si>
  <si>
    <t>JF00012</t>
  </si>
  <si>
    <t>CC00012</t>
  </si>
  <si>
    <t>BC00038</t>
  </si>
  <si>
    <t>BC00039</t>
  </si>
  <si>
    <t>BC00040</t>
  </si>
  <si>
    <t>JF00013</t>
  </si>
  <si>
    <t>CC00013</t>
  </si>
  <si>
    <t>BC00041</t>
  </si>
  <si>
    <t>JF00014</t>
  </si>
  <si>
    <t>CC00014</t>
  </si>
  <si>
    <t>BC00042</t>
  </si>
  <si>
    <t>BC00043</t>
  </si>
  <si>
    <t>JF00015</t>
  </si>
  <si>
    <t>CC00015</t>
  </si>
  <si>
    <t>BC00044</t>
  </si>
  <si>
    <t>BC00045</t>
  </si>
  <si>
    <t>JF00016</t>
  </si>
  <si>
    <t>CC00016</t>
  </si>
  <si>
    <t>BC00046</t>
  </si>
  <si>
    <t>JF00017</t>
  </si>
  <si>
    <t>CC00017</t>
  </si>
  <si>
    <t>BC00047</t>
  </si>
  <si>
    <t>BC00048</t>
  </si>
  <si>
    <t>BC00049</t>
  </si>
  <si>
    <t>JF00018</t>
  </si>
  <si>
    <t>CC00018</t>
  </si>
  <si>
    <t>BC00050</t>
  </si>
  <si>
    <t>BC00051</t>
  </si>
  <si>
    <t>JF00019</t>
  </si>
  <si>
    <t>CC00019</t>
  </si>
  <si>
    <t>BC00052</t>
  </si>
  <si>
    <t>BC00053</t>
  </si>
  <si>
    <t>BC00054</t>
  </si>
  <si>
    <t>BC00055</t>
  </si>
  <si>
    <t>JF00020</t>
  </si>
  <si>
    <t>CC00020</t>
  </si>
  <si>
    <t>BC00056</t>
  </si>
  <si>
    <t>BC00057</t>
  </si>
  <si>
    <t>BC00058</t>
  </si>
  <si>
    <t>JF00021</t>
  </si>
  <si>
    <t>CC00021</t>
  </si>
  <si>
    <t>BC00059</t>
  </si>
  <si>
    <t>JF00022</t>
  </si>
  <si>
    <t>CC00022</t>
  </si>
  <si>
    <t>BC00060</t>
  </si>
  <si>
    <t>BC00061</t>
  </si>
  <si>
    <t>BC00062</t>
  </si>
  <si>
    <t>BC00063</t>
  </si>
  <si>
    <t>JF00023</t>
  </si>
  <si>
    <t>CC00023</t>
  </si>
  <si>
    <t>BC00064</t>
  </si>
  <si>
    <t>BC00065</t>
  </si>
  <si>
    <t>BC00066</t>
  </si>
  <si>
    <t>BC00067</t>
  </si>
  <si>
    <t>JF00024</t>
  </si>
  <si>
    <t>CC00024</t>
  </si>
  <si>
    <t>BC00068</t>
  </si>
  <si>
    <t>BC00069</t>
  </si>
  <si>
    <t>JF00025</t>
  </si>
  <si>
    <t>CC00025</t>
  </si>
  <si>
    <t>BC00070</t>
  </si>
  <si>
    <t>BC00071</t>
  </si>
  <si>
    <t>BC00072</t>
  </si>
  <si>
    <t>JF00026</t>
  </si>
  <si>
    <t>BC00073</t>
  </si>
  <si>
    <t>JF00027</t>
  </si>
  <si>
    <t>BC00074</t>
  </si>
  <si>
    <t>JF00028</t>
  </si>
  <si>
    <t>BC00075</t>
  </si>
  <si>
    <t>BC00076</t>
  </si>
  <si>
    <t>JF00029</t>
  </si>
  <si>
    <t>BC00077</t>
  </si>
  <si>
    <t>BC00078</t>
  </si>
  <si>
    <t>JF00030</t>
  </si>
  <si>
    <t>BC00079</t>
  </si>
  <si>
    <t>BC00080</t>
  </si>
  <si>
    <t>BC00081</t>
  </si>
  <si>
    <t>JF00031</t>
  </si>
  <si>
    <t>BC00082</t>
  </si>
  <si>
    <t>BC00083</t>
  </si>
  <si>
    <t>JF00032</t>
  </si>
  <si>
    <t>BC00084</t>
  </si>
  <si>
    <t>BC00085</t>
  </si>
  <si>
    <t>BC00086</t>
  </si>
  <si>
    <t>JF00033</t>
  </si>
  <si>
    <t>BC00087</t>
  </si>
  <si>
    <t>BC00088</t>
  </si>
  <si>
    <t>BC00089</t>
  </si>
  <si>
    <t>BC00090</t>
  </si>
  <si>
    <t>BC00091</t>
  </si>
  <si>
    <t>BC00092</t>
  </si>
  <si>
    <t>BC00093</t>
  </si>
  <si>
    <t>BC00094</t>
  </si>
  <si>
    <t>BC00095</t>
  </si>
  <si>
    <t>JF00034</t>
  </si>
  <si>
    <t>BC00096</t>
  </si>
  <si>
    <t>BC00097</t>
  </si>
  <si>
    <t>BC00098</t>
  </si>
  <si>
    <t>JF00035</t>
  </si>
  <si>
    <t>BC00099</t>
  </si>
  <si>
    <t>BC00100</t>
  </si>
  <si>
    <t>BC00101</t>
  </si>
  <si>
    <t>BC00102</t>
  </si>
  <si>
    <t>JF00036</t>
  </si>
  <si>
    <t>BC00103</t>
  </si>
  <si>
    <t>BC00104</t>
  </si>
  <si>
    <t>JF00037</t>
  </si>
  <si>
    <t>BC00105</t>
  </si>
  <si>
    <t>BC00106</t>
  </si>
  <si>
    <t>JF00038</t>
  </si>
  <si>
    <t>BC00107</t>
  </si>
  <si>
    <t>BC00108</t>
  </si>
  <si>
    <t>BC00109</t>
  </si>
  <si>
    <t>BC00110</t>
  </si>
  <si>
    <t>JF00039</t>
  </si>
  <si>
    <t>BC00111</t>
  </si>
  <si>
    <t>JF00040</t>
  </si>
  <si>
    <t>BC00112</t>
  </si>
  <si>
    <t>BC00113</t>
  </si>
  <si>
    <t>JF00041</t>
  </si>
  <si>
    <t>BC00114</t>
  </si>
  <si>
    <t>BC00115</t>
  </si>
  <si>
    <t>JF00042</t>
  </si>
  <si>
    <t>BC00116</t>
  </si>
  <si>
    <t>BC00117</t>
  </si>
  <si>
    <t>BC00118</t>
  </si>
  <si>
    <t>JF00043</t>
  </si>
  <si>
    <t>BC00119</t>
  </si>
  <si>
    <t>JF00044</t>
  </si>
  <si>
    <t>BC00120</t>
  </si>
  <si>
    <t>BC00121</t>
  </si>
  <si>
    <t>BC00122</t>
  </si>
  <si>
    <t>JF00045</t>
  </si>
  <si>
    <t>BC00123</t>
  </si>
  <si>
    <t>BC00124</t>
  </si>
  <si>
    <t>JF00046</t>
  </si>
  <si>
    <t>BC00125</t>
  </si>
  <si>
    <t>BC00126</t>
  </si>
  <si>
    <t>BC00127</t>
  </si>
  <si>
    <t>BC00128</t>
  </si>
  <si>
    <t>BC00129</t>
  </si>
  <si>
    <t>JF00047</t>
  </si>
  <si>
    <t>BC00130</t>
  </si>
  <si>
    <t>JF00048</t>
  </si>
  <si>
    <t>BC00131</t>
  </si>
  <si>
    <t>JF00049</t>
  </si>
  <si>
    <t>BC00132</t>
  </si>
  <si>
    <t>BC00133</t>
  </si>
  <si>
    <t>BC00134</t>
  </si>
  <si>
    <t>BC00135</t>
  </si>
  <si>
    <t>BC00136</t>
  </si>
  <si>
    <t>BC00137</t>
  </si>
  <si>
    <t>BC00138</t>
  </si>
  <si>
    <t>BC00139</t>
  </si>
  <si>
    <t>BC00140</t>
  </si>
  <si>
    <t>BC00141</t>
  </si>
  <si>
    <t>BC00142</t>
  </si>
  <si>
    <t>BC00143</t>
  </si>
  <si>
    <t>BC00144</t>
  </si>
  <si>
    <t>JF00050</t>
  </si>
  <si>
    <t>JF00051</t>
  </si>
  <si>
    <t>BC00145</t>
  </si>
  <si>
    <t>JF00052</t>
  </si>
  <si>
    <t>BC00146</t>
  </si>
  <si>
    <t>BC00147</t>
  </si>
  <si>
    <t>JF00053</t>
  </si>
  <si>
    <t>BC00148</t>
  </si>
  <si>
    <t>BC00149</t>
  </si>
  <si>
    <t>BC00150</t>
  </si>
  <si>
    <t>BC00151</t>
  </si>
  <si>
    <t>BC00152</t>
  </si>
  <si>
    <t>BC00153</t>
  </si>
  <si>
    <t>BC00154</t>
  </si>
  <si>
    <t>JF00054</t>
  </si>
  <si>
    <t>BC00155</t>
  </si>
  <si>
    <t>BC00156</t>
  </si>
  <si>
    <t>BC00157</t>
  </si>
  <si>
    <t>BC00158</t>
  </si>
  <si>
    <t>BC00159</t>
  </si>
  <si>
    <t>BC00160</t>
  </si>
  <si>
    <t>JF00055</t>
  </si>
  <si>
    <t>BC00161</t>
  </si>
  <si>
    <t>BC00162</t>
  </si>
  <si>
    <t>BC00163</t>
  </si>
  <si>
    <t>BC00164</t>
  </si>
  <si>
    <t>BC00165</t>
  </si>
  <si>
    <t>BC00166</t>
  </si>
  <si>
    <t>JF00056</t>
  </si>
  <si>
    <t>BC00167</t>
  </si>
  <si>
    <t>BC00168</t>
  </si>
  <si>
    <t>BC00169</t>
  </si>
  <si>
    <t>BC00170</t>
  </si>
  <si>
    <t>BC00171</t>
  </si>
  <si>
    <t>BC00172</t>
  </si>
  <si>
    <t>JF00057</t>
  </si>
  <si>
    <t>BC00173</t>
  </si>
  <si>
    <t>BC00174</t>
  </si>
  <si>
    <t>JF00058</t>
  </si>
  <si>
    <t>BC00175</t>
  </si>
  <si>
    <t>BC00176</t>
  </si>
  <si>
    <t>BC00177</t>
  </si>
  <si>
    <t>JF00059</t>
  </si>
  <si>
    <t>BC00178</t>
  </si>
  <si>
    <t>BC00179</t>
  </si>
  <si>
    <t>JF00060</t>
  </si>
  <si>
    <t>BC00180</t>
  </si>
  <si>
    <t>JF00061</t>
  </si>
  <si>
    <t>BC00181</t>
  </si>
  <si>
    <t>BC00182</t>
  </si>
  <si>
    <t>JF00062</t>
  </si>
  <si>
    <t>BC00183</t>
  </si>
  <si>
    <t>BC00184</t>
  </si>
  <si>
    <t>JF00063</t>
  </si>
  <si>
    <t>BC00185</t>
  </si>
  <si>
    <t>JF00064</t>
  </si>
  <si>
    <t>BC00186</t>
  </si>
  <si>
    <t>BC00187</t>
  </si>
  <si>
    <t>BC00188</t>
  </si>
  <si>
    <t>BC00189</t>
  </si>
  <si>
    <t>JF00065</t>
  </si>
  <si>
    <t>BC00190</t>
  </si>
  <si>
    <t>BC00191</t>
  </si>
  <si>
    <t>BC00192</t>
  </si>
  <si>
    <t>JF00066</t>
  </si>
  <si>
    <t>BC00193</t>
  </si>
  <si>
    <t>BC00194</t>
  </si>
  <si>
    <t>BC00195</t>
  </si>
  <si>
    <t>JF00067</t>
  </si>
  <si>
    <t>BC00196</t>
  </si>
  <si>
    <t>BC00197</t>
  </si>
  <si>
    <t>BC00198</t>
  </si>
  <si>
    <t>BC00199</t>
  </si>
  <si>
    <t>BC00200</t>
  </si>
  <si>
    <t>BC00201</t>
  </si>
  <si>
    <t>JF00068</t>
  </si>
  <si>
    <t>BC00202</t>
  </si>
  <si>
    <t>JF00069</t>
  </si>
  <si>
    <t>BC00203</t>
  </si>
  <si>
    <t>BC00204</t>
  </si>
  <si>
    <t>BC00205</t>
  </si>
  <si>
    <t>JF00070</t>
  </si>
  <si>
    <t>BC00206</t>
  </si>
  <si>
    <t>JF00071</t>
  </si>
  <si>
    <t>BC00207</t>
  </si>
  <si>
    <t>BC00208</t>
  </si>
  <si>
    <t>BC00209</t>
  </si>
  <si>
    <t>BC00210</t>
  </si>
  <si>
    <t>JF00072</t>
  </si>
  <si>
    <t>BC00211</t>
  </si>
  <si>
    <t>BC00212</t>
  </si>
  <si>
    <t>BC00213</t>
  </si>
  <si>
    <t>JF00073</t>
  </si>
  <si>
    <t>BC00214</t>
  </si>
  <si>
    <t>BC00215</t>
  </si>
  <si>
    <t>BC00216</t>
  </si>
  <si>
    <t>BC00217</t>
  </si>
  <si>
    <t>BC00218</t>
  </si>
  <si>
    <t>JF00074</t>
  </si>
  <si>
    <t>BC00219</t>
  </si>
  <si>
    <t>BC00220</t>
  </si>
  <si>
    <t>BC00221</t>
  </si>
  <si>
    <t>BC00222</t>
  </si>
  <si>
    <t>BC00223</t>
  </si>
  <si>
    <t>JF00075</t>
  </si>
  <si>
    <t>BC00224</t>
  </si>
  <si>
    <t>BC00225</t>
  </si>
  <si>
    <t>BC00226</t>
  </si>
  <si>
    <t>BC00227</t>
  </si>
  <si>
    <t>BC00228</t>
  </si>
  <si>
    <t>JF00076</t>
  </si>
  <si>
    <t>BC00229</t>
  </si>
  <si>
    <t>BC00230</t>
  </si>
  <si>
    <t>BC00231</t>
  </si>
  <si>
    <t>BC00232</t>
  </si>
  <si>
    <t>BC00233</t>
  </si>
  <si>
    <t>BC00234</t>
  </si>
  <si>
    <t>BC00235</t>
  </si>
  <si>
    <t>BC00236</t>
  </si>
  <si>
    <t>BC00237</t>
  </si>
  <si>
    <t>BC00238</t>
  </si>
  <si>
    <t>JF00077</t>
  </si>
  <si>
    <t>BC00239</t>
  </si>
  <si>
    <t>JF00078</t>
  </si>
  <si>
    <t>BC00240</t>
  </si>
  <si>
    <t>BC00241</t>
  </si>
  <si>
    <t>JF00079</t>
  </si>
  <si>
    <t>BC00242</t>
  </si>
  <si>
    <t>BC00243</t>
  </si>
  <si>
    <t>BC00244</t>
  </si>
  <si>
    <t>BC00245</t>
  </si>
  <si>
    <t>BC00246</t>
  </si>
  <si>
    <t>JF00080</t>
  </si>
  <si>
    <t>BC00247</t>
  </si>
  <si>
    <t>BC00248</t>
  </si>
  <si>
    <t>BC00249</t>
  </si>
  <si>
    <t>JF00081</t>
  </si>
  <si>
    <t>BC00250</t>
  </si>
  <si>
    <t>BC00251</t>
  </si>
  <si>
    <t>BC00252</t>
  </si>
  <si>
    <t>JF00082</t>
  </si>
  <si>
    <t>PET00001</t>
  </si>
  <si>
    <t>CB00001</t>
  </si>
  <si>
    <t>BC00253</t>
  </si>
  <si>
    <t>JF00083</t>
  </si>
  <si>
    <t>BC00254</t>
  </si>
  <si>
    <t>BC00255</t>
  </si>
  <si>
    <t>BC00256</t>
  </si>
  <si>
    <t>JF00084</t>
  </si>
  <si>
    <t>BC00257</t>
  </si>
  <si>
    <t>BC00258</t>
  </si>
  <si>
    <t>BC00259</t>
  </si>
  <si>
    <t>JF00085</t>
  </si>
  <si>
    <t>BC00260</t>
  </si>
  <si>
    <t>BC00261</t>
  </si>
  <si>
    <t>JF00086</t>
  </si>
  <si>
    <t>BC00262</t>
  </si>
  <si>
    <t>BC00263</t>
  </si>
  <si>
    <t>JF00087</t>
  </si>
  <si>
    <t>BC00264</t>
  </si>
  <si>
    <t>JF00088</t>
  </si>
  <si>
    <t>BC00265</t>
  </si>
  <si>
    <t>BC00266</t>
  </si>
  <si>
    <t>JF00089</t>
  </si>
  <si>
    <t>BC00267</t>
  </si>
  <si>
    <t>BC00268</t>
  </si>
  <si>
    <t>BC00269</t>
  </si>
  <si>
    <t>BC00270</t>
  </si>
  <si>
    <t>BC00271</t>
  </si>
  <si>
    <t>BC00272</t>
  </si>
  <si>
    <t>BC00273</t>
  </si>
  <si>
    <t>JF00090</t>
  </si>
  <si>
    <t>BC00274</t>
  </si>
  <si>
    <t>BC00275</t>
  </si>
  <si>
    <t>BC00276</t>
  </si>
  <si>
    <t>JF00091</t>
  </si>
  <si>
    <t>BC00277</t>
  </si>
  <si>
    <t>BC00278</t>
  </si>
  <si>
    <t>BC00279</t>
  </si>
  <si>
    <t>BC00280</t>
  </si>
  <si>
    <t>BC00281</t>
  </si>
  <si>
    <t>BC00282</t>
  </si>
  <si>
    <t>JF00092</t>
  </si>
  <si>
    <t>BC00283</t>
  </si>
  <si>
    <t>JF00093</t>
  </si>
  <si>
    <t>BC00284</t>
  </si>
  <si>
    <t>BC00285</t>
  </si>
  <si>
    <t>BC00286</t>
  </si>
  <si>
    <t>BC00287</t>
  </si>
  <si>
    <t>BC00288</t>
  </si>
  <si>
    <t>BC00289</t>
  </si>
  <si>
    <t>JF00094</t>
  </si>
  <si>
    <t>BC00290</t>
  </si>
  <si>
    <t>JF00095</t>
  </si>
  <si>
    <t>BC00291</t>
  </si>
  <si>
    <t>JF00096</t>
  </si>
  <si>
    <t>BC00292</t>
  </si>
  <si>
    <t>BC00293</t>
  </si>
  <si>
    <t>BC00294</t>
  </si>
  <si>
    <t>JF00097</t>
  </si>
  <si>
    <t>BC00295</t>
  </si>
  <si>
    <t>BC00296</t>
  </si>
  <si>
    <t>BC00297</t>
  </si>
  <si>
    <t>JF00098</t>
  </si>
  <si>
    <t>BC00298</t>
  </si>
  <si>
    <t>BC00299</t>
  </si>
  <si>
    <t>JF00099</t>
  </si>
  <si>
    <t>BC00300</t>
  </si>
  <si>
    <t>BC00301</t>
  </si>
  <si>
    <t>BC00302</t>
  </si>
  <si>
    <t>BC00303</t>
  </si>
  <si>
    <t>JF00100</t>
  </si>
  <si>
    <t>BC00304</t>
  </si>
  <si>
    <t>JF00101</t>
  </si>
  <si>
    <t>BC00305</t>
  </si>
  <si>
    <t>BC00306</t>
  </si>
  <si>
    <t>BC00307</t>
  </si>
  <si>
    <t>JF00102</t>
  </si>
  <si>
    <t>BC00308</t>
  </si>
  <si>
    <t>BC00309</t>
  </si>
  <si>
    <t>JF00103</t>
  </si>
  <si>
    <t>BC00310</t>
  </si>
  <si>
    <t>JF00104</t>
  </si>
  <si>
    <t>BC00311</t>
  </si>
  <si>
    <t>JF00105</t>
  </si>
  <si>
    <t>BC00312</t>
  </si>
  <si>
    <t>JF00106</t>
  </si>
  <si>
    <t>BC00313</t>
  </si>
  <si>
    <t>JF00107</t>
  </si>
  <si>
    <t>BC00314</t>
  </si>
  <si>
    <t>JF00108</t>
  </si>
  <si>
    <t>BC00315</t>
  </si>
  <si>
    <t>BC00316</t>
  </si>
  <si>
    <t>JF00109</t>
  </si>
  <si>
    <t>BC00317</t>
  </si>
  <si>
    <t>BC00318</t>
  </si>
  <si>
    <t>JF00110</t>
  </si>
  <si>
    <t>BC00319</t>
  </si>
  <si>
    <t>JF00111</t>
  </si>
  <si>
    <t>BC00320</t>
  </si>
  <si>
    <t>BC00321</t>
  </si>
  <si>
    <t>BC00322</t>
  </si>
  <si>
    <t>JF00112</t>
  </si>
  <si>
    <t>BC00323</t>
  </si>
  <si>
    <t>BC00324</t>
  </si>
  <si>
    <t>BC00325</t>
  </si>
  <si>
    <t>JF00113</t>
  </si>
  <si>
    <t>BC00326</t>
  </si>
  <si>
    <t>JF00114</t>
  </si>
  <si>
    <t>BC00327</t>
  </si>
  <si>
    <t>JF00115</t>
  </si>
  <si>
    <t>BC00328</t>
  </si>
  <si>
    <t>BC00329</t>
  </si>
  <si>
    <t>BC00330</t>
  </si>
  <si>
    <t>BC00331</t>
  </si>
  <si>
    <t>BC00332</t>
  </si>
  <si>
    <t>JF00116</t>
  </si>
  <si>
    <t>BC00333</t>
  </si>
  <si>
    <t>JF00117</t>
  </si>
  <si>
    <t>BC00334</t>
  </si>
  <si>
    <t>BC00335</t>
  </si>
  <si>
    <t>JF00118</t>
  </si>
  <si>
    <t>BC00336</t>
  </si>
  <si>
    <t>JF00119</t>
  </si>
  <si>
    <t>BC00337</t>
  </si>
  <si>
    <t>BC00338</t>
  </si>
  <si>
    <t>BC00339</t>
  </si>
  <si>
    <t>BC00340</t>
  </si>
  <si>
    <t>JF00120</t>
  </si>
  <si>
    <t>BC00341</t>
  </si>
  <si>
    <t>BC00342</t>
  </si>
  <si>
    <t>JF00121</t>
  </si>
  <si>
    <t>BC00343</t>
  </si>
  <si>
    <t>BC00344</t>
  </si>
  <si>
    <t>JF00122</t>
  </si>
  <si>
    <t>BC00345</t>
  </si>
  <si>
    <t>BC00346</t>
  </si>
  <si>
    <t>JF00123</t>
  </si>
  <si>
    <t>BC00347</t>
  </si>
  <si>
    <t>BC00348</t>
  </si>
  <si>
    <t>BC00349</t>
  </si>
  <si>
    <t>JF00124</t>
  </si>
  <si>
    <t>BC00350</t>
  </si>
  <si>
    <t>BC00351</t>
  </si>
  <si>
    <t>BC00352</t>
  </si>
  <si>
    <t>BC00353</t>
  </si>
  <si>
    <t>BC00354</t>
  </si>
  <si>
    <t>BC00355</t>
  </si>
  <si>
    <t>JF00125</t>
  </si>
  <si>
    <t>BC00356</t>
  </si>
  <si>
    <t>BC00357</t>
  </si>
  <si>
    <t>BC00358</t>
  </si>
  <si>
    <t>BC00359</t>
  </si>
  <si>
    <t>BC00360</t>
  </si>
  <si>
    <t>BC00361</t>
  </si>
  <si>
    <t>JF00126</t>
  </si>
  <si>
    <t>BC00362</t>
  </si>
  <si>
    <t>JF00127</t>
  </si>
  <si>
    <t>BC00363</t>
  </si>
  <si>
    <t>BC00364</t>
  </si>
  <si>
    <t>BC00365</t>
  </si>
  <si>
    <t>BC00366</t>
  </si>
  <si>
    <t>BC00367</t>
  </si>
  <si>
    <t>BC00368</t>
  </si>
  <si>
    <t>BC00369</t>
  </si>
  <si>
    <t>JF00128</t>
  </si>
  <si>
    <t>BC00370</t>
  </si>
  <si>
    <t>JF00129</t>
  </si>
  <si>
    <t>BC00371</t>
  </si>
  <si>
    <t>BC00372</t>
  </si>
  <si>
    <t>JF00130</t>
  </si>
  <si>
    <t>BC00373</t>
  </si>
  <si>
    <t>BC00374</t>
  </si>
  <si>
    <t>BC00375</t>
  </si>
  <si>
    <t>BC00376</t>
  </si>
  <si>
    <t>JF00131</t>
  </si>
  <si>
    <t>BC00377</t>
  </si>
  <si>
    <t>BC00378</t>
  </si>
  <si>
    <t>BC00379</t>
  </si>
  <si>
    <t>JF00132</t>
  </si>
  <si>
    <t>BC00380</t>
  </si>
  <si>
    <t>BC00381</t>
  </si>
  <si>
    <t>BC00382</t>
  </si>
  <si>
    <t>BC00383</t>
  </si>
  <si>
    <t>BC00384</t>
  </si>
  <si>
    <t>BC00385</t>
  </si>
  <si>
    <t>BC00386</t>
  </si>
  <si>
    <t>BC00387</t>
  </si>
  <si>
    <t>BC00388</t>
  </si>
  <si>
    <t>BC00389</t>
  </si>
  <si>
    <t>BC00390</t>
  </si>
  <si>
    <t>BC00391</t>
  </si>
  <si>
    <t>BC00392</t>
  </si>
  <si>
    <t>BC00393</t>
  </si>
  <si>
    <t>BC00394</t>
  </si>
  <si>
    <t>JF00133</t>
  </si>
  <si>
    <t>BC00395</t>
  </si>
  <si>
    <t>BC00396</t>
  </si>
  <si>
    <t>JF00134</t>
  </si>
  <si>
    <t>BC00397</t>
  </si>
  <si>
    <t>BC00398</t>
  </si>
  <si>
    <t>BC00399</t>
  </si>
  <si>
    <t>BC00400</t>
  </si>
  <si>
    <t>BC00401</t>
  </si>
  <si>
    <t>BC00402</t>
  </si>
  <si>
    <t>BC00403</t>
  </si>
  <si>
    <t>BC00404</t>
  </si>
  <si>
    <t>BC00405</t>
  </si>
  <si>
    <t>BC00406</t>
  </si>
  <si>
    <t>JF00135</t>
  </si>
  <si>
    <t>BC00407</t>
  </si>
  <si>
    <t>JF00136</t>
  </si>
  <si>
    <t>BC00408</t>
  </si>
  <si>
    <t>BC00409</t>
  </si>
  <si>
    <t>JF00137</t>
  </si>
  <si>
    <t>BC00410</t>
  </si>
  <si>
    <t>BC00411</t>
  </si>
  <si>
    <t>BC00412</t>
  </si>
  <si>
    <t>BC00413</t>
  </si>
  <si>
    <t>JF00138</t>
  </si>
  <si>
    <t>BC00414</t>
  </si>
  <si>
    <t>JF00139</t>
  </si>
  <si>
    <t>BC00415</t>
  </si>
  <si>
    <t>BC00416</t>
  </si>
  <si>
    <t>JF00140</t>
  </si>
  <si>
    <t>BC00417</t>
  </si>
  <si>
    <t>BC00418</t>
  </si>
  <si>
    <t>JF00141</t>
  </si>
  <si>
    <t>BC00419</t>
  </si>
  <si>
    <t>BC00420</t>
  </si>
  <si>
    <t>BC00421</t>
  </si>
  <si>
    <t>BC00422</t>
  </si>
  <si>
    <t>JF00142</t>
  </si>
  <si>
    <t>BC00423</t>
  </si>
  <si>
    <t>BC00424</t>
  </si>
  <si>
    <t>BC00425</t>
  </si>
  <si>
    <t>BC00426</t>
  </si>
  <si>
    <t>BC00427</t>
  </si>
  <si>
    <t>JF00143</t>
  </si>
  <si>
    <t>BC00428</t>
  </si>
  <si>
    <t>BC00429</t>
  </si>
  <si>
    <t>BC00430</t>
  </si>
  <si>
    <t>BC00431</t>
  </si>
  <si>
    <t>JF00144</t>
  </si>
  <si>
    <t>BC00432</t>
  </si>
  <si>
    <t>BC00433</t>
  </si>
  <si>
    <t>BC00434</t>
  </si>
  <si>
    <t>BC00435</t>
  </si>
  <si>
    <t>JF00145</t>
  </si>
  <si>
    <t>BC00436</t>
  </si>
  <si>
    <t>BC00437</t>
  </si>
  <si>
    <t>BC00438</t>
  </si>
  <si>
    <t>JF00146</t>
  </si>
  <si>
    <t>BC00439</t>
  </si>
  <si>
    <t>JF00147</t>
  </si>
  <si>
    <t>BC00440</t>
  </si>
  <si>
    <t>BC00441</t>
  </si>
  <si>
    <t>BC00442</t>
  </si>
  <si>
    <t>BC00443</t>
  </si>
  <si>
    <t>BC00444</t>
  </si>
  <si>
    <t>BC00445</t>
  </si>
  <si>
    <t>JF00148</t>
  </si>
  <si>
    <t>BC00446</t>
  </si>
  <si>
    <t>BC00447</t>
  </si>
  <si>
    <t>JF00149</t>
  </si>
  <si>
    <t>BC00448</t>
  </si>
  <si>
    <t>BC00449</t>
  </si>
  <si>
    <t>BC00450</t>
  </si>
  <si>
    <t>BC00451</t>
  </si>
  <si>
    <t>JF00150</t>
  </si>
  <si>
    <t>BC00452</t>
  </si>
  <si>
    <t>JF00151</t>
  </si>
  <si>
    <t>BC00453</t>
  </si>
  <si>
    <t>BC00454</t>
  </si>
  <si>
    <t>BC00455</t>
  </si>
  <si>
    <t>BC00456</t>
  </si>
  <si>
    <t>JF00152</t>
  </si>
  <si>
    <t>BC00457</t>
  </si>
  <si>
    <t>BC00458</t>
  </si>
  <si>
    <t>JF00153</t>
  </si>
  <si>
    <t>BC00459</t>
  </si>
  <si>
    <t>BC00460</t>
  </si>
  <si>
    <t>BC00461</t>
  </si>
  <si>
    <t>BC00462</t>
  </si>
  <si>
    <t>BC00463</t>
  </si>
  <si>
    <t>BC00464</t>
  </si>
  <si>
    <t>JF00154</t>
  </si>
  <si>
    <t>BC00465</t>
  </si>
  <si>
    <t>JF00155</t>
  </si>
  <si>
    <t>BC00466</t>
  </si>
  <si>
    <t>BC00467</t>
  </si>
  <si>
    <t>BC00468</t>
  </si>
  <si>
    <t>JF00156</t>
  </si>
  <si>
    <t>BC00469</t>
  </si>
  <si>
    <t>BC00470</t>
  </si>
  <si>
    <t>BC00471</t>
  </si>
  <si>
    <t>BC00472</t>
  </si>
  <si>
    <t>BC00473</t>
  </si>
  <si>
    <t>JF00157</t>
  </si>
  <si>
    <t>BC00474</t>
  </si>
  <si>
    <t>BC00475</t>
  </si>
  <si>
    <t>BC00476</t>
  </si>
  <si>
    <t>BC00477</t>
  </si>
  <si>
    <t>BC00478</t>
  </si>
  <si>
    <t>BC00479</t>
  </si>
  <si>
    <t>BC00480</t>
  </si>
  <si>
    <t>BC00481</t>
  </si>
  <si>
    <t>BC00482</t>
  </si>
  <si>
    <t>BC00483</t>
  </si>
  <si>
    <t>JF00158</t>
  </si>
  <si>
    <t>BC00484</t>
  </si>
  <si>
    <t>BC00485</t>
  </si>
  <si>
    <t>BC00486</t>
  </si>
  <si>
    <t>BC00487</t>
  </si>
  <si>
    <t>BC00488</t>
  </si>
  <si>
    <t>BC00489</t>
  </si>
  <si>
    <t>BC00490</t>
  </si>
  <si>
    <t>JF00159</t>
  </si>
  <si>
    <t>BC00491</t>
  </si>
  <si>
    <t>BC00492</t>
  </si>
  <si>
    <t>BC00493</t>
  </si>
  <si>
    <t>BC00494</t>
  </si>
  <si>
    <t>BC00495</t>
  </si>
  <si>
    <t>BC00496</t>
  </si>
  <si>
    <t>BC00497</t>
  </si>
  <si>
    <t>BC00498</t>
  </si>
  <si>
    <t>BC00499</t>
  </si>
  <si>
    <t>BC00500</t>
  </si>
  <si>
    <t>BC00501</t>
  </si>
  <si>
    <t>BC00502</t>
  </si>
  <si>
    <t>BC00503</t>
  </si>
  <si>
    <t>BC00504</t>
  </si>
  <si>
    <t>BC00505</t>
  </si>
  <si>
    <t>BC00506</t>
  </si>
  <si>
    <t>BC00507</t>
  </si>
  <si>
    <t>BC00508</t>
  </si>
  <si>
    <t>BC00509</t>
  </si>
  <si>
    <t>BC00510</t>
  </si>
  <si>
    <t>BC00511</t>
  </si>
  <si>
    <t>BC00512</t>
  </si>
  <si>
    <t>BC00513</t>
  </si>
  <si>
    <t>BC00514</t>
  </si>
  <si>
    <t>BC00515</t>
  </si>
  <si>
    <t>BC00516</t>
  </si>
  <si>
    <t>BC00517</t>
  </si>
  <si>
    <t>BC00518</t>
  </si>
  <si>
    <t>BC00519</t>
  </si>
  <si>
    <t>BC00520</t>
  </si>
  <si>
    <t>BC00521</t>
  </si>
  <si>
    <t>BC00522</t>
  </si>
  <si>
    <t>BC00523</t>
  </si>
  <si>
    <t>BC00524</t>
  </si>
  <si>
    <t>BC00525</t>
  </si>
  <si>
    <t>BC00526</t>
  </si>
  <si>
    <t>BC00527</t>
  </si>
  <si>
    <t>BC00528</t>
  </si>
  <si>
    <t>BC00529</t>
  </si>
  <si>
    <t>BC00530</t>
  </si>
  <si>
    <t>BC00531</t>
  </si>
  <si>
    <t>BC00532</t>
  </si>
  <si>
    <t>BC00533</t>
  </si>
  <si>
    <t>BC00534</t>
  </si>
  <si>
    <t>BC00535</t>
  </si>
  <si>
    <t>BC00536</t>
  </si>
  <si>
    <t>BC00537</t>
  </si>
  <si>
    <t>BC00538</t>
  </si>
  <si>
    <t>BC00539</t>
  </si>
  <si>
    <t>BC00540</t>
  </si>
  <si>
    <t>BC00541</t>
  </si>
  <si>
    <t>BC00542</t>
  </si>
  <si>
    <t>BC00543</t>
  </si>
  <si>
    <t>BC00544</t>
  </si>
  <si>
    <t>BC00545</t>
  </si>
  <si>
    <t>BC00546</t>
  </si>
  <si>
    <t>BC00547</t>
  </si>
  <si>
    <t>BC00548</t>
  </si>
  <si>
    <t>BC00549</t>
  </si>
  <si>
    <t>BC00550</t>
  </si>
  <si>
    <t>BC00551</t>
  </si>
  <si>
    <t>BC00552</t>
  </si>
  <si>
    <t>BC00553</t>
  </si>
  <si>
    <t>BC00554</t>
  </si>
  <si>
    <t>BC00555</t>
  </si>
  <si>
    <t>BC00556</t>
  </si>
  <si>
    <t>BC00557</t>
  </si>
  <si>
    <t>BC00558</t>
  </si>
  <si>
    <t>BC00559</t>
  </si>
  <si>
    <t>BC00560</t>
  </si>
  <si>
    <t>BC00561</t>
  </si>
  <si>
    <t>BC00562</t>
  </si>
  <si>
    <t>BC00563</t>
  </si>
  <si>
    <t>BC00564</t>
  </si>
  <si>
    <t>BC00565</t>
  </si>
  <si>
    <t>BC00566</t>
  </si>
  <si>
    <t>BC00567</t>
  </si>
  <si>
    <t>BC00568</t>
  </si>
  <si>
    <t>BC00569</t>
  </si>
  <si>
    <t>BC00570</t>
  </si>
  <si>
    <t>BC00571</t>
  </si>
  <si>
    <t>BC00572</t>
  </si>
  <si>
    <t>BC00573</t>
  </si>
  <si>
    <t>BC00574</t>
  </si>
  <si>
    <t>BC00575</t>
  </si>
  <si>
    <t>BC00576</t>
  </si>
  <si>
    <t>BC00577</t>
  </si>
  <si>
    <t>BC00578</t>
  </si>
  <si>
    <t>BC00579</t>
  </si>
  <si>
    <t>BC00580</t>
  </si>
  <si>
    <t>BC00581</t>
  </si>
  <si>
    <t>BC00582</t>
  </si>
  <si>
    <t>BC00583</t>
  </si>
  <si>
    <t>BC00584</t>
  </si>
  <si>
    <t>BC00585</t>
  </si>
  <si>
    <t>BC00586</t>
  </si>
  <si>
    <t>BC00587</t>
  </si>
  <si>
    <t>BC00588</t>
  </si>
  <si>
    <t>BC00589</t>
  </si>
  <si>
    <t>BC00590</t>
  </si>
  <si>
    <t>BC00591</t>
  </si>
  <si>
    <t>BC00592</t>
  </si>
  <si>
    <t>BC00593</t>
  </si>
  <si>
    <t>BC00594</t>
  </si>
  <si>
    <t>BC00595</t>
  </si>
  <si>
    <t>BC00596</t>
  </si>
  <si>
    <t>BC00597</t>
  </si>
  <si>
    <t>BC00598</t>
  </si>
  <si>
    <t>BC00599</t>
  </si>
  <si>
    <t>BC00600</t>
  </si>
  <si>
    <t>BC00601</t>
  </si>
  <si>
    <t>BC00602</t>
  </si>
  <si>
    <t>BC00603</t>
  </si>
  <si>
    <t>BC00604</t>
  </si>
  <si>
    <t>BC00605</t>
  </si>
  <si>
    <t>BC00606</t>
  </si>
  <si>
    <t>BC00607</t>
  </si>
  <si>
    <t>BC00608</t>
  </si>
  <si>
    <t>BC00609</t>
  </si>
  <si>
    <t>BC00610</t>
  </si>
  <si>
    <t>BC00611</t>
  </si>
  <si>
    <t>BC00612</t>
  </si>
  <si>
    <t>BC00613</t>
  </si>
  <si>
    <t>BC00614</t>
  </si>
  <si>
    <t>BC00615</t>
  </si>
  <si>
    <t>BC00616</t>
  </si>
  <si>
    <t>BC00617</t>
  </si>
  <si>
    <t>BC00618</t>
  </si>
  <si>
    <t>BC00619</t>
  </si>
  <si>
    <t>BC00620</t>
  </si>
  <si>
    <t>BC00621</t>
  </si>
  <si>
    <t>BC00622</t>
  </si>
  <si>
    <t>BC00623</t>
  </si>
  <si>
    <t>BC00624</t>
  </si>
  <si>
    <t>BC00625</t>
  </si>
  <si>
    <t>BC00626</t>
  </si>
  <si>
    <t>BC00627</t>
  </si>
  <si>
    <t>BC00628</t>
  </si>
  <si>
    <t>BC00629</t>
  </si>
  <si>
    <t>BC00630</t>
  </si>
  <si>
    <t>BC00631</t>
  </si>
  <si>
    <t>BC00632</t>
  </si>
  <si>
    <t>BC00633</t>
  </si>
  <si>
    <t>BC00634</t>
  </si>
  <si>
    <t>BC00635</t>
  </si>
  <si>
    <t>BC00636</t>
  </si>
  <si>
    <t>BC00637</t>
  </si>
  <si>
    <t>BC00638</t>
  </si>
  <si>
    <t>BC00639</t>
  </si>
  <si>
    <t>BC00640</t>
  </si>
  <si>
    <t>BC00641</t>
  </si>
  <si>
    <t>BC00642</t>
  </si>
  <si>
    <t>BC00643</t>
  </si>
  <si>
    <t>BC00644</t>
  </si>
  <si>
    <t>BC00645</t>
  </si>
  <si>
    <t>BC00646</t>
  </si>
  <si>
    <t>BC00647</t>
  </si>
  <si>
    <t>BC00648</t>
  </si>
  <si>
    <t>BC00649</t>
  </si>
  <si>
    <t>BC00650</t>
  </si>
  <si>
    <t>BC00651</t>
  </si>
  <si>
    <t>BC00652</t>
  </si>
  <si>
    <t>BC00653</t>
  </si>
  <si>
    <t>BC00654</t>
  </si>
  <si>
    <t>BC00655</t>
  </si>
  <si>
    <t>BC00656</t>
  </si>
  <si>
    <t>BC00657</t>
  </si>
  <si>
    <t>BC00658</t>
  </si>
  <si>
    <t>BC00659</t>
  </si>
  <si>
    <t>BC00660</t>
  </si>
  <si>
    <t>BC00661</t>
  </si>
  <si>
    <t>BC00662</t>
  </si>
  <si>
    <t>BC00663</t>
  </si>
  <si>
    <t>BC00664</t>
  </si>
  <si>
    <t>BC00665</t>
  </si>
  <si>
    <t>BC00666</t>
  </si>
  <si>
    <t>BC00667</t>
  </si>
  <si>
    <t>BC00668</t>
  </si>
  <si>
    <t>BC00669</t>
  </si>
  <si>
    <t>BC00670</t>
  </si>
  <si>
    <t>BC00671</t>
  </si>
  <si>
    <t>BC00672</t>
  </si>
  <si>
    <t>BC00673</t>
  </si>
  <si>
    <t>BC00674</t>
  </si>
  <si>
    <t>BC00675</t>
  </si>
  <si>
    <t>BC00676</t>
  </si>
  <si>
    <t>BC00677</t>
  </si>
  <si>
    <t>BC00678</t>
  </si>
  <si>
    <t>BC00679</t>
  </si>
  <si>
    <t>BC00680</t>
  </si>
  <si>
    <t>BC00681</t>
  </si>
  <si>
    <t>BC00682</t>
  </si>
  <si>
    <t>BC00683</t>
  </si>
  <si>
    <t>BC00684</t>
  </si>
  <si>
    <t>BC00685</t>
  </si>
  <si>
    <t>BC00686</t>
  </si>
  <si>
    <t>BC00687</t>
  </si>
  <si>
    <t>BC00688</t>
  </si>
  <si>
    <t>BC00689</t>
  </si>
  <si>
    <t>BC00690</t>
  </si>
  <si>
    <t>BC00691</t>
  </si>
  <si>
    <t>BC00692</t>
  </si>
  <si>
    <t>BC00693</t>
  </si>
  <si>
    <t>BC00694</t>
  </si>
  <si>
    <t>BC00695</t>
  </si>
  <si>
    <t>BC00696</t>
  </si>
  <si>
    <t>BC00697</t>
  </si>
  <si>
    <t>BC00698</t>
  </si>
  <si>
    <t>BC00699</t>
  </si>
  <si>
    <t>BC00700</t>
  </si>
  <si>
    <t>BC00701</t>
  </si>
  <si>
    <t>BC00702</t>
  </si>
  <si>
    <t>BC00703</t>
  </si>
  <si>
    <t>BC00704</t>
  </si>
  <si>
    <t>BC00705</t>
  </si>
  <si>
    <t>BC00706</t>
  </si>
  <si>
    <t>BC00707</t>
  </si>
  <si>
    <t>BC00708</t>
  </si>
  <si>
    <t>BC00709</t>
  </si>
  <si>
    <t>BC00710</t>
  </si>
  <si>
    <t>BC00711</t>
  </si>
  <si>
    <t>BC00712</t>
  </si>
  <si>
    <t>BC00713</t>
  </si>
  <si>
    <t>BC00714</t>
  </si>
  <si>
    <t>BC00715</t>
  </si>
  <si>
    <t>BC00716</t>
  </si>
  <si>
    <t>BC00717</t>
  </si>
  <si>
    <t>BC00718</t>
  </si>
  <si>
    <t>BC00719</t>
  </si>
  <si>
    <t>BC00720</t>
  </si>
  <si>
    <t>BC00721</t>
  </si>
  <si>
    <t>BC00722</t>
  </si>
  <si>
    <t>BC00723</t>
  </si>
  <si>
    <t>BC00724</t>
  </si>
  <si>
    <t>BC00725</t>
  </si>
  <si>
    <t>BC00726</t>
  </si>
  <si>
    <t>BC00727</t>
  </si>
  <si>
    <t>BC00728</t>
  </si>
  <si>
    <t>BC00729</t>
  </si>
  <si>
    <t>BC00730</t>
  </si>
  <si>
    <t>BC00731</t>
  </si>
  <si>
    <t>BC00732</t>
  </si>
  <si>
    <t>BC00733</t>
  </si>
  <si>
    <t>BC00734</t>
  </si>
  <si>
    <t>BC00735</t>
  </si>
  <si>
    <t>BC00736</t>
  </si>
  <si>
    <t>BC00737</t>
  </si>
  <si>
    <t>BC00738</t>
  </si>
  <si>
    <t>BC00739</t>
  </si>
  <si>
    <t>BC00740</t>
  </si>
  <si>
    <t>BC00741</t>
  </si>
  <si>
    <t>BC00742</t>
  </si>
  <si>
    <t>BC00743</t>
  </si>
  <si>
    <t>BC00744</t>
  </si>
  <si>
    <t>BC00745</t>
  </si>
  <si>
    <t>BC00746</t>
  </si>
  <si>
    <t>BC00747</t>
  </si>
  <si>
    <t>BC00748</t>
  </si>
  <si>
    <t>BC00749</t>
  </si>
  <si>
    <t>BC00750</t>
  </si>
  <si>
    <t>BC00751</t>
  </si>
  <si>
    <t>BC00752</t>
  </si>
  <si>
    <t>BC00753</t>
  </si>
  <si>
    <t>BC00754</t>
  </si>
  <si>
    <t>BC00755</t>
  </si>
  <si>
    <t>BC00756</t>
  </si>
  <si>
    <t>BC00757</t>
  </si>
  <si>
    <t>BC00758</t>
  </si>
  <si>
    <t>BC00759</t>
  </si>
  <si>
    <t>BC00760</t>
  </si>
  <si>
    <t>BC00761</t>
  </si>
  <si>
    <t>BC00762</t>
  </si>
  <si>
    <t>BC00763</t>
  </si>
  <si>
    <t>BC00764</t>
  </si>
  <si>
    <t>BC00765</t>
  </si>
  <si>
    <t>BC00766</t>
  </si>
  <si>
    <t>BC00767</t>
  </si>
  <si>
    <t>BC00768</t>
  </si>
  <si>
    <t>BC00769</t>
  </si>
  <si>
    <t>BC00770</t>
  </si>
  <si>
    <t>BC00771</t>
  </si>
  <si>
    <t>BC00772</t>
  </si>
  <si>
    <t>BC00773</t>
  </si>
  <si>
    <t>BC00774</t>
  </si>
  <si>
    <t>BC00775</t>
  </si>
  <si>
    <t>BC00776</t>
  </si>
  <si>
    <t>BC00777</t>
  </si>
  <si>
    <t>BC00778</t>
  </si>
  <si>
    <t>BC00779</t>
  </si>
  <si>
    <t>BC00780</t>
  </si>
  <si>
    <t>BC00781</t>
  </si>
  <si>
    <t>BC00782</t>
  </si>
  <si>
    <t>BC00783</t>
  </si>
  <si>
    <t>BC00784</t>
  </si>
  <si>
    <t>BC00785</t>
  </si>
  <si>
    <t>BC00786</t>
  </si>
  <si>
    <t>BC00787</t>
  </si>
  <si>
    <t>BC00788</t>
  </si>
  <si>
    <t>BC00789</t>
  </si>
  <si>
    <t>BC00790</t>
  </si>
  <si>
    <t>BC00791</t>
  </si>
  <si>
    <t>BC00792</t>
  </si>
  <si>
    <t>BC00793</t>
  </si>
  <si>
    <t>BC00794</t>
  </si>
  <si>
    <t>BC00795</t>
  </si>
  <si>
    <t>BC00796</t>
  </si>
  <si>
    <t>BC00797</t>
  </si>
  <si>
    <t>BC00798</t>
  </si>
  <si>
    <t>BC00799</t>
  </si>
  <si>
    <t>BC00800</t>
  </si>
  <si>
    <t>BC00801</t>
  </si>
  <si>
    <t>BC00802</t>
  </si>
  <si>
    <t>BC00803</t>
  </si>
  <si>
    <t>BC00804</t>
  </si>
  <si>
    <t>BC00805</t>
  </si>
  <si>
    <t>BC00806</t>
  </si>
  <si>
    <t>BC00807</t>
  </si>
  <si>
    <t>BC00808</t>
  </si>
  <si>
    <t>BC00809</t>
  </si>
  <si>
    <t>BC00810</t>
  </si>
  <si>
    <t>BC00811</t>
  </si>
  <si>
    <t>BC00812</t>
  </si>
  <si>
    <t>BC00813</t>
  </si>
  <si>
    <t>BC00814</t>
  </si>
  <si>
    <t>BC00815</t>
  </si>
  <si>
    <t>BC00816</t>
  </si>
  <si>
    <t>BC00817</t>
  </si>
  <si>
    <t>BC00818</t>
  </si>
  <si>
    <t>BC00819</t>
  </si>
  <si>
    <t>BC00820</t>
  </si>
  <si>
    <t>BC00821</t>
  </si>
  <si>
    <t>BC00822</t>
  </si>
  <si>
    <t>BC00823</t>
  </si>
  <si>
    <t>BC00824</t>
  </si>
  <si>
    <t>BC00825</t>
  </si>
  <si>
    <t>BC00826</t>
  </si>
  <si>
    <t>BC00827</t>
  </si>
  <si>
    <t>BC00828</t>
  </si>
  <si>
    <t>BC00829</t>
  </si>
  <si>
    <t>BC00830</t>
  </si>
  <si>
    <t>BC00831</t>
  </si>
  <si>
    <t>BC00832</t>
  </si>
  <si>
    <t>BC00833</t>
  </si>
  <si>
    <t>BC00834</t>
  </si>
  <si>
    <t>BC00835</t>
  </si>
  <si>
    <t>BC00836</t>
  </si>
  <si>
    <t>BC00837</t>
  </si>
  <si>
    <t>BC00838</t>
  </si>
  <si>
    <t>BC00839</t>
  </si>
  <si>
    <t>BC00840</t>
  </si>
  <si>
    <t>BC00841</t>
  </si>
  <si>
    <t>BC00842</t>
  </si>
  <si>
    <t>BC00843</t>
  </si>
  <si>
    <t>BC00844</t>
  </si>
  <si>
    <t>BC00845</t>
  </si>
  <si>
    <t>BC00846</t>
  </si>
  <si>
    <t>BC00847</t>
  </si>
  <si>
    <t>BC00848</t>
  </si>
  <si>
    <t>BC00849</t>
  </si>
  <si>
    <t>BC00850</t>
  </si>
  <si>
    <t>BC00851</t>
  </si>
  <si>
    <t>BC00852</t>
  </si>
  <si>
    <t>BC00853</t>
  </si>
  <si>
    <t>BC00854</t>
  </si>
  <si>
    <t>BC00855</t>
  </si>
  <si>
    <t>BC00856</t>
  </si>
  <si>
    <t>BC00857</t>
  </si>
  <si>
    <t>BC00858</t>
  </si>
  <si>
    <t>BC00859</t>
  </si>
  <si>
    <t>BC00860</t>
  </si>
  <si>
    <t>BC00861</t>
  </si>
  <si>
    <t>BC00862</t>
  </si>
  <si>
    <t>BC00863</t>
  </si>
  <si>
    <t>BC00864</t>
  </si>
  <si>
    <t>BC00865</t>
  </si>
  <si>
    <t>BC00866</t>
  </si>
  <si>
    <t>BC00867</t>
  </si>
  <si>
    <t>BC00868</t>
  </si>
  <si>
    <t>BC00869</t>
  </si>
  <si>
    <t>BC00870</t>
  </si>
  <si>
    <t>BC00871</t>
  </si>
  <si>
    <t>BC00872</t>
  </si>
  <si>
    <t>BC00873</t>
  </si>
  <si>
    <t>BC00874</t>
  </si>
  <si>
    <t>BC00875</t>
  </si>
  <si>
    <t>BC00876</t>
  </si>
  <si>
    <t>BC00877</t>
  </si>
  <si>
    <t>BC00878</t>
  </si>
  <si>
    <t>BC00879</t>
  </si>
  <si>
    <t>BC00880</t>
  </si>
  <si>
    <t>BC00881</t>
  </si>
  <si>
    <t>BC00882</t>
  </si>
  <si>
    <t>BC00883</t>
  </si>
  <si>
    <t>BC00884</t>
  </si>
  <si>
    <t>BC00885</t>
  </si>
  <si>
    <t>BC00886</t>
  </si>
  <si>
    <t>BC00887</t>
  </si>
  <si>
    <t>BC00888</t>
  </si>
  <si>
    <t>BC00889</t>
  </si>
  <si>
    <t>BC00890</t>
  </si>
  <si>
    <t>BC00891</t>
  </si>
  <si>
    <t>BC00892</t>
  </si>
  <si>
    <t>BC00893</t>
  </si>
  <si>
    <t>BC00894</t>
  </si>
  <si>
    <t>BC00895</t>
  </si>
  <si>
    <t>BC00896</t>
  </si>
  <si>
    <t>BC00897</t>
  </si>
  <si>
    <t>BC00898</t>
  </si>
  <si>
    <t>BC00899</t>
  </si>
  <si>
    <t>BC00900</t>
  </si>
  <si>
    <t>BC00901</t>
  </si>
  <si>
    <t>BC00902</t>
  </si>
  <si>
    <t>BC00903</t>
  </si>
  <si>
    <t>BC00904</t>
  </si>
  <si>
    <t>BC00905</t>
  </si>
  <si>
    <t>BC00906</t>
  </si>
  <si>
    <t>BC00907</t>
  </si>
  <si>
    <t>BC00908</t>
  </si>
  <si>
    <t>BC00909</t>
  </si>
  <si>
    <t>BC00910</t>
  </si>
  <si>
    <t>BC00911</t>
  </si>
  <si>
    <t>BC00912</t>
  </si>
  <si>
    <t>BC00913</t>
  </si>
  <si>
    <t>BC00914</t>
  </si>
  <si>
    <t>BC00915</t>
  </si>
  <si>
    <t>BC00916</t>
  </si>
  <si>
    <t>BC00917</t>
  </si>
  <si>
    <t>BC00918</t>
  </si>
  <si>
    <t>BC00919</t>
  </si>
  <si>
    <t>BC00920</t>
  </si>
  <si>
    <t>BC00921</t>
  </si>
  <si>
    <t>BC00922</t>
  </si>
  <si>
    <t>BC00923</t>
  </si>
  <si>
    <t>BC00924</t>
  </si>
  <si>
    <t>BC00925</t>
  </si>
  <si>
    <t>BC00926</t>
  </si>
  <si>
    <t>BC00927</t>
  </si>
  <si>
    <t>BC00928</t>
  </si>
  <si>
    <t>BC00929</t>
  </si>
  <si>
    <t>BC00930</t>
  </si>
  <si>
    <t>BC00931</t>
  </si>
  <si>
    <t>BC00932</t>
  </si>
  <si>
    <t>BC00933</t>
  </si>
  <si>
    <t>BC00934</t>
  </si>
  <si>
    <t>BC00935</t>
  </si>
  <si>
    <t>BC00936</t>
  </si>
  <si>
    <t>BC00937</t>
  </si>
  <si>
    <t>BC00938</t>
  </si>
  <si>
    <t>BC00939</t>
  </si>
  <si>
    <t>BC00940</t>
  </si>
  <si>
    <t>BC00941</t>
  </si>
  <si>
    <t>BC00942</t>
  </si>
  <si>
    <t>BC00943</t>
  </si>
  <si>
    <t>BC00944</t>
  </si>
  <si>
    <t>BC00945</t>
  </si>
  <si>
    <t>BC00946</t>
  </si>
  <si>
    <t>BC00947</t>
  </si>
  <si>
    <t>BC00948</t>
  </si>
  <si>
    <t>BC00949</t>
  </si>
  <si>
    <t>BC00950</t>
  </si>
  <si>
    <t>BC00951</t>
  </si>
  <si>
    <t>BC00952</t>
  </si>
  <si>
    <t>BC00953</t>
  </si>
  <si>
    <t>BC00954</t>
  </si>
  <si>
    <t>BC00955</t>
  </si>
  <si>
    <t>BC00956</t>
  </si>
  <si>
    <t>BC00957</t>
  </si>
  <si>
    <t>BC00958</t>
  </si>
  <si>
    <t>BC00959</t>
  </si>
  <si>
    <t>BC00960</t>
  </si>
  <si>
    <t>BC00961</t>
  </si>
  <si>
    <t>BC00962</t>
  </si>
  <si>
    <t>BC00963</t>
  </si>
  <si>
    <t>BC00964</t>
  </si>
  <si>
    <t>BC00965</t>
  </si>
  <si>
    <t>BC00966</t>
  </si>
  <si>
    <t>BC00967</t>
  </si>
  <si>
    <t>BC00968</t>
  </si>
  <si>
    <t>BC00969</t>
  </si>
  <si>
    <t>BC00970</t>
  </si>
  <si>
    <t>BC00971</t>
  </si>
  <si>
    <t>BC00972</t>
  </si>
  <si>
    <t>BC00973</t>
  </si>
  <si>
    <t>BC00974</t>
  </si>
  <si>
    <t>BC00975</t>
  </si>
  <si>
    <t>BC00976</t>
  </si>
  <si>
    <t>BC00977</t>
  </si>
  <si>
    <t>BC00978</t>
  </si>
  <si>
    <t>BC00979</t>
  </si>
  <si>
    <t>BC00980</t>
  </si>
  <si>
    <t>BC00981</t>
  </si>
  <si>
    <t>BC00982</t>
  </si>
  <si>
    <t>BC00983</t>
  </si>
  <si>
    <t>BC00984</t>
  </si>
  <si>
    <t>BC00985</t>
  </si>
  <si>
    <t>BC00986</t>
  </si>
  <si>
    <t>BC00987</t>
  </si>
  <si>
    <t>BC00988</t>
  </si>
  <si>
    <t>BC00989</t>
  </si>
  <si>
    <t>BC00990</t>
  </si>
  <si>
    <t>BC00991</t>
  </si>
  <si>
    <t>BC00992</t>
  </si>
  <si>
    <t>BC00993</t>
  </si>
  <si>
    <t>BC00994</t>
  </si>
  <si>
    <t>BC00995</t>
  </si>
  <si>
    <t>BC00996</t>
  </si>
  <si>
    <t>BC00997</t>
  </si>
  <si>
    <t>BC00998</t>
  </si>
  <si>
    <t>BC00999</t>
  </si>
  <si>
    <t>BC01000</t>
  </si>
  <si>
    <t>BC01001</t>
  </si>
  <si>
    <t>BC01002</t>
  </si>
  <si>
    <t>BC01003</t>
  </si>
  <si>
    <t>BC01004</t>
  </si>
  <si>
    <t>BC01005</t>
  </si>
  <si>
    <t>BC01006</t>
  </si>
  <si>
    <t>BC01007</t>
  </si>
  <si>
    <t>BC01008</t>
  </si>
  <si>
    <t>BC01009</t>
  </si>
  <si>
    <t>BC01010</t>
  </si>
  <si>
    <t>BC01011</t>
  </si>
  <si>
    <t>BC01012</t>
  </si>
  <si>
    <t>BC01013</t>
  </si>
  <si>
    <t>BC01014</t>
  </si>
  <si>
    <t>BC01015</t>
  </si>
  <si>
    <t>BC01016</t>
  </si>
  <si>
    <t>BC01017</t>
  </si>
  <si>
    <t>BC01018</t>
  </si>
  <si>
    <t>BC01019</t>
  </si>
  <si>
    <t>BC01020</t>
  </si>
  <si>
    <t>BC01021</t>
  </si>
  <si>
    <t>BC01022</t>
  </si>
  <si>
    <t>BC01023</t>
  </si>
  <si>
    <t>BC01024</t>
  </si>
  <si>
    <t>BC01025</t>
  </si>
  <si>
    <t>BC01026</t>
  </si>
  <si>
    <t>BC01027</t>
  </si>
  <si>
    <t>BC01028</t>
  </si>
  <si>
    <t>BC01029</t>
  </si>
  <si>
    <t>BC01030</t>
  </si>
  <si>
    <t>BC01031</t>
  </si>
  <si>
    <t>BC01032</t>
  </si>
  <si>
    <t>BC01033</t>
  </si>
  <si>
    <t>BC01034</t>
  </si>
  <si>
    <t>BC01035</t>
  </si>
  <si>
    <t>BC01036</t>
  </si>
  <si>
    <t>BC01037</t>
  </si>
  <si>
    <t>BC01038</t>
  </si>
  <si>
    <t>BC01039</t>
  </si>
  <si>
    <t>BC01040</t>
  </si>
  <si>
    <t>BC01041</t>
  </si>
  <si>
    <t>BC01042</t>
  </si>
  <si>
    <t>BC01043</t>
  </si>
  <si>
    <t>BC01044</t>
  </si>
  <si>
    <t>BC01045</t>
  </si>
  <si>
    <t>BC01046</t>
  </si>
  <si>
    <t>BC01047</t>
  </si>
  <si>
    <t>BC01048</t>
  </si>
  <si>
    <t>BC01049</t>
  </si>
  <si>
    <t>BC01050</t>
  </si>
  <si>
    <t>BC01051</t>
  </si>
  <si>
    <t>BC01052</t>
  </si>
  <si>
    <t>BC01053</t>
  </si>
  <si>
    <t>BC01054</t>
  </si>
  <si>
    <t>BC01055</t>
  </si>
  <si>
    <t>BC01056</t>
  </si>
  <si>
    <t>BC01057</t>
  </si>
  <si>
    <t>BC01058</t>
  </si>
  <si>
    <t>BC01059</t>
  </si>
  <si>
    <t>BC01060</t>
  </si>
  <si>
    <t>BC01061</t>
  </si>
  <si>
    <t>BC01062</t>
  </si>
  <si>
    <t>BC01063</t>
  </si>
  <si>
    <t>BC01064</t>
  </si>
  <si>
    <t>BC01065</t>
  </si>
  <si>
    <t>BC01066</t>
  </si>
  <si>
    <t>BC01067</t>
  </si>
  <si>
    <t>BC01068</t>
  </si>
  <si>
    <t>BC01069</t>
  </si>
  <si>
    <t>BC01070</t>
  </si>
  <si>
    <t>BC01071</t>
  </si>
  <si>
    <t>BC01072</t>
  </si>
  <si>
    <t>BC01073</t>
  </si>
  <si>
    <t>BC01074</t>
  </si>
  <si>
    <t>BC01075</t>
  </si>
  <si>
    <t>BC01076</t>
  </si>
  <si>
    <t>BC01077</t>
  </si>
  <si>
    <t>BC01078</t>
  </si>
  <si>
    <t>BC01079</t>
  </si>
  <si>
    <t>BC01080</t>
  </si>
  <si>
    <t>BC01081</t>
  </si>
  <si>
    <t>BC01082</t>
  </si>
  <si>
    <t>BC01083</t>
  </si>
  <si>
    <t>BC01084</t>
  </si>
  <si>
    <t>BC01085</t>
  </si>
  <si>
    <t>BC01086</t>
  </si>
  <si>
    <t>BC01087</t>
  </si>
  <si>
    <t>BC01088</t>
  </si>
  <si>
    <t>BC01089</t>
  </si>
  <si>
    <t>BC01090</t>
  </si>
  <si>
    <t>BC01091</t>
  </si>
  <si>
    <t>BC01092</t>
  </si>
  <si>
    <t>BC01093</t>
  </si>
  <si>
    <t>BC01094</t>
  </si>
  <si>
    <t>BC01095</t>
  </si>
  <si>
    <t>BC01096</t>
  </si>
  <si>
    <t>BC01097</t>
  </si>
  <si>
    <t>BC01098</t>
  </si>
  <si>
    <t>BC01099</t>
  </si>
  <si>
    <t>BC01100</t>
  </si>
  <si>
    <t>BC01101</t>
  </si>
  <si>
    <t>BC01102</t>
  </si>
  <si>
    <t>BC01103</t>
  </si>
  <si>
    <t>BC01104</t>
  </si>
  <si>
    <t>BC01105</t>
  </si>
  <si>
    <t>BC01106</t>
  </si>
  <si>
    <t>BC01107</t>
  </si>
  <si>
    <t>BC01108</t>
  </si>
  <si>
    <t>BC01109</t>
  </si>
  <si>
    <t>BC01110</t>
  </si>
  <si>
    <t>BC01111</t>
  </si>
  <si>
    <t>BC01112</t>
  </si>
  <si>
    <t>BC01113</t>
  </si>
  <si>
    <t>BC01114</t>
  </si>
  <si>
    <t>BC01115</t>
  </si>
  <si>
    <t>BC01116</t>
  </si>
  <si>
    <t>BC01117</t>
  </si>
  <si>
    <t>BC01118</t>
  </si>
  <si>
    <t>BC01119</t>
  </si>
  <si>
    <t>BC01120</t>
  </si>
  <si>
    <t>BC01121</t>
  </si>
  <si>
    <t>BC01122</t>
  </si>
  <si>
    <t>BC01123</t>
  </si>
  <si>
    <t>BC01124</t>
  </si>
  <si>
    <t>BC01125</t>
  </si>
  <si>
    <t>BC01126</t>
  </si>
  <si>
    <t>BC01127</t>
  </si>
  <si>
    <t>BC01128</t>
  </si>
  <si>
    <t>BC01129</t>
  </si>
  <si>
    <t>BC01130</t>
  </si>
  <si>
    <t>BC01131</t>
  </si>
  <si>
    <t>BC01132</t>
  </si>
  <si>
    <t>BC01133</t>
  </si>
  <si>
    <t>BC01134</t>
  </si>
  <si>
    <t>BC01135</t>
  </si>
  <si>
    <t>BC01136</t>
  </si>
  <si>
    <t>BC01137</t>
  </si>
  <si>
    <t>BC01138</t>
  </si>
  <si>
    <t>BC01139</t>
  </si>
  <si>
    <t>BC01140</t>
  </si>
  <si>
    <t>BC01141</t>
  </si>
  <si>
    <t>BC01142</t>
  </si>
  <si>
    <t>BC01143</t>
  </si>
  <si>
    <t>BC01144</t>
  </si>
  <si>
    <t>BC01145</t>
  </si>
  <si>
    <t>BC01146</t>
  </si>
  <si>
    <t>BC01147</t>
  </si>
  <si>
    <t>BC01148</t>
  </si>
  <si>
    <t>BC01149</t>
  </si>
  <si>
    <t>BC01150</t>
  </si>
  <si>
    <t>BC01151</t>
  </si>
  <si>
    <t>BC01152</t>
  </si>
  <si>
    <t>BC01153</t>
  </si>
  <si>
    <t>BC01154</t>
  </si>
  <si>
    <t>BC01155</t>
  </si>
  <si>
    <t>BC01156</t>
  </si>
  <si>
    <t>BC01157</t>
  </si>
  <si>
    <t>BC01158</t>
  </si>
  <si>
    <t>BC01159</t>
  </si>
  <si>
    <t>BC01160</t>
  </si>
  <si>
    <t>BC01161</t>
  </si>
  <si>
    <t>BC01162</t>
  </si>
  <si>
    <t>BC01163</t>
  </si>
  <si>
    <t>BC01164</t>
  </si>
  <si>
    <t>BC01165</t>
  </si>
  <si>
    <t>BC01166</t>
  </si>
  <si>
    <t>BC01167</t>
  </si>
  <si>
    <t>BC01168</t>
  </si>
  <si>
    <t>BC01169</t>
  </si>
  <si>
    <t>BC01170</t>
  </si>
  <si>
    <t>BC01171</t>
  </si>
  <si>
    <t>BC01172</t>
  </si>
  <si>
    <t>BC01173</t>
  </si>
  <si>
    <t>BC01174</t>
  </si>
  <si>
    <t>BC01175</t>
  </si>
  <si>
    <t>BC01176</t>
  </si>
  <si>
    <t>BC01177</t>
  </si>
  <si>
    <t>BC01178</t>
  </si>
  <si>
    <t>BC01179</t>
  </si>
  <si>
    <t>BC01180</t>
  </si>
  <si>
    <t>BC01181</t>
  </si>
  <si>
    <t>BC01182</t>
  </si>
  <si>
    <t>BC01183</t>
  </si>
  <si>
    <t>BC01184</t>
  </si>
  <si>
    <t>BC01185</t>
  </si>
  <si>
    <t>BC01186</t>
  </si>
  <si>
    <t>BC01187</t>
  </si>
  <si>
    <t>BC01188</t>
  </si>
  <si>
    <t>BC01189</t>
  </si>
  <si>
    <t>BC01190</t>
  </si>
  <si>
    <t>BC01191</t>
  </si>
  <si>
    <t>BC01192</t>
  </si>
  <si>
    <t>BC01193</t>
  </si>
  <si>
    <t>BC01194</t>
  </si>
  <si>
    <t>BC01195</t>
  </si>
  <si>
    <t>BC01196</t>
  </si>
  <si>
    <t>BC01197</t>
  </si>
  <si>
    <t>BC01198</t>
  </si>
  <si>
    <t>BC01199</t>
  </si>
  <si>
    <t>BC01200</t>
  </si>
  <si>
    <t>BC01201</t>
  </si>
  <si>
    <t>BC01202</t>
  </si>
  <si>
    <t>BC01203</t>
  </si>
  <si>
    <t>BC01204</t>
  </si>
  <si>
    <t>BC01205</t>
  </si>
  <si>
    <t>BC01206</t>
  </si>
  <si>
    <t>BC01207</t>
  </si>
  <si>
    <t>BC01208</t>
  </si>
  <si>
    <t>BC01209</t>
  </si>
  <si>
    <t>BC01210</t>
  </si>
  <si>
    <t>BC01211</t>
  </si>
  <si>
    <t>BC01212</t>
  </si>
  <si>
    <t>BC01213</t>
  </si>
  <si>
    <t>BC01214</t>
  </si>
  <si>
    <t>BC01215</t>
  </si>
  <si>
    <t>BC01216</t>
  </si>
  <si>
    <t>BC01217</t>
  </si>
  <si>
    <t>BC01218</t>
  </si>
  <si>
    <t>BC01219</t>
  </si>
  <si>
    <t>BC01220</t>
  </si>
  <si>
    <t>BC01221</t>
  </si>
  <si>
    <t>BC01222</t>
  </si>
  <si>
    <t>BC01223</t>
  </si>
  <si>
    <t>BC01224</t>
  </si>
  <si>
    <t>BC01225</t>
  </si>
  <si>
    <t>BC01226</t>
  </si>
  <si>
    <t>BC01227</t>
  </si>
  <si>
    <t>BC01228</t>
  </si>
  <si>
    <t>BC01229</t>
  </si>
  <si>
    <t>BC01230</t>
  </si>
  <si>
    <t>BC01231</t>
  </si>
  <si>
    <t>BC01232</t>
  </si>
  <si>
    <t>BC01233</t>
  </si>
  <si>
    <t>BC01234</t>
  </si>
  <si>
    <t>BC01235</t>
  </si>
  <si>
    <t>BC01236</t>
  </si>
  <si>
    <t>BC01237</t>
  </si>
  <si>
    <t>BC01238</t>
  </si>
  <si>
    <t>BC01239</t>
  </si>
  <si>
    <t>BC01240</t>
  </si>
  <si>
    <t>BC01241</t>
  </si>
  <si>
    <t>BC01242</t>
  </si>
  <si>
    <t>BC01243</t>
  </si>
  <si>
    <t>BC01244</t>
  </si>
  <si>
    <t>BC01245</t>
  </si>
  <si>
    <t>BC01246</t>
  </si>
  <si>
    <t>BC01247</t>
  </si>
  <si>
    <t>BC01248</t>
  </si>
  <si>
    <t>BC01249</t>
  </si>
  <si>
    <t>BC01250</t>
  </si>
  <si>
    <t>BC01251</t>
  </si>
  <si>
    <t>BC01252</t>
  </si>
  <si>
    <t>BC01253</t>
  </si>
  <si>
    <t>BC01254</t>
  </si>
  <si>
    <t>BC01255</t>
  </si>
  <si>
    <t>BC01256</t>
  </si>
  <si>
    <t>BC01257</t>
  </si>
  <si>
    <t>BC01258</t>
  </si>
  <si>
    <t>BC01259</t>
  </si>
  <si>
    <t>BC01260</t>
  </si>
  <si>
    <t>BC01261</t>
  </si>
  <si>
    <t>BC01262</t>
  </si>
  <si>
    <t>BC01263</t>
  </si>
  <si>
    <t>BC01264</t>
  </si>
  <si>
    <t>BC01265</t>
  </si>
  <si>
    <t>BC01266</t>
  </si>
  <si>
    <t>BC01267</t>
  </si>
  <si>
    <t>BC01268</t>
  </si>
  <si>
    <t>BC01269</t>
  </si>
  <si>
    <t>BC01270</t>
  </si>
  <si>
    <t>BC01271</t>
  </si>
  <si>
    <t>BC01272</t>
  </si>
  <si>
    <t>BC01273</t>
  </si>
  <si>
    <t>BC01274</t>
  </si>
  <si>
    <t>BC01275</t>
  </si>
  <si>
    <t>BC01276</t>
  </si>
  <si>
    <t>BC01277</t>
  </si>
  <si>
    <t>BC01278</t>
  </si>
  <si>
    <t>BC01279</t>
  </si>
  <si>
    <t>BC01280</t>
  </si>
  <si>
    <t>BC01281</t>
  </si>
  <si>
    <t>BC01282</t>
  </si>
  <si>
    <t>BC01283</t>
  </si>
  <si>
    <t>BC01284</t>
  </si>
  <si>
    <t>BC01285</t>
  </si>
  <si>
    <t>BC01286</t>
  </si>
  <si>
    <t>BC01287</t>
  </si>
  <si>
    <t>BC01288</t>
  </si>
  <si>
    <t>BC01289</t>
  </si>
  <si>
    <t>BC01290</t>
  </si>
  <si>
    <t>BC01291</t>
  </si>
  <si>
    <t>BC01292</t>
  </si>
  <si>
    <t>BC01293</t>
  </si>
  <si>
    <t>BC01294</t>
  </si>
  <si>
    <t>BC01295</t>
  </si>
  <si>
    <t>BC01296</t>
  </si>
  <si>
    <t>BC01297</t>
  </si>
  <si>
    <t>BC01298</t>
  </si>
  <si>
    <t>BC01299</t>
  </si>
  <si>
    <t>BC01300</t>
  </si>
  <si>
    <t>BC01301</t>
  </si>
  <si>
    <t>BC01302</t>
  </si>
  <si>
    <t>BC01303</t>
  </si>
  <si>
    <t>BC01304</t>
  </si>
  <si>
    <t>BC01305</t>
  </si>
  <si>
    <t>BC01306</t>
  </si>
  <si>
    <t>BC01307</t>
  </si>
  <si>
    <t>BC01308</t>
  </si>
  <si>
    <t>BC01309</t>
  </si>
  <si>
    <t>BC01310</t>
  </si>
  <si>
    <t>BC01311</t>
  </si>
  <si>
    <t>BC01312</t>
  </si>
  <si>
    <t>BC01313</t>
  </si>
  <si>
    <t>BC01314</t>
  </si>
  <si>
    <t>BC01315</t>
  </si>
  <si>
    <t>BC01316</t>
  </si>
  <si>
    <t>BC01317</t>
  </si>
  <si>
    <t>BC01318</t>
  </si>
  <si>
    <t>BC01319</t>
  </si>
  <si>
    <t>BC01320</t>
  </si>
  <si>
    <t>BC01321</t>
  </si>
  <si>
    <t>BC01322</t>
  </si>
  <si>
    <t>BC01323</t>
  </si>
  <si>
    <t>BC01324</t>
  </si>
  <si>
    <t>BC01325</t>
  </si>
  <si>
    <t>BC01326</t>
  </si>
  <si>
    <t>BC01327</t>
  </si>
  <si>
    <t>BC01328</t>
  </si>
  <si>
    <t>BC01329</t>
  </si>
  <si>
    <t>BC01330</t>
  </si>
  <si>
    <t>BC01331</t>
  </si>
  <si>
    <t>BC01332</t>
  </si>
  <si>
    <t>BC01333</t>
  </si>
  <si>
    <t>BC01334</t>
  </si>
  <si>
    <t>BC01335</t>
  </si>
  <si>
    <t>BC01336</t>
  </si>
  <si>
    <t>BC01337</t>
  </si>
  <si>
    <t>BC01338</t>
  </si>
  <si>
    <t>BC01339</t>
  </si>
  <si>
    <t>BC01340</t>
  </si>
  <si>
    <t>BC01341</t>
  </si>
  <si>
    <t>BC01342</t>
  </si>
  <si>
    <t>BC01343</t>
  </si>
  <si>
    <t>BC01344</t>
  </si>
  <si>
    <t>BC01345</t>
  </si>
  <si>
    <t>BC01346</t>
  </si>
  <si>
    <t>BC01347</t>
  </si>
  <si>
    <t>BC01348</t>
  </si>
  <si>
    <t>BC01349</t>
  </si>
  <si>
    <t>BC01350</t>
  </si>
  <si>
    <t>BC01351</t>
  </si>
  <si>
    <t>BC01352</t>
  </si>
  <si>
    <t>BC01353</t>
  </si>
  <si>
    <t>BC01354</t>
  </si>
  <si>
    <t>BC01355</t>
  </si>
  <si>
    <t>BC01356</t>
  </si>
  <si>
    <t>BC01357</t>
  </si>
  <si>
    <t>BC01358</t>
  </si>
  <si>
    <t>BC01359</t>
  </si>
  <si>
    <t>BC01360</t>
  </si>
  <si>
    <t>BC01361</t>
  </si>
  <si>
    <t>BC01362</t>
  </si>
  <si>
    <t>BC01363</t>
  </si>
  <si>
    <t>BC01364</t>
  </si>
  <si>
    <t>BC01365</t>
  </si>
  <si>
    <t>BC01366</t>
  </si>
  <si>
    <t>BC01367</t>
  </si>
  <si>
    <t>BC01368</t>
  </si>
  <si>
    <t>BC01369</t>
  </si>
  <si>
    <t>BC01370</t>
  </si>
  <si>
    <t>BC01371</t>
  </si>
  <si>
    <t>BC01372</t>
  </si>
  <si>
    <t>BC01373</t>
  </si>
  <si>
    <t>BC01374</t>
  </si>
  <si>
    <t>BC01375</t>
  </si>
  <si>
    <t>BC01376</t>
  </si>
  <si>
    <t>BC01377</t>
  </si>
  <si>
    <t>BC01378</t>
  </si>
  <si>
    <t>BC01379</t>
  </si>
  <si>
    <t>BC01380</t>
  </si>
  <si>
    <t>BC01381</t>
  </si>
  <si>
    <t>BC01382</t>
  </si>
  <si>
    <t>BC01383</t>
  </si>
  <si>
    <t>BC01384</t>
  </si>
  <si>
    <t>BC01385</t>
  </si>
  <si>
    <t>BC01386</t>
  </si>
  <si>
    <t>BC01387</t>
  </si>
  <si>
    <t>BC01388</t>
  </si>
  <si>
    <t>BC01389</t>
  </si>
  <si>
    <t>BC01390</t>
  </si>
  <si>
    <t>BC01391</t>
  </si>
  <si>
    <t>BC01392</t>
  </si>
  <si>
    <t>BC01393</t>
  </si>
  <si>
    <t>BC01394</t>
  </si>
  <si>
    <t>BC01395</t>
  </si>
  <si>
    <t>BC01396</t>
  </si>
  <si>
    <t>BC01397</t>
  </si>
  <si>
    <t>BC01398</t>
  </si>
  <si>
    <t>BC01399</t>
  </si>
  <si>
    <t>BC01400</t>
  </si>
  <si>
    <t>BC01401</t>
  </si>
  <si>
    <t>BC01402</t>
  </si>
  <si>
    <t>BC01403</t>
  </si>
  <si>
    <t>BC01404</t>
  </si>
  <si>
    <t>BC01405</t>
  </si>
  <si>
    <t>BC01406</t>
  </si>
  <si>
    <t>BC01407</t>
  </si>
  <si>
    <t>BC01408</t>
  </si>
  <si>
    <t>BC01409</t>
  </si>
  <si>
    <t>BC01410</t>
  </si>
  <si>
    <t>BC01411</t>
  </si>
  <si>
    <t>BC01412</t>
  </si>
  <si>
    <t>BC01413</t>
  </si>
  <si>
    <t>BC01414</t>
  </si>
  <si>
    <t>BC01415</t>
  </si>
  <si>
    <t>BC01416</t>
  </si>
  <si>
    <t>BC01417</t>
  </si>
  <si>
    <t>BC01418</t>
  </si>
  <si>
    <t>BC01419</t>
  </si>
  <si>
    <t>BC01420</t>
  </si>
  <si>
    <t>BC01421</t>
  </si>
  <si>
    <t>BC01422</t>
  </si>
  <si>
    <t>BC01423</t>
  </si>
  <si>
    <t>BC01424</t>
  </si>
  <si>
    <t>BC01425</t>
  </si>
  <si>
    <t>BC01426</t>
  </si>
  <si>
    <t>BC01427</t>
  </si>
  <si>
    <t>BC01428</t>
  </si>
  <si>
    <t>BC01429</t>
  </si>
  <si>
    <t>BC01430</t>
  </si>
  <si>
    <t>BC01431</t>
  </si>
  <si>
    <t>BC01432</t>
  </si>
  <si>
    <t>BC01433</t>
  </si>
  <si>
    <t>BC01434</t>
  </si>
  <si>
    <t>BC01435</t>
  </si>
  <si>
    <t>BC01436</t>
  </si>
  <si>
    <t>BC01437</t>
  </si>
  <si>
    <t>BC01438</t>
  </si>
  <si>
    <t>BC01439</t>
  </si>
  <si>
    <t>BC01440</t>
  </si>
  <si>
    <t>BC01441</t>
  </si>
  <si>
    <t>BC01442</t>
  </si>
  <si>
    <t>BC01443</t>
  </si>
  <si>
    <t>BC01444</t>
  </si>
  <si>
    <t>BC01445</t>
  </si>
  <si>
    <t>BC01446</t>
  </si>
  <si>
    <t>BC01447</t>
  </si>
  <si>
    <t>BC01448</t>
  </si>
  <si>
    <t>BC01449</t>
  </si>
  <si>
    <t>BC01450</t>
  </si>
  <si>
    <t>BC01451</t>
  </si>
  <si>
    <t>BC01452</t>
  </si>
  <si>
    <t>BC01453</t>
  </si>
  <si>
    <t>BC01454</t>
  </si>
  <si>
    <t>BC01455</t>
  </si>
  <si>
    <t>BC01456</t>
  </si>
  <si>
    <t>BC01457</t>
  </si>
  <si>
    <t>BC01458</t>
  </si>
  <si>
    <t>BC01459</t>
  </si>
  <si>
    <t>BC01460</t>
  </si>
  <si>
    <t>BC01461</t>
  </si>
  <si>
    <t>BC01462</t>
  </si>
  <si>
    <t>BC01463</t>
  </si>
  <si>
    <t>BC01464</t>
  </si>
  <si>
    <t>BC01465</t>
  </si>
  <si>
    <t>BC01466</t>
  </si>
  <si>
    <t>BC01467</t>
  </si>
  <si>
    <t>BC01468</t>
  </si>
  <si>
    <t>BC01469</t>
  </si>
  <si>
    <t>BC01470</t>
  </si>
  <si>
    <t>BC01471</t>
  </si>
  <si>
    <t>BC01472</t>
  </si>
  <si>
    <t>BC01473</t>
  </si>
  <si>
    <t>BC01474</t>
  </si>
  <si>
    <t>BC01475</t>
  </si>
  <si>
    <t>BC01476</t>
  </si>
  <si>
    <t>BC01477</t>
  </si>
  <si>
    <t>BC01478</t>
  </si>
  <si>
    <t>BC01479</t>
  </si>
  <si>
    <t>BC01480</t>
  </si>
  <si>
    <t>BC01481</t>
  </si>
  <si>
    <t>BC01482</t>
  </si>
  <si>
    <t>BC01483</t>
  </si>
  <si>
    <t>BC01484</t>
  </si>
  <si>
    <t>BC01485</t>
  </si>
  <si>
    <t>BC01486</t>
  </si>
  <si>
    <t>BC01487</t>
  </si>
  <si>
    <t>BC01488</t>
  </si>
  <si>
    <t>BC01489</t>
  </si>
  <si>
    <t>BC01490</t>
  </si>
  <si>
    <t>BC01491</t>
  </si>
  <si>
    <t>BC01492</t>
  </si>
  <si>
    <t>BC01493</t>
  </si>
  <si>
    <t>BC01494</t>
  </si>
  <si>
    <t>BC01495</t>
  </si>
  <si>
    <t>BC01496</t>
  </si>
  <si>
    <t>BC01497</t>
  </si>
  <si>
    <t>BC01498</t>
  </si>
  <si>
    <t>BC01499</t>
  </si>
  <si>
    <t>BC01500</t>
  </si>
  <si>
    <t>BC01501</t>
  </si>
  <si>
    <t>BC01502</t>
  </si>
  <si>
    <t>BC01503</t>
  </si>
  <si>
    <t>BC01504</t>
  </si>
  <si>
    <t>BC01505</t>
  </si>
  <si>
    <t>BC01506</t>
  </si>
  <si>
    <t>BC01507</t>
  </si>
  <si>
    <t>BC01508</t>
  </si>
  <si>
    <t>BC01509</t>
  </si>
  <si>
    <t>BC01510</t>
  </si>
  <si>
    <t>BC01511</t>
  </si>
  <si>
    <t>BC01512</t>
  </si>
  <si>
    <t>BC01513</t>
  </si>
  <si>
    <t>BC01514</t>
  </si>
  <si>
    <t>BC01515</t>
  </si>
  <si>
    <t>BC01516</t>
  </si>
  <si>
    <t>BC01517</t>
  </si>
  <si>
    <t>BC01518</t>
  </si>
  <si>
    <t>BC01519</t>
  </si>
  <si>
    <t>BC01520</t>
  </si>
  <si>
    <t>BC01521</t>
  </si>
  <si>
    <t>BC01522</t>
  </si>
  <si>
    <t>BC01523</t>
  </si>
  <si>
    <t>BC01524</t>
  </si>
  <si>
    <t>BC01525</t>
  </si>
  <si>
    <t>BC01526</t>
  </si>
  <si>
    <t>BC01527</t>
  </si>
  <si>
    <t>BC01528</t>
  </si>
  <si>
    <t>BC01529</t>
  </si>
  <si>
    <t>BC01530</t>
  </si>
  <si>
    <t>BC01531</t>
  </si>
  <si>
    <t>BC01532</t>
  </si>
  <si>
    <t>BC01533</t>
  </si>
  <si>
    <t>BC01534</t>
  </si>
  <si>
    <t>BC01535</t>
  </si>
  <si>
    <t>BC01536</t>
  </si>
  <si>
    <t>BC01537</t>
  </si>
  <si>
    <t>BC01538</t>
  </si>
  <si>
    <t>BC01539</t>
  </si>
  <si>
    <t>BC01540</t>
  </si>
  <si>
    <t>BC01541</t>
  </si>
  <si>
    <t>BC01542</t>
  </si>
  <si>
    <t>BC01543</t>
  </si>
  <si>
    <t>BC01544</t>
  </si>
  <si>
    <t>BC01545</t>
  </si>
  <si>
    <t>BC01546</t>
  </si>
  <si>
    <t>BC01547</t>
  </si>
  <si>
    <t>BC01548</t>
  </si>
  <si>
    <t>BC01549</t>
  </si>
  <si>
    <t>BC01550</t>
  </si>
  <si>
    <t>BC01551</t>
  </si>
  <si>
    <t>BC01552</t>
  </si>
  <si>
    <t>BC01553</t>
  </si>
  <si>
    <t>BC01554</t>
  </si>
  <si>
    <t>BC01555</t>
  </si>
  <si>
    <t>BC01556</t>
  </si>
  <si>
    <t>BC01557</t>
  </si>
  <si>
    <t>BC01558</t>
  </si>
  <si>
    <t>BC01559</t>
  </si>
  <si>
    <t>BC01560</t>
  </si>
  <si>
    <t>BC01561</t>
  </si>
  <si>
    <t>BC01562</t>
  </si>
  <si>
    <t>BC01563</t>
  </si>
  <si>
    <t>BC01564</t>
  </si>
  <si>
    <t>BC01565</t>
  </si>
  <si>
    <t>BC01566</t>
  </si>
  <si>
    <t>BC01567</t>
  </si>
  <si>
    <t>BC01568</t>
  </si>
  <si>
    <t>BC01569</t>
  </si>
  <si>
    <t>BC01570</t>
  </si>
  <si>
    <t>BC01571</t>
  </si>
  <si>
    <t>BC01572</t>
  </si>
  <si>
    <t>BC01573</t>
  </si>
  <si>
    <t>BC01574</t>
  </si>
  <si>
    <t>BC01575</t>
  </si>
  <si>
    <t>BC01576</t>
  </si>
  <si>
    <t>BC01577</t>
  </si>
  <si>
    <t>BC01578</t>
  </si>
  <si>
    <t>BC01579</t>
  </si>
  <si>
    <t>BC01580</t>
  </si>
  <si>
    <t>BC01581</t>
  </si>
  <si>
    <t>BC01582</t>
  </si>
  <si>
    <t>BC01583</t>
  </si>
  <si>
    <t>BC01584</t>
  </si>
  <si>
    <t>BC01585</t>
  </si>
  <si>
    <t>BC01586</t>
  </si>
  <si>
    <t>BC01587</t>
  </si>
  <si>
    <t>BC01588</t>
  </si>
  <si>
    <t>BC01589</t>
  </si>
  <si>
    <t>BC01590</t>
  </si>
  <si>
    <t>BC01591</t>
  </si>
  <si>
    <t>BC01592</t>
  </si>
  <si>
    <t>BC01593</t>
  </si>
  <si>
    <t>BC01594</t>
  </si>
  <si>
    <t>BC01595</t>
  </si>
  <si>
    <t>BC01596</t>
  </si>
  <si>
    <t>BC01597</t>
  </si>
  <si>
    <t>BC01598</t>
  </si>
  <si>
    <t>BC01599</t>
  </si>
  <si>
    <t>BC01600</t>
  </si>
  <si>
    <t>BC01601</t>
  </si>
  <si>
    <t>BC01602</t>
  </si>
  <si>
    <t>BC01603</t>
  </si>
  <si>
    <t>BC01604</t>
  </si>
  <si>
    <t>BC01605</t>
  </si>
  <si>
    <t>BC01606</t>
  </si>
  <si>
    <t>BC01607</t>
  </si>
  <si>
    <t>BC01608</t>
  </si>
  <si>
    <t>BC01609</t>
  </si>
  <si>
    <t>BC01610</t>
  </si>
  <si>
    <t>BC01611</t>
  </si>
  <si>
    <t>BC01612</t>
  </si>
  <si>
    <t>BC01613</t>
  </si>
  <si>
    <t>BC01614</t>
  </si>
  <si>
    <t>BC01615</t>
  </si>
  <si>
    <t>BC01616</t>
  </si>
  <si>
    <t>BC01617</t>
  </si>
  <si>
    <t>BC01618</t>
  </si>
  <si>
    <t>BC01619</t>
  </si>
  <si>
    <t>BC01620</t>
  </si>
  <si>
    <t>BC01621</t>
  </si>
  <si>
    <t>BC01622</t>
  </si>
  <si>
    <t>BC01623</t>
  </si>
  <si>
    <t>BC01624</t>
  </si>
  <si>
    <t>BC01625</t>
  </si>
  <si>
    <t>BC01626</t>
  </si>
  <si>
    <t>BC01627</t>
  </si>
  <si>
    <t>BC01628</t>
  </si>
  <si>
    <t>BC01629</t>
  </si>
  <si>
    <t>BC01630</t>
  </si>
  <si>
    <t>BC01631</t>
  </si>
  <si>
    <t>BC01632</t>
  </si>
  <si>
    <t>BC01633</t>
  </si>
  <si>
    <t>BC01634</t>
  </si>
  <si>
    <t>BC01635</t>
  </si>
  <si>
    <t>BC01636</t>
  </si>
  <si>
    <t>BC01637</t>
  </si>
  <si>
    <t>BC01638</t>
  </si>
  <si>
    <t>BC01639</t>
  </si>
  <si>
    <t>BC01640</t>
  </si>
  <si>
    <t>BC01641</t>
  </si>
  <si>
    <t>BC01642</t>
  </si>
  <si>
    <t>BC01643</t>
  </si>
  <si>
    <t>BC01644</t>
  </si>
  <si>
    <t>BC01645</t>
  </si>
  <si>
    <t>BC01646</t>
  </si>
  <si>
    <t>BC01647</t>
  </si>
  <si>
    <t>BC01648</t>
  </si>
  <si>
    <t>BC01649</t>
  </si>
  <si>
    <t>BC01650</t>
  </si>
  <si>
    <t>BC01651</t>
  </si>
  <si>
    <t>BC01652</t>
  </si>
  <si>
    <t>BC01653</t>
  </si>
  <si>
    <t>BC01654</t>
  </si>
  <si>
    <t>BC01655</t>
  </si>
  <si>
    <t>BC01656</t>
  </si>
  <si>
    <t>BC01657</t>
  </si>
  <si>
    <t>BC01658</t>
  </si>
  <si>
    <t>BC01659</t>
  </si>
  <si>
    <t>BC01660</t>
  </si>
  <si>
    <t>BC01661</t>
  </si>
  <si>
    <t>BC01662</t>
  </si>
  <si>
    <t>BC01663</t>
  </si>
  <si>
    <t>BC01664</t>
  </si>
  <si>
    <t>BC01665</t>
  </si>
  <si>
    <t>BC01666</t>
  </si>
  <si>
    <t>BC01667</t>
  </si>
  <si>
    <t>BC01668</t>
  </si>
  <si>
    <t>BC01669</t>
  </si>
  <si>
    <t>BC01670</t>
  </si>
  <si>
    <t>BC01671</t>
  </si>
  <si>
    <t>BC01672</t>
  </si>
  <si>
    <t>BC01673</t>
  </si>
  <si>
    <t>BC01674</t>
  </si>
  <si>
    <t>BC01675</t>
  </si>
  <si>
    <t>BC01676</t>
  </si>
  <si>
    <t>BC01677</t>
  </si>
  <si>
    <t>BC01678</t>
  </si>
  <si>
    <t>BC01679</t>
  </si>
  <si>
    <t>BC01680</t>
  </si>
  <si>
    <t>BC01681</t>
  </si>
  <si>
    <t>BC01682</t>
  </si>
  <si>
    <t>BC01683</t>
  </si>
  <si>
    <t>BC01684</t>
  </si>
  <si>
    <t>BC01685</t>
  </si>
  <si>
    <t>BC01686</t>
  </si>
  <si>
    <t>BC01687</t>
  </si>
  <si>
    <t>BC01688</t>
  </si>
  <si>
    <t>BC01689</t>
  </si>
  <si>
    <t>BC01690</t>
  </si>
  <si>
    <t>BC01691</t>
  </si>
  <si>
    <t>BC01692</t>
  </si>
  <si>
    <t>BC01693</t>
  </si>
  <si>
    <t>BC01694</t>
  </si>
  <si>
    <t>BC01695</t>
  </si>
  <si>
    <t>BC01696</t>
  </si>
  <si>
    <t>BC01697</t>
  </si>
  <si>
    <t>BC01698</t>
  </si>
  <si>
    <t>BC01699</t>
  </si>
  <si>
    <t>BC01700</t>
  </si>
  <si>
    <t>BC01701</t>
  </si>
  <si>
    <t>BC01702</t>
  </si>
  <si>
    <t>BC01703</t>
  </si>
  <si>
    <t>BC01704</t>
  </si>
  <si>
    <t>BC01705</t>
  </si>
  <si>
    <t>BC01706</t>
  </si>
  <si>
    <t>BC01707</t>
  </si>
  <si>
    <t>BC01708</t>
  </si>
  <si>
    <t>BC01709</t>
  </si>
  <si>
    <t>BC01710</t>
  </si>
  <si>
    <t>BC01711</t>
  </si>
  <si>
    <t>BC01712</t>
  </si>
  <si>
    <t>BC01713</t>
  </si>
  <si>
    <t>BC01714</t>
  </si>
  <si>
    <t>BC01715</t>
  </si>
  <si>
    <t>BC01716</t>
  </si>
  <si>
    <t>BC01717</t>
  </si>
  <si>
    <t>BC01718</t>
  </si>
  <si>
    <t>BC01719</t>
  </si>
  <si>
    <t>BC01720</t>
  </si>
  <si>
    <t>BC01721</t>
  </si>
  <si>
    <t>BC01722</t>
  </si>
  <si>
    <t>BC01723</t>
  </si>
  <si>
    <t>BC01724</t>
  </si>
  <si>
    <t>BC01725</t>
  </si>
  <si>
    <t>BC01726</t>
  </si>
  <si>
    <t>BC01727</t>
  </si>
  <si>
    <t>BC01728</t>
  </si>
  <si>
    <t>BC01729</t>
  </si>
  <si>
    <t>BC01730</t>
  </si>
  <si>
    <t>BC01731</t>
  </si>
  <si>
    <t>BC01732</t>
  </si>
  <si>
    <t>BC01733</t>
  </si>
  <si>
    <t>BC01734</t>
  </si>
  <si>
    <t>BC01735</t>
  </si>
  <si>
    <t>BC01736</t>
  </si>
  <si>
    <t>BC01737</t>
  </si>
  <si>
    <t>BC01738</t>
  </si>
  <si>
    <t>BC01739</t>
  </si>
  <si>
    <t>BC01740</t>
  </si>
  <si>
    <t>BC01741</t>
  </si>
  <si>
    <t>BC01742</t>
  </si>
  <si>
    <t>BC01743</t>
  </si>
  <si>
    <t>BC01744</t>
  </si>
  <si>
    <t>BC01745</t>
  </si>
  <si>
    <t>BC01746</t>
  </si>
  <si>
    <t>BC01747</t>
  </si>
  <si>
    <t>BC01748</t>
  </si>
  <si>
    <t>BC01749</t>
  </si>
  <si>
    <t>BC01750</t>
  </si>
  <si>
    <t>BC01751</t>
  </si>
  <si>
    <t>BC01752</t>
  </si>
  <si>
    <t>BC01753</t>
  </si>
  <si>
    <t>BC01754</t>
  </si>
  <si>
    <t>BC01755</t>
  </si>
  <si>
    <t>BC01756</t>
  </si>
  <si>
    <t>BC01757</t>
  </si>
  <si>
    <t>BC01758</t>
  </si>
  <si>
    <t>BC01759</t>
  </si>
  <si>
    <t>BC01760</t>
  </si>
  <si>
    <t>BC01761</t>
  </si>
  <si>
    <t>BC01762</t>
  </si>
  <si>
    <t>BC01763</t>
  </si>
  <si>
    <t>BC01764</t>
  </si>
  <si>
    <t>BC01765</t>
  </si>
  <si>
    <t>BC01766</t>
  </si>
  <si>
    <t>BC01767</t>
  </si>
  <si>
    <t>BC01768</t>
  </si>
  <si>
    <t>BC01769</t>
  </si>
  <si>
    <t>BC01770</t>
  </si>
  <si>
    <t>BC01771</t>
  </si>
  <si>
    <t>BC01772</t>
  </si>
  <si>
    <t>BC01773</t>
  </si>
  <si>
    <t>BC01774</t>
  </si>
  <si>
    <t>BC01775</t>
  </si>
  <si>
    <t>BC01776</t>
  </si>
  <si>
    <t>BC01777</t>
  </si>
  <si>
    <t>BC01778</t>
  </si>
  <si>
    <t>BC01779</t>
  </si>
  <si>
    <t>BC01780</t>
  </si>
  <si>
    <t>BC01781</t>
  </si>
  <si>
    <t>BC01782</t>
  </si>
  <si>
    <t>BC01783</t>
  </si>
  <si>
    <t>BC01784</t>
  </si>
  <si>
    <t>BC01785</t>
  </si>
  <si>
    <t>BC01786</t>
  </si>
  <si>
    <t>BC01787</t>
  </si>
  <si>
    <t>BC01788</t>
  </si>
  <si>
    <t>BC01789</t>
  </si>
  <si>
    <t>BC01790</t>
  </si>
  <si>
    <t>BC01791</t>
  </si>
  <si>
    <t>BC01792</t>
  </si>
  <si>
    <t>BC01793</t>
  </si>
  <si>
    <t>BC01794</t>
  </si>
  <si>
    <t>BC01795</t>
  </si>
  <si>
    <t>BC01796</t>
  </si>
  <si>
    <t>BC01797</t>
  </si>
  <si>
    <t>BC01798</t>
  </si>
  <si>
    <t>BC01799</t>
  </si>
  <si>
    <t>BC01800</t>
  </si>
  <si>
    <t>BC01801</t>
  </si>
  <si>
    <t>BC01802</t>
  </si>
  <si>
    <t>BC01803</t>
  </si>
  <si>
    <t>BC01804</t>
  </si>
  <si>
    <t>BC01805</t>
  </si>
  <si>
    <t>BC01806</t>
  </si>
  <si>
    <t>BC01807</t>
  </si>
  <si>
    <t>BC01808</t>
  </si>
  <si>
    <t>BC01809</t>
  </si>
  <si>
    <t>BC01810</t>
  </si>
  <si>
    <t>BC01811</t>
  </si>
  <si>
    <t>BC01812</t>
  </si>
  <si>
    <t>BC01813</t>
  </si>
  <si>
    <t>BC01814</t>
  </si>
  <si>
    <t>BC01815</t>
  </si>
  <si>
    <t>BC01816</t>
  </si>
  <si>
    <t>BC01817</t>
  </si>
  <si>
    <t>BC01818</t>
  </si>
  <si>
    <t>BC01819</t>
  </si>
  <si>
    <t>BC01820</t>
  </si>
  <si>
    <t>BC01821</t>
  </si>
  <si>
    <t>BC01822</t>
  </si>
  <si>
    <t>BC01823</t>
  </si>
  <si>
    <t>BC01824</t>
  </si>
  <si>
    <t>BC01825</t>
  </si>
  <si>
    <t>BC01826</t>
  </si>
  <si>
    <t>BC01827</t>
  </si>
  <si>
    <t>BC01828</t>
  </si>
  <si>
    <t>BC01829</t>
  </si>
  <si>
    <t>BC01830</t>
  </si>
  <si>
    <t>BC01831</t>
  </si>
  <si>
    <t>BC01832</t>
  </si>
  <si>
    <t>BC01833</t>
  </si>
  <si>
    <t>BC01834</t>
  </si>
  <si>
    <t>BC01835</t>
  </si>
  <si>
    <t>BC01836</t>
  </si>
  <si>
    <t>BC01837</t>
  </si>
  <si>
    <t>BC01838</t>
  </si>
  <si>
    <t>BC01839</t>
  </si>
  <si>
    <t>BC01840</t>
  </si>
  <si>
    <t>BC01841</t>
  </si>
  <si>
    <t>BC01842</t>
  </si>
  <si>
    <t>BC01843</t>
  </si>
  <si>
    <t>BC01844</t>
  </si>
  <si>
    <t>BC01845</t>
  </si>
  <si>
    <t>BC01846</t>
  </si>
  <si>
    <t>BC01847</t>
  </si>
  <si>
    <t>BC01848</t>
  </si>
  <si>
    <t>BC01849</t>
  </si>
  <si>
    <t>BC01850</t>
  </si>
  <si>
    <t>BC01851</t>
  </si>
  <si>
    <t>BC01852</t>
  </si>
  <si>
    <t>BC01853</t>
  </si>
  <si>
    <t>BC01854</t>
  </si>
  <si>
    <t>BC01855</t>
  </si>
  <si>
    <t>BC01856</t>
  </si>
  <si>
    <t>BC01857</t>
  </si>
  <si>
    <t>BC01858</t>
  </si>
  <si>
    <t>BC01859</t>
  </si>
  <si>
    <t>BC01860</t>
  </si>
  <si>
    <t>BC01861</t>
  </si>
  <si>
    <t>BC01862</t>
  </si>
  <si>
    <t>BC01863</t>
  </si>
  <si>
    <t>BC01864</t>
  </si>
  <si>
    <t>BC01865</t>
  </si>
  <si>
    <t>BC01866</t>
  </si>
  <si>
    <t>BC01867</t>
  </si>
  <si>
    <t>BC01868</t>
  </si>
  <si>
    <t>BC01869</t>
  </si>
  <si>
    <t>BC01870</t>
  </si>
  <si>
    <t>BC01871</t>
  </si>
  <si>
    <t>BC01872</t>
  </si>
  <si>
    <t>BC01873</t>
  </si>
  <si>
    <t>BC01874</t>
  </si>
  <si>
    <t>BC01875</t>
  </si>
  <si>
    <t>BC01876</t>
  </si>
  <si>
    <t>BC01877</t>
  </si>
  <si>
    <t>BC01878</t>
  </si>
  <si>
    <t>BC01879</t>
  </si>
  <si>
    <t>BC01880</t>
  </si>
  <si>
    <t>BC01881</t>
  </si>
  <si>
    <t>BC01882</t>
  </si>
  <si>
    <t>BC01883</t>
  </si>
  <si>
    <t>BC01884</t>
  </si>
  <si>
    <t>BC01885</t>
  </si>
  <si>
    <t>BC01886</t>
  </si>
  <si>
    <t>BC01887</t>
  </si>
  <si>
    <t>BC01888</t>
  </si>
  <si>
    <t>BC01889</t>
  </si>
  <si>
    <t>BC01890</t>
  </si>
  <si>
    <t>BC01891</t>
  </si>
  <si>
    <t>BC01892</t>
  </si>
  <si>
    <t>BC01893</t>
  </si>
  <si>
    <t>BC01894</t>
  </si>
  <si>
    <t>BC01895</t>
  </si>
  <si>
    <t>BC01896</t>
  </si>
  <si>
    <t>BC01897</t>
  </si>
  <si>
    <t>BC01898</t>
  </si>
  <si>
    <t>BC01899</t>
  </si>
  <si>
    <t>BC01900</t>
  </si>
  <si>
    <t>BC01901</t>
  </si>
  <si>
    <t>BC01902</t>
  </si>
  <si>
    <t>BC01903</t>
  </si>
  <si>
    <t>BC01904</t>
  </si>
  <si>
    <t>BC01905</t>
  </si>
  <si>
    <t>BC01906</t>
  </si>
  <si>
    <t>BC01907</t>
  </si>
  <si>
    <t>BC01908</t>
  </si>
  <si>
    <t>BC01909</t>
  </si>
  <si>
    <t>BC01910</t>
  </si>
  <si>
    <t>BC01911</t>
  </si>
  <si>
    <t>BC01912</t>
  </si>
  <si>
    <t>BC01913</t>
  </si>
  <si>
    <t>BC01914</t>
  </si>
  <si>
    <t>BC01915</t>
  </si>
  <si>
    <t>BC01916</t>
  </si>
  <si>
    <t>BC01917</t>
  </si>
  <si>
    <t>BC01918</t>
  </si>
  <si>
    <t>BC01919</t>
  </si>
  <si>
    <t>BC01920</t>
  </si>
  <si>
    <t>BC01921</t>
  </si>
  <si>
    <t>BC01922</t>
  </si>
  <si>
    <t>BC01923</t>
  </si>
  <si>
    <t>BC01924</t>
  </si>
  <si>
    <t>BC01925</t>
  </si>
  <si>
    <t>BC01926</t>
  </si>
  <si>
    <t>BC01927</t>
  </si>
  <si>
    <t>BC01928</t>
  </si>
  <si>
    <t>BC01929</t>
  </si>
  <si>
    <t>BC01930</t>
  </si>
  <si>
    <t>BC01931</t>
  </si>
  <si>
    <t>BC01932</t>
  </si>
  <si>
    <t>BC01933</t>
  </si>
  <si>
    <t>BC01934</t>
  </si>
  <si>
    <t>BC01935</t>
  </si>
  <si>
    <t>BC01936</t>
  </si>
  <si>
    <t>BC01937</t>
  </si>
  <si>
    <t>BC01938</t>
  </si>
  <si>
    <t>BC01939</t>
  </si>
  <si>
    <t>BC01940</t>
  </si>
  <si>
    <t>BC01941</t>
  </si>
  <si>
    <t>BC01942</t>
  </si>
  <si>
    <t>BC01943</t>
  </si>
  <si>
    <t>BC01944</t>
  </si>
  <si>
    <t>BC01945</t>
  </si>
  <si>
    <t>BC01946</t>
  </si>
  <si>
    <t>BC01947</t>
  </si>
  <si>
    <t>BC01948</t>
  </si>
  <si>
    <t>BC01949</t>
  </si>
  <si>
    <t>BC01950</t>
  </si>
  <si>
    <t>BC01951</t>
  </si>
  <si>
    <t>BC01952</t>
  </si>
  <si>
    <t>BC01953</t>
  </si>
  <si>
    <t>BC01954</t>
  </si>
  <si>
    <t>BC01955</t>
  </si>
  <si>
    <t>BC01956</t>
  </si>
  <si>
    <t>BC01957</t>
  </si>
  <si>
    <t>BC01958</t>
  </si>
  <si>
    <t>BC01959</t>
  </si>
  <si>
    <t>BC01960</t>
  </si>
  <si>
    <t>BC01961</t>
  </si>
  <si>
    <t>BC01962</t>
  </si>
  <si>
    <t>BC01963</t>
  </si>
  <si>
    <t>BC01964</t>
  </si>
  <si>
    <t>BC01965</t>
  </si>
  <si>
    <t>BC01966</t>
  </si>
  <si>
    <t>BC01967</t>
  </si>
  <si>
    <t>BC01968</t>
  </si>
  <si>
    <t>BC01969</t>
  </si>
  <si>
    <t>BC01970</t>
  </si>
  <si>
    <t>BC01971</t>
  </si>
  <si>
    <t>BC01972</t>
  </si>
  <si>
    <t>BC01973</t>
  </si>
  <si>
    <t>BC01974</t>
  </si>
  <si>
    <t>BC01975</t>
  </si>
  <si>
    <t>BC01976</t>
  </si>
  <si>
    <t>BC01977</t>
  </si>
  <si>
    <t>BC01978</t>
  </si>
  <si>
    <t>BC01979</t>
  </si>
  <si>
    <t>BC01980</t>
  </si>
  <si>
    <t>BC01981</t>
  </si>
  <si>
    <t>BC01982</t>
  </si>
  <si>
    <t>BC01983</t>
  </si>
  <si>
    <t>BC01984</t>
  </si>
  <si>
    <t>BC01985</t>
  </si>
  <si>
    <t>BC01986</t>
  </si>
  <si>
    <t>BC01987</t>
  </si>
  <si>
    <t>BC01988</t>
  </si>
  <si>
    <t>BC01989</t>
  </si>
  <si>
    <t>BC01990</t>
  </si>
  <si>
    <t>BC01991</t>
  </si>
  <si>
    <t>BC01992</t>
  </si>
  <si>
    <t>BC01993</t>
  </si>
  <si>
    <t>BC01994</t>
  </si>
  <si>
    <t>BC01995</t>
  </si>
  <si>
    <t>BC01996</t>
  </si>
  <si>
    <t>BC01997</t>
  </si>
  <si>
    <t>BC01998</t>
  </si>
  <si>
    <t>BC01999</t>
  </si>
  <si>
    <t>BC02000</t>
  </si>
  <si>
    <t>BC02001</t>
  </si>
  <si>
    <t>BC02002</t>
  </si>
  <si>
    <t>BC02003</t>
  </si>
  <si>
    <t>BC02004</t>
  </si>
  <si>
    <t>BC02005</t>
  </si>
  <si>
    <t>BC02006</t>
  </si>
  <si>
    <t>BC02007</t>
  </si>
  <si>
    <t>BC02008</t>
  </si>
  <si>
    <t>BC02009</t>
  </si>
  <si>
    <t>BC02010</t>
  </si>
  <si>
    <t>BC02011</t>
  </si>
  <si>
    <t>BC02012</t>
  </si>
  <si>
    <t>BC02013</t>
  </si>
  <si>
    <t>BC02014</t>
  </si>
  <si>
    <t>BC02015</t>
  </si>
  <si>
    <t>BC02016</t>
  </si>
  <si>
    <t>BC02017</t>
  </si>
  <si>
    <t>BC02018</t>
  </si>
  <si>
    <t>BC02019</t>
  </si>
  <si>
    <t>BC02020</t>
  </si>
  <si>
    <t>BC02021</t>
  </si>
  <si>
    <t>BC02022</t>
  </si>
  <si>
    <t>BC02023</t>
  </si>
  <si>
    <t>BC02024</t>
  </si>
  <si>
    <t>BC02025</t>
  </si>
  <si>
    <t>BC02026</t>
  </si>
  <si>
    <t>BC02027</t>
  </si>
  <si>
    <t>BC02028</t>
  </si>
  <si>
    <t>BC02029</t>
  </si>
  <si>
    <t>BC02030</t>
  </si>
  <si>
    <t>BC02031</t>
  </si>
  <si>
    <t>BC02032</t>
  </si>
  <si>
    <t>BC02033</t>
  </si>
  <si>
    <t>BC02034</t>
  </si>
  <si>
    <t>BC02035</t>
  </si>
  <si>
    <t>BC02036</t>
  </si>
  <si>
    <t>BC02037</t>
  </si>
  <si>
    <t>BC02038</t>
  </si>
  <si>
    <t>BC02039</t>
  </si>
  <si>
    <t>BC02040</t>
  </si>
  <si>
    <t>BC02041</t>
  </si>
  <si>
    <t>BC02042</t>
  </si>
  <si>
    <t>BC02043</t>
  </si>
  <si>
    <t>BC02044</t>
  </si>
  <si>
    <t>BC02045</t>
  </si>
  <si>
    <t>BC02046</t>
  </si>
  <si>
    <t>BC02047</t>
  </si>
  <si>
    <t>BC02048</t>
  </si>
  <si>
    <t>BC02049</t>
  </si>
  <si>
    <t>BC02050</t>
  </si>
  <si>
    <t>BC02051</t>
  </si>
  <si>
    <t>BC02052</t>
  </si>
  <si>
    <t>BC02053</t>
  </si>
  <si>
    <t>BC02054</t>
  </si>
  <si>
    <t>BC02055</t>
  </si>
  <si>
    <t>BC02056</t>
  </si>
  <si>
    <t>BC02057</t>
  </si>
  <si>
    <t>BC02058</t>
  </si>
  <si>
    <t>BC02059</t>
  </si>
  <si>
    <t>BC02060</t>
  </si>
  <si>
    <t>BC02061</t>
  </si>
  <si>
    <t>BC02062</t>
  </si>
  <si>
    <t>BC02063</t>
  </si>
  <si>
    <t>BC02064</t>
  </si>
  <si>
    <t>BC02065</t>
  </si>
  <si>
    <t>BC02066</t>
  </si>
  <si>
    <t>BC02067</t>
  </si>
  <si>
    <t>BC02068</t>
  </si>
  <si>
    <t>BC02069</t>
  </si>
  <si>
    <t>BC02070</t>
  </si>
  <si>
    <t>BC02071</t>
  </si>
  <si>
    <t>BC02072</t>
  </si>
  <si>
    <t>BC02073</t>
  </si>
  <si>
    <t>BC02074</t>
  </si>
  <si>
    <t>BC02075</t>
  </si>
  <si>
    <t>BC02076</t>
  </si>
  <si>
    <t>BC02077</t>
  </si>
  <si>
    <t>BC02078</t>
  </si>
  <si>
    <t>BC02079</t>
  </si>
  <si>
    <t>BC02080</t>
  </si>
  <si>
    <t>BC02081</t>
  </si>
  <si>
    <t>BC02082</t>
  </si>
  <si>
    <t>BC02083</t>
  </si>
  <si>
    <t>BC02084</t>
  </si>
  <si>
    <t>BC02085</t>
  </si>
  <si>
    <t>BC02086</t>
  </si>
  <si>
    <t>BC02087</t>
  </si>
  <si>
    <t>BC02088</t>
  </si>
  <si>
    <t>BC02089</t>
  </si>
  <si>
    <t>BC02090</t>
  </si>
  <si>
    <t>BC02091</t>
  </si>
  <si>
    <t>BC02092</t>
  </si>
  <si>
    <t>BC02093</t>
  </si>
  <si>
    <t>BC02094</t>
  </si>
  <si>
    <t>BC02095</t>
  </si>
  <si>
    <t>BC02096</t>
  </si>
  <si>
    <t>BC02097</t>
  </si>
  <si>
    <t>BC02098</t>
  </si>
  <si>
    <t>BC02099</t>
  </si>
  <si>
    <t>BC02100</t>
  </si>
  <si>
    <t>BC02101</t>
  </si>
  <si>
    <t>BC02102</t>
  </si>
  <si>
    <t>BC02103</t>
  </si>
  <si>
    <t>BC02104</t>
  </si>
  <si>
    <t>BC02105</t>
  </si>
  <si>
    <t>BC02106</t>
  </si>
  <si>
    <t>BC02107</t>
  </si>
  <si>
    <t>BC02108</t>
  </si>
  <si>
    <t>BC02109</t>
  </si>
  <si>
    <t>BC02110</t>
  </si>
  <si>
    <t>BC02111</t>
  </si>
  <si>
    <t>BC02112</t>
  </si>
  <si>
    <t>BC02113</t>
  </si>
  <si>
    <t>BC02114</t>
  </si>
  <si>
    <t>BC02115</t>
  </si>
  <si>
    <t>BC02116</t>
  </si>
  <si>
    <t>BC02117</t>
  </si>
  <si>
    <t>BC02118</t>
  </si>
  <si>
    <t>BC02119</t>
  </si>
  <si>
    <t>BC02120</t>
  </si>
  <si>
    <t>BC02121</t>
  </si>
  <si>
    <t>BC02122</t>
  </si>
  <si>
    <t>BC02123</t>
  </si>
  <si>
    <t>BC02124</t>
  </si>
  <si>
    <t>BC02125</t>
  </si>
  <si>
    <t>BC02126</t>
  </si>
  <si>
    <t>BC02127</t>
  </si>
  <si>
    <t>BC02128</t>
  </si>
  <si>
    <t>BC02129</t>
  </si>
  <si>
    <t>BC02130</t>
  </si>
  <si>
    <t>BC02131</t>
  </si>
  <si>
    <t>BC02132</t>
  </si>
  <si>
    <t>BC02133</t>
  </si>
  <si>
    <t>BC02134</t>
  </si>
  <si>
    <t>BC02135</t>
  </si>
  <si>
    <t>BC02136</t>
  </si>
  <si>
    <t>BC02137</t>
  </si>
  <si>
    <t>BC02138</t>
  </si>
  <si>
    <t>BC02139</t>
  </si>
  <si>
    <t>BC02140</t>
  </si>
  <si>
    <t>BC02141</t>
  </si>
  <si>
    <t>BC02142</t>
  </si>
  <si>
    <t>BC02143</t>
  </si>
  <si>
    <t>BC02144</t>
  </si>
  <si>
    <t>BC02145</t>
  </si>
  <si>
    <t>BC02146</t>
  </si>
  <si>
    <t>BC02147</t>
  </si>
  <si>
    <t>BC02148</t>
  </si>
  <si>
    <t>BC02149</t>
  </si>
  <si>
    <t>BC02150</t>
  </si>
  <si>
    <t>BC02151</t>
  </si>
  <si>
    <t>BC02152</t>
  </si>
  <si>
    <t>BC02153</t>
  </si>
  <si>
    <t>BC02154</t>
  </si>
  <si>
    <t>BC02155</t>
  </si>
  <si>
    <t>BC02156</t>
  </si>
  <si>
    <t>BC02157</t>
  </si>
  <si>
    <t>BC02158</t>
  </si>
  <si>
    <t>BC02159</t>
  </si>
  <si>
    <t>BC02160</t>
  </si>
  <si>
    <t>BC02161</t>
  </si>
  <si>
    <t>BC02162</t>
  </si>
  <si>
    <t>BC02163</t>
  </si>
  <si>
    <t>BC02164</t>
  </si>
  <si>
    <t>BC02165</t>
  </si>
  <si>
    <t>BC02166</t>
  </si>
  <si>
    <t>BC02167</t>
  </si>
  <si>
    <t>BC02168</t>
  </si>
  <si>
    <t>BC02169</t>
  </si>
  <si>
    <t>BC02170</t>
  </si>
  <si>
    <t>BC02171</t>
  </si>
  <si>
    <t>BC02172</t>
  </si>
  <si>
    <t>BC02173</t>
  </si>
  <si>
    <t>BC02174</t>
  </si>
  <si>
    <t>BC02175</t>
  </si>
  <si>
    <t>BC02176</t>
  </si>
  <si>
    <t>BC02177</t>
  </si>
  <si>
    <t>BC02178</t>
  </si>
  <si>
    <t>BC02179</t>
  </si>
  <si>
    <t>BC02180</t>
  </si>
  <si>
    <t>BC02181</t>
  </si>
  <si>
    <t>BC02182</t>
  </si>
  <si>
    <t>BC02183</t>
  </si>
  <si>
    <t>BC02184</t>
  </si>
  <si>
    <t>BC02185</t>
  </si>
  <si>
    <t>BC02186</t>
  </si>
  <si>
    <t>BC02187</t>
  </si>
  <si>
    <t>BC02188</t>
  </si>
  <si>
    <t>BC02189</t>
  </si>
  <si>
    <t>BC02190</t>
  </si>
  <si>
    <t>BC02191</t>
  </si>
  <si>
    <t>BC02192</t>
  </si>
  <si>
    <t>BC02193</t>
  </si>
  <si>
    <t>BC02194</t>
  </si>
  <si>
    <t>BC02195</t>
  </si>
  <si>
    <t>BC02196</t>
  </si>
  <si>
    <t>BC02197</t>
  </si>
  <si>
    <t>BC02198</t>
  </si>
  <si>
    <t>BC02199</t>
  </si>
  <si>
    <t>BC02200</t>
  </si>
  <si>
    <t>BC02201</t>
  </si>
  <si>
    <t>BC02202</t>
  </si>
  <si>
    <t>BC02203</t>
  </si>
  <si>
    <t>BC02204</t>
  </si>
  <si>
    <t>BC02205</t>
  </si>
  <si>
    <t>BC02206</t>
  </si>
  <si>
    <t>BC02207</t>
  </si>
  <si>
    <t>BC02208</t>
  </si>
  <si>
    <t>BC02209</t>
  </si>
  <si>
    <t>BC02210</t>
  </si>
  <si>
    <t>BC02211</t>
  </si>
  <si>
    <t>BC02212</t>
  </si>
  <si>
    <t>BC02213</t>
  </si>
  <si>
    <t>BC02214</t>
  </si>
  <si>
    <t>BC02215</t>
  </si>
  <si>
    <t>BC02216</t>
  </si>
  <si>
    <t>BC02217</t>
  </si>
  <si>
    <t>BC02218</t>
  </si>
  <si>
    <t>BC02219</t>
  </si>
  <si>
    <t>BC02220</t>
  </si>
  <si>
    <t>BC02221</t>
  </si>
  <si>
    <t>BC02222</t>
  </si>
  <si>
    <t>BC02223</t>
  </si>
  <si>
    <t>BC02224</t>
  </si>
  <si>
    <t>BC02225</t>
  </si>
  <si>
    <t>BC02226</t>
  </si>
  <si>
    <t>BC02227</t>
  </si>
  <si>
    <t>BC02228</t>
  </si>
  <si>
    <t>BC02229</t>
  </si>
  <si>
    <t>BC02230</t>
  </si>
  <si>
    <t>BC02231</t>
  </si>
  <si>
    <t>BC02232</t>
  </si>
  <si>
    <t>BC02233</t>
  </si>
  <si>
    <t>BC02234</t>
  </si>
  <si>
    <t>BC02235</t>
  </si>
  <si>
    <t>BC02236</t>
  </si>
  <si>
    <t>BC02237</t>
  </si>
  <si>
    <t>BC02238</t>
  </si>
  <si>
    <t>BC02239</t>
  </si>
  <si>
    <t>BC02240</t>
  </si>
  <si>
    <t>BC02241</t>
  </si>
  <si>
    <t>BC02242</t>
  </si>
  <si>
    <t>BC02243</t>
  </si>
  <si>
    <t>BC02244</t>
  </si>
  <si>
    <t>BC02245</t>
  </si>
  <si>
    <t>BC02246</t>
  </si>
  <si>
    <t>BC02247</t>
  </si>
  <si>
    <t>BC02248</t>
  </si>
  <si>
    <t>BC02249</t>
  </si>
  <si>
    <t>BC02250</t>
  </si>
  <si>
    <t>BC02251</t>
  </si>
  <si>
    <t>BC02252</t>
  </si>
  <si>
    <t>BC02253</t>
  </si>
  <si>
    <t>BC02254</t>
  </si>
  <si>
    <t>BC02255</t>
  </si>
  <si>
    <t>BC02256</t>
  </si>
  <si>
    <t>BC02257</t>
  </si>
  <si>
    <t>BC02258</t>
  </si>
  <si>
    <t>BC02259</t>
  </si>
  <si>
    <t>BC02260</t>
  </si>
  <si>
    <t>BC02261</t>
  </si>
  <si>
    <t>BC02262</t>
  </si>
  <si>
    <t>BC02263</t>
  </si>
  <si>
    <t>BC02264</t>
  </si>
  <si>
    <t>BC02265</t>
  </si>
  <si>
    <t>BC02266</t>
  </si>
  <si>
    <t>BC02267</t>
  </si>
  <si>
    <t>BC02268</t>
  </si>
  <si>
    <t>BC02269</t>
  </si>
  <si>
    <t>BC02270</t>
  </si>
  <si>
    <t>BC02271</t>
  </si>
  <si>
    <t>BC02272</t>
  </si>
  <si>
    <t>BC02273</t>
  </si>
  <si>
    <t>BC02274</t>
  </si>
  <si>
    <t>BC02275</t>
  </si>
  <si>
    <t>BC02276</t>
  </si>
  <si>
    <t>BC02277</t>
  </si>
  <si>
    <t>BC02278</t>
  </si>
  <si>
    <t>BC02279</t>
  </si>
  <si>
    <t>BC02280</t>
  </si>
  <si>
    <t>BC02281</t>
  </si>
  <si>
    <t>BC02282</t>
  </si>
  <si>
    <t>BC02283</t>
  </si>
  <si>
    <t>BC02284</t>
  </si>
  <si>
    <t>BC02285</t>
  </si>
  <si>
    <t>BC02286</t>
  </si>
  <si>
    <t>BC02287</t>
  </si>
  <si>
    <t>BC02288</t>
  </si>
  <si>
    <t>BC02289</t>
  </si>
  <si>
    <t>BC02290</t>
  </si>
  <si>
    <t>BC02291</t>
  </si>
  <si>
    <t>BC02292</t>
  </si>
  <si>
    <t>BC02293</t>
  </si>
  <si>
    <t>BC02294</t>
  </si>
  <si>
    <t>BC02295</t>
  </si>
  <si>
    <t>BC02296</t>
  </si>
  <si>
    <t>BC02297</t>
  </si>
  <si>
    <t>BC02298</t>
  </si>
  <si>
    <t>BC02299</t>
  </si>
  <si>
    <t>BC02300</t>
  </si>
  <si>
    <t>BC02301</t>
  </si>
  <si>
    <t>BC02302</t>
  </si>
  <si>
    <t>BC02303</t>
  </si>
  <si>
    <t>BC02304</t>
  </si>
  <si>
    <t>BC02305</t>
  </si>
  <si>
    <t>BC02306</t>
  </si>
  <si>
    <t>BC02307</t>
  </si>
  <si>
    <t>BC02308</t>
  </si>
  <si>
    <t>BC02309</t>
  </si>
  <si>
    <t>BC02310</t>
  </si>
  <si>
    <t>BC02311</t>
  </si>
  <si>
    <t>BC02312</t>
  </si>
  <si>
    <t>BC02313</t>
  </si>
  <si>
    <t>BC02314</t>
  </si>
  <si>
    <t>BC02315</t>
  </si>
  <si>
    <t>BC02316</t>
  </si>
  <si>
    <t>BC02317</t>
  </si>
  <si>
    <t>BC02318</t>
  </si>
  <si>
    <t>BC02319</t>
  </si>
  <si>
    <t>BC02320</t>
  </si>
  <si>
    <t>BC02321</t>
  </si>
  <si>
    <t>BC02322</t>
  </si>
  <si>
    <t>BC02323</t>
  </si>
  <si>
    <t>BC02324</t>
  </si>
  <si>
    <t>BC02325</t>
  </si>
  <si>
    <t>BC02326</t>
  </si>
  <si>
    <t>BC02327</t>
  </si>
  <si>
    <t>BC02328</t>
  </si>
  <si>
    <t>BC02329</t>
  </si>
  <si>
    <t>BC02330</t>
  </si>
  <si>
    <t>BC02331</t>
  </si>
  <si>
    <t>BC02332</t>
  </si>
  <si>
    <t>BC02333</t>
  </si>
  <si>
    <t>BC02334</t>
  </si>
  <si>
    <t>BC02335</t>
  </si>
  <si>
    <t>BC02336</t>
  </si>
  <si>
    <t>BC02337</t>
  </si>
  <si>
    <t>BC02338</t>
  </si>
  <si>
    <t>BC02339</t>
  </si>
  <si>
    <t>BC02340</t>
  </si>
  <si>
    <t>BC02341</t>
  </si>
  <si>
    <t>BC02342</t>
  </si>
  <si>
    <t>BC02343</t>
  </si>
  <si>
    <t>BC02344</t>
  </si>
  <si>
    <t>BC02345</t>
  </si>
  <si>
    <t>BC02346</t>
  </si>
  <si>
    <t>BC02347</t>
  </si>
  <si>
    <t>BC02348</t>
  </si>
  <si>
    <t>BC02349</t>
  </si>
  <si>
    <t>BC02350</t>
  </si>
  <si>
    <t>BC02351</t>
  </si>
  <si>
    <t>BC02352</t>
  </si>
  <si>
    <t>BC02353</t>
  </si>
  <si>
    <t>BC02354</t>
  </si>
  <si>
    <t>BC02355</t>
  </si>
  <si>
    <t>BC02356</t>
  </si>
  <si>
    <t>BC02357</t>
  </si>
  <si>
    <t>BC02358</t>
  </si>
  <si>
    <t>BC02359</t>
  </si>
  <si>
    <t>BC02360</t>
  </si>
  <si>
    <t>BC02361</t>
  </si>
  <si>
    <t>BC02362</t>
  </si>
  <si>
    <t>BC02363</t>
  </si>
  <si>
    <t>BC02364</t>
  </si>
  <si>
    <t>BC02365</t>
  </si>
  <si>
    <t>BC02366</t>
  </si>
  <si>
    <t>BC02367</t>
  </si>
  <si>
    <t>BC02368</t>
  </si>
  <si>
    <t>BC02369</t>
  </si>
  <si>
    <t>BC02370</t>
  </si>
  <si>
    <t>BC02371</t>
  </si>
  <si>
    <t>BC02372</t>
  </si>
  <si>
    <t>BC02373</t>
  </si>
  <si>
    <t>BC02374</t>
  </si>
  <si>
    <t>BC02375</t>
  </si>
  <si>
    <t>BC02376</t>
  </si>
  <si>
    <t>BC02377</t>
  </si>
  <si>
    <t>BC02378</t>
  </si>
  <si>
    <t>BC02379</t>
  </si>
  <si>
    <t>BC02380</t>
  </si>
  <si>
    <t>BC02381</t>
  </si>
  <si>
    <t>BC02382</t>
  </si>
  <si>
    <t>BC02383</t>
  </si>
  <si>
    <t>BC02384</t>
  </si>
  <si>
    <t>BC02385</t>
  </si>
  <si>
    <t>BC02386</t>
  </si>
  <si>
    <t>BC02387</t>
  </si>
  <si>
    <t>BC02388</t>
  </si>
  <si>
    <t>BC02389</t>
  </si>
  <si>
    <t>BC02390</t>
  </si>
  <si>
    <t>BC02391</t>
  </si>
  <si>
    <t>BC02392</t>
  </si>
  <si>
    <t>BC02393</t>
  </si>
  <si>
    <t>BC02394</t>
  </si>
  <si>
    <t>BC02395</t>
  </si>
  <si>
    <t>BC02396</t>
  </si>
  <si>
    <t>BC02397</t>
  </si>
  <si>
    <t>BC02398</t>
  </si>
  <si>
    <t>BC02399</t>
  </si>
  <si>
    <t>BC02400</t>
  </si>
  <si>
    <t>BC02401</t>
  </si>
  <si>
    <t>BC02402</t>
  </si>
  <si>
    <t>BC02403</t>
  </si>
  <si>
    <t>BC02404</t>
  </si>
  <si>
    <t>BC02405</t>
  </si>
  <si>
    <t>BC02406</t>
  </si>
  <si>
    <t>BC02407</t>
  </si>
  <si>
    <t>BC02408</t>
  </si>
  <si>
    <t>BC02409</t>
  </si>
  <si>
    <t>BC02410</t>
  </si>
  <si>
    <t>BC02411</t>
  </si>
  <si>
    <t>BC02412</t>
  </si>
  <si>
    <t>BC02413</t>
  </si>
  <si>
    <t>BC02414</t>
  </si>
  <si>
    <t>BC02415</t>
  </si>
  <si>
    <t>BC02416</t>
  </si>
  <si>
    <t>BC02417</t>
  </si>
  <si>
    <t>BC02418</t>
  </si>
  <si>
    <t>BC02419</t>
  </si>
  <si>
    <t>BC02420</t>
  </si>
  <si>
    <t>BC02421</t>
  </si>
  <si>
    <t>BC02422</t>
  </si>
  <si>
    <t>BC02423</t>
  </si>
  <si>
    <t>BC02424</t>
  </si>
  <si>
    <t>BC02425</t>
  </si>
  <si>
    <t>BC02426</t>
  </si>
  <si>
    <t>BC02427</t>
  </si>
  <si>
    <t>BC02428</t>
  </si>
  <si>
    <t>BC02429</t>
  </si>
  <si>
    <t>BC02430</t>
  </si>
  <si>
    <t>BC02431</t>
  </si>
  <si>
    <t>BC02432</t>
  </si>
  <si>
    <t>BC02433</t>
  </si>
  <si>
    <t>BC02434</t>
  </si>
  <si>
    <t>BC02435</t>
  </si>
  <si>
    <t>BC02436</t>
  </si>
  <si>
    <t>BC02437</t>
  </si>
  <si>
    <t>BC02438</t>
  </si>
  <si>
    <t>BC02439</t>
  </si>
  <si>
    <t>BC02440</t>
  </si>
  <si>
    <t>BC02441</t>
  </si>
  <si>
    <t>BC02442</t>
  </si>
  <si>
    <t>BC02443</t>
  </si>
  <si>
    <t>BC02444</t>
  </si>
  <si>
    <t>BC02445</t>
  </si>
  <si>
    <t>BC02446</t>
  </si>
  <si>
    <t>BC02447</t>
  </si>
  <si>
    <t>BC02448</t>
  </si>
  <si>
    <t>BC02449</t>
  </si>
  <si>
    <t>BC02450</t>
  </si>
  <si>
    <t>BC02451</t>
  </si>
  <si>
    <t>BC02452</t>
  </si>
  <si>
    <t>BC02453</t>
  </si>
  <si>
    <t>BC02454</t>
  </si>
  <si>
    <t>BC02455</t>
  </si>
  <si>
    <t>BC02456</t>
  </si>
  <si>
    <t>BC02457</t>
  </si>
  <si>
    <t>BC02458</t>
  </si>
  <si>
    <t>BC02459</t>
  </si>
  <si>
    <t>BC02460</t>
  </si>
  <si>
    <t>BC02461</t>
  </si>
  <si>
    <t>BC02462</t>
  </si>
  <si>
    <t>BC02463</t>
  </si>
  <si>
    <t>BC02464</t>
  </si>
  <si>
    <t>BC02465</t>
  </si>
  <si>
    <t>BC02466</t>
  </si>
  <si>
    <t>BC02467</t>
  </si>
  <si>
    <t>BC02468</t>
  </si>
  <si>
    <t>BC02469</t>
  </si>
  <si>
    <t>BC02470</t>
  </si>
  <si>
    <t>BC02471</t>
  </si>
  <si>
    <t>BC02472</t>
  </si>
  <si>
    <t>BC02473</t>
  </si>
  <si>
    <t>BC02474</t>
  </si>
  <si>
    <t>BC02475</t>
  </si>
  <si>
    <t>BC02476</t>
  </si>
  <si>
    <t>BC02477</t>
  </si>
  <si>
    <t>BC02478</t>
  </si>
  <si>
    <t>BC02479</t>
  </si>
  <si>
    <t>BC02480</t>
  </si>
  <si>
    <t>BC02481</t>
  </si>
  <si>
    <t>BC02482</t>
  </si>
  <si>
    <t>BC02483</t>
  </si>
  <si>
    <t>BC02484</t>
  </si>
  <si>
    <t>BC02485</t>
  </si>
  <si>
    <t>BC02486</t>
  </si>
  <si>
    <t>BC02487</t>
  </si>
  <si>
    <t>BC02488</t>
  </si>
  <si>
    <t>BC02489</t>
  </si>
  <si>
    <t>BC02490</t>
  </si>
  <si>
    <t>BC02491</t>
  </si>
  <si>
    <t>BC02492</t>
  </si>
  <si>
    <t>BC02493</t>
  </si>
  <si>
    <t>BC02494</t>
  </si>
  <si>
    <t>BC02495</t>
  </si>
  <si>
    <t>BC02496</t>
  </si>
  <si>
    <t>BC02497</t>
  </si>
  <si>
    <t>BC02498</t>
  </si>
  <si>
    <t>BC02499</t>
  </si>
  <si>
    <t>BC02500</t>
  </si>
  <si>
    <t>BC02501</t>
  </si>
  <si>
    <t>BC02502</t>
  </si>
  <si>
    <t>BC02503</t>
  </si>
  <si>
    <t>BC02504</t>
  </si>
  <si>
    <t>BC02505</t>
  </si>
  <si>
    <t>BC02506</t>
  </si>
  <si>
    <t>BC02507</t>
  </si>
  <si>
    <t>BC02508</t>
  </si>
  <si>
    <t>BC02509</t>
  </si>
  <si>
    <t>BC02510</t>
  </si>
  <si>
    <t>BC02511</t>
  </si>
  <si>
    <t>BC02512</t>
  </si>
  <si>
    <t>BC02513</t>
  </si>
  <si>
    <t>BC02514</t>
  </si>
  <si>
    <t>BC02515</t>
  </si>
  <si>
    <t>BC02516</t>
  </si>
  <si>
    <t>BC02517</t>
  </si>
  <si>
    <t>BC02518</t>
  </si>
  <si>
    <t>BC02519</t>
  </si>
  <si>
    <t>BC02520</t>
  </si>
  <si>
    <t>BC02521</t>
  </si>
  <si>
    <t>BC02522</t>
  </si>
  <si>
    <t>BC02523</t>
  </si>
  <si>
    <t>BC02524</t>
  </si>
  <si>
    <t>BC02525</t>
  </si>
  <si>
    <t>BC02526</t>
  </si>
  <si>
    <t>BC02527</t>
  </si>
  <si>
    <t>BC02528</t>
  </si>
  <si>
    <t>BC02529</t>
  </si>
  <si>
    <t>BC02530</t>
  </si>
  <si>
    <t>BC02531</t>
  </si>
  <si>
    <t>BC02532</t>
  </si>
  <si>
    <t>BC02533</t>
  </si>
  <si>
    <t>BC02534</t>
  </si>
  <si>
    <t>BC02535</t>
  </si>
  <si>
    <t>BC02536</t>
  </si>
  <si>
    <t>BC02537</t>
  </si>
  <si>
    <t>BC02538</t>
  </si>
  <si>
    <t>BC02539</t>
  </si>
  <si>
    <t>BC02540</t>
  </si>
  <si>
    <t>BC02541</t>
  </si>
  <si>
    <t>BC02542</t>
  </si>
  <si>
    <t>BC02543</t>
  </si>
  <si>
    <t>BC02544</t>
  </si>
  <si>
    <t>BC02545</t>
  </si>
  <si>
    <t>BC02546</t>
  </si>
  <si>
    <t>BC02547</t>
  </si>
  <si>
    <t>BC02548</t>
  </si>
  <si>
    <t>BC02549</t>
  </si>
  <si>
    <t>BC02550</t>
  </si>
  <si>
    <t>BC02551</t>
  </si>
  <si>
    <t>BC02552</t>
  </si>
  <si>
    <t>BC02553</t>
  </si>
  <si>
    <t>BC02554</t>
  </si>
  <si>
    <t>BC02555</t>
  </si>
  <si>
    <t>BC02556</t>
  </si>
  <si>
    <t>BC02557</t>
  </si>
  <si>
    <t>BC02558</t>
  </si>
  <si>
    <t>BC02559</t>
  </si>
  <si>
    <t>BC02560</t>
  </si>
  <si>
    <t>BC02561</t>
  </si>
  <si>
    <t>BC02562</t>
  </si>
  <si>
    <t>BC02563</t>
  </si>
  <si>
    <t>BC02564</t>
  </si>
  <si>
    <t>BC02565</t>
  </si>
  <si>
    <t>BC02566</t>
  </si>
  <si>
    <t>BC02567</t>
  </si>
  <si>
    <t>BC02568</t>
  </si>
  <si>
    <t>BC02569</t>
  </si>
  <si>
    <t>BC02570</t>
  </si>
  <si>
    <t>BC02571</t>
  </si>
  <si>
    <t>BC02572</t>
  </si>
  <si>
    <t>BC02573</t>
  </si>
  <si>
    <t>BC02574</t>
  </si>
  <si>
    <t>BC02575</t>
  </si>
  <si>
    <t>BC02576</t>
  </si>
  <si>
    <t>BC02577</t>
  </si>
  <si>
    <t>BC02578</t>
  </si>
  <si>
    <t>BC02579</t>
  </si>
  <si>
    <t>BC02580</t>
  </si>
  <si>
    <t>BC02581</t>
  </si>
  <si>
    <t>BC02582</t>
  </si>
  <si>
    <t>BC02583</t>
  </si>
  <si>
    <t>BC02584</t>
  </si>
  <si>
    <t>BC02585</t>
  </si>
  <si>
    <t>BC02586</t>
  </si>
  <si>
    <t>BC02587</t>
  </si>
  <si>
    <t>BC02588</t>
  </si>
  <si>
    <t>BC02589</t>
  </si>
  <si>
    <t>BC02590</t>
  </si>
  <si>
    <t>BC02591</t>
  </si>
  <si>
    <t>BC02592</t>
  </si>
  <si>
    <t>BC02593</t>
  </si>
  <si>
    <t>BC02594</t>
  </si>
  <si>
    <t>BC02595</t>
  </si>
  <si>
    <t>BC02596</t>
  </si>
  <si>
    <t>BC02597</t>
  </si>
  <si>
    <t>BC02598</t>
  </si>
  <si>
    <t>BC02599</t>
  </si>
  <si>
    <t>BC02600</t>
  </si>
  <si>
    <t>BC02601</t>
  </si>
  <si>
    <t>BC02602</t>
  </si>
  <si>
    <t>BC02603</t>
  </si>
  <si>
    <t>BC02604</t>
  </si>
  <si>
    <t>BC02605</t>
  </si>
  <si>
    <t>BC02606</t>
  </si>
  <si>
    <t>BC02607</t>
  </si>
  <si>
    <t>BC02608</t>
  </si>
  <si>
    <t>BC02609</t>
  </si>
  <si>
    <t>BC02610</t>
  </si>
  <si>
    <t>BC02611</t>
  </si>
  <si>
    <t>BC02612</t>
  </si>
  <si>
    <t>BC02613</t>
  </si>
  <si>
    <t>BC02614</t>
  </si>
  <si>
    <t>BC02615</t>
  </si>
  <si>
    <t>BC02616</t>
  </si>
  <si>
    <t>BC02617</t>
  </si>
  <si>
    <t>BC02618</t>
  </si>
  <si>
    <t>BC02619</t>
  </si>
  <si>
    <t>BC02620</t>
  </si>
  <si>
    <t>BC02621</t>
  </si>
  <si>
    <t>BC02622</t>
  </si>
  <si>
    <t>BC02623</t>
  </si>
  <si>
    <t>BC02624</t>
  </si>
  <si>
    <t>BC02625</t>
  </si>
  <si>
    <t>BC02626</t>
  </si>
  <si>
    <t>BC02627</t>
  </si>
  <si>
    <t>BC02628</t>
  </si>
  <si>
    <t>BC02629</t>
  </si>
  <si>
    <t>BC02630</t>
  </si>
  <si>
    <t>BC02631</t>
  </si>
  <si>
    <t>BC02632</t>
  </si>
  <si>
    <t>BC02633</t>
  </si>
  <si>
    <t>BC02634</t>
  </si>
  <si>
    <t>BC02635</t>
  </si>
  <si>
    <t>BC02636</t>
  </si>
  <si>
    <t>BC02637</t>
  </si>
  <si>
    <t>BC02638</t>
  </si>
  <si>
    <t>BC02639</t>
  </si>
  <si>
    <t>BC02640</t>
  </si>
  <si>
    <t>BC02641</t>
  </si>
  <si>
    <t>BC02642</t>
  </si>
  <si>
    <t>BC02643</t>
  </si>
  <si>
    <t>BC02644</t>
  </si>
  <si>
    <t>BC02645</t>
  </si>
  <si>
    <t>BC02646</t>
  </si>
  <si>
    <t>BC02647</t>
  </si>
  <si>
    <t>BC02648</t>
  </si>
  <si>
    <t>BC02649</t>
  </si>
  <si>
    <t>BC02650</t>
  </si>
  <si>
    <t>BC02651</t>
  </si>
  <si>
    <t>BC02652</t>
  </si>
  <si>
    <t>BC02653</t>
  </si>
  <si>
    <t>BC02654</t>
  </si>
  <si>
    <t>BC02655</t>
  </si>
  <si>
    <t>BC02656</t>
  </si>
  <si>
    <t>BC02657</t>
  </si>
  <si>
    <t>BC02658</t>
  </si>
  <si>
    <t>BC02659</t>
  </si>
  <si>
    <t>BC02660</t>
  </si>
  <si>
    <t>BC02661</t>
  </si>
  <si>
    <t>BC02662</t>
  </si>
  <si>
    <t>BC02663</t>
  </si>
  <si>
    <t>BC02664</t>
  </si>
  <si>
    <t>BC02665</t>
  </si>
  <si>
    <t>BC02666</t>
  </si>
  <si>
    <t>BC02667</t>
  </si>
  <si>
    <t>BC02668</t>
  </si>
  <si>
    <t>BC02669</t>
  </si>
  <si>
    <t>BC02670</t>
  </si>
  <si>
    <t>BC02671</t>
  </si>
  <si>
    <t>JF00160</t>
  </si>
  <si>
    <t>JF00161</t>
  </si>
  <si>
    <t>JF00162</t>
  </si>
  <si>
    <t>JF00163</t>
  </si>
  <si>
    <t>JF00164</t>
  </si>
  <si>
    <t>JF00165</t>
  </si>
  <si>
    <t>JF00166</t>
  </si>
  <si>
    <t>JF00167</t>
  </si>
  <si>
    <t>JF00168</t>
  </si>
  <si>
    <t>JF00169</t>
  </si>
  <si>
    <t>JF00170</t>
  </si>
  <si>
    <t>JF00171</t>
  </si>
  <si>
    <t>JF00172</t>
  </si>
  <si>
    <t>JF00173</t>
  </si>
  <si>
    <t>JF00174</t>
  </si>
  <si>
    <t>JF00175</t>
  </si>
  <si>
    <t>JF00176</t>
  </si>
  <si>
    <t>JF00177</t>
  </si>
  <si>
    <t>JF00178</t>
  </si>
  <si>
    <t>JF00179</t>
  </si>
  <si>
    <t>JF00180</t>
  </si>
  <si>
    <t>JF00181</t>
  </si>
  <si>
    <t>JF00182</t>
  </si>
  <si>
    <t>JF00183</t>
  </si>
  <si>
    <t>JF00184</t>
  </si>
  <si>
    <t>JF00185</t>
  </si>
  <si>
    <t>JF00186</t>
  </si>
  <si>
    <t>JF00187</t>
  </si>
  <si>
    <t>JF00188</t>
  </si>
  <si>
    <t>JF00189</t>
  </si>
  <si>
    <t>JF00190</t>
  </si>
  <si>
    <t>JF00191</t>
  </si>
  <si>
    <t>JF00192</t>
  </si>
  <si>
    <t>JF00193</t>
  </si>
  <si>
    <t>JF00194</t>
  </si>
  <si>
    <t>JF00195</t>
  </si>
  <si>
    <t>JF00196</t>
  </si>
  <si>
    <t>JF00197</t>
  </si>
  <si>
    <t>JF00198</t>
  </si>
  <si>
    <t>JF00199</t>
  </si>
  <si>
    <t>JF00200</t>
  </si>
  <si>
    <t>JF00201</t>
  </si>
  <si>
    <t>JF00202</t>
  </si>
  <si>
    <t>JF00203</t>
  </si>
  <si>
    <t>JF00204</t>
  </si>
  <si>
    <t>JF00205</t>
  </si>
  <si>
    <t>JF00206</t>
  </si>
  <si>
    <t>JF00207</t>
  </si>
  <si>
    <t>JF00208</t>
  </si>
  <si>
    <t>JF00209</t>
  </si>
  <si>
    <t>JF00210</t>
  </si>
  <si>
    <t>JF00211</t>
  </si>
  <si>
    <t>JF00212</t>
  </si>
  <si>
    <t>JF00213</t>
  </si>
  <si>
    <t>JF00214</t>
  </si>
  <si>
    <t>JF00215</t>
  </si>
  <si>
    <t>JF00216</t>
  </si>
  <si>
    <t>JF00217</t>
  </si>
  <si>
    <t>JF00218</t>
  </si>
  <si>
    <t>JF00219</t>
  </si>
  <si>
    <t>JF00220</t>
  </si>
  <si>
    <t>JF00221</t>
  </si>
  <si>
    <t>JF00222</t>
  </si>
  <si>
    <t>JF00223</t>
  </si>
  <si>
    <t>JF00224</t>
  </si>
  <si>
    <t>JF00225</t>
  </si>
  <si>
    <t>JF00226</t>
  </si>
  <si>
    <t>JF00227</t>
  </si>
  <si>
    <t>JF00228</t>
  </si>
  <si>
    <t>JF00229</t>
  </si>
  <si>
    <t>JF00230</t>
  </si>
  <si>
    <t>JF00231</t>
  </si>
  <si>
    <t>JF00232</t>
  </si>
  <si>
    <t>JF00233</t>
  </si>
  <si>
    <t>JF00234</t>
  </si>
  <si>
    <t>JF00235</t>
  </si>
  <si>
    <t>JF00236</t>
  </si>
  <si>
    <t>JF00237</t>
  </si>
  <si>
    <t>JF00238</t>
  </si>
  <si>
    <t>JF00239</t>
  </si>
  <si>
    <t>JF00240</t>
  </si>
  <si>
    <t>JF00241</t>
  </si>
  <si>
    <t>JF00242</t>
  </si>
  <si>
    <t>JF00243</t>
  </si>
  <si>
    <t>JF00244</t>
  </si>
  <si>
    <t>JF00245</t>
  </si>
  <si>
    <t>JF00246</t>
  </si>
  <si>
    <t>JF00247</t>
  </si>
  <si>
    <t>JF00248</t>
  </si>
  <si>
    <t>JF00249</t>
  </si>
  <si>
    <t>JF00250</t>
  </si>
  <si>
    <t>JF00251</t>
  </si>
  <si>
    <t>JF00252</t>
  </si>
  <si>
    <t>JF00253</t>
  </si>
  <si>
    <t>JF00254</t>
  </si>
  <si>
    <t>JF00255</t>
  </si>
  <si>
    <t>JF00256</t>
  </si>
  <si>
    <t>JF00257</t>
  </si>
  <si>
    <t>JF00258</t>
  </si>
  <si>
    <t>JF00259</t>
  </si>
  <si>
    <t>JF00260</t>
  </si>
  <si>
    <t>JF00261</t>
  </si>
  <si>
    <t>JF00262</t>
  </si>
  <si>
    <t>JF00263</t>
  </si>
  <si>
    <t>JF00264</t>
  </si>
  <si>
    <t>JF00265</t>
  </si>
  <si>
    <t>JF00266</t>
  </si>
  <si>
    <t>JF00267</t>
  </si>
  <si>
    <t>JF00268</t>
  </si>
  <si>
    <t>JF00269</t>
  </si>
  <si>
    <t>JF00270</t>
  </si>
  <si>
    <t>JF00271</t>
  </si>
  <si>
    <t>JF00272</t>
  </si>
  <si>
    <t>JF00273</t>
  </si>
  <si>
    <t>JF00274</t>
  </si>
  <si>
    <t>JF00275</t>
  </si>
  <si>
    <t>JF00276</t>
  </si>
  <si>
    <t>JF00277</t>
  </si>
  <si>
    <t>JF00278</t>
  </si>
  <si>
    <t>JF00279</t>
  </si>
  <si>
    <t>JF00280</t>
  </si>
  <si>
    <t>JF00281</t>
  </si>
  <si>
    <t>JF00282</t>
  </si>
  <si>
    <t>JF00283</t>
  </si>
  <si>
    <t>JF00284</t>
  </si>
  <si>
    <t>JF00285</t>
  </si>
  <si>
    <t>JF00286</t>
  </si>
  <si>
    <t>JF00287</t>
  </si>
  <si>
    <t>JF00288</t>
  </si>
  <si>
    <t>JF00289</t>
  </si>
  <si>
    <t>JF00290</t>
  </si>
  <si>
    <t>JF00291</t>
  </si>
  <si>
    <t>JF00292</t>
  </si>
  <si>
    <t>JF00293</t>
  </si>
  <si>
    <t>JF00294</t>
  </si>
  <si>
    <t>JF00295</t>
  </si>
  <si>
    <t>JF00296</t>
  </si>
  <si>
    <t>JF00297</t>
  </si>
  <si>
    <t>JF00298</t>
  </si>
  <si>
    <t>JF00299</t>
  </si>
  <si>
    <t>JF00300</t>
  </si>
  <si>
    <t>JF00301</t>
  </si>
  <si>
    <t>JF00302</t>
  </si>
  <si>
    <t>JF00303</t>
  </si>
  <si>
    <t>JF00304</t>
  </si>
  <si>
    <t>JF00305</t>
  </si>
  <si>
    <t>JF00306</t>
  </si>
  <si>
    <t>JF00307</t>
  </si>
  <si>
    <t>JF00308</t>
  </si>
  <si>
    <t>JF00309</t>
  </si>
  <si>
    <t>JF00310</t>
  </si>
  <si>
    <t>JF00311</t>
  </si>
  <si>
    <t>JF00312</t>
  </si>
  <si>
    <t>JF00313</t>
  </si>
  <si>
    <t>JF00314</t>
  </si>
  <si>
    <t>JF00315</t>
  </si>
  <si>
    <t>JF00316</t>
  </si>
  <si>
    <t>JF00317</t>
  </si>
  <si>
    <t>JF00318</t>
  </si>
  <si>
    <t>JF00319</t>
  </si>
  <si>
    <t>JF00320</t>
  </si>
  <si>
    <t>JF00321</t>
  </si>
  <si>
    <t>JF00322</t>
  </si>
  <si>
    <t>JF00323</t>
  </si>
  <si>
    <t>JF00324</t>
  </si>
  <si>
    <t>JF00325</t>
  </si>
  <si>
    <t>JF00326</t>
  </si>
  <si>
    <t>JF00327</t>
  </si>
  <si>
    <t>JF00328</t>
  </si>
  <si>
    <t>JF00329</t>
  </si>
  <si>
    <t>JF00330</t>
  </si>
  <si>
    <t>JF00331</t>
  </si>
  <si>
    <t>JF00332</t>
  </si>
  <si>
    <t>JF00333</t>
  </si>
  <si>
    <t>JF00334</t>
  </si>
  <si>
    <t>JF00335</t>
  </si>
  <si>
    <t>JF00336</t>
  </si>
  <si>
    <t>JF00337</t>
  </si>
  <si>
    <t>JF00338</t>
  </si>
  <si>
    <t>JF00339</t>
  </si>
  <si>
    <t>JF00340</t>
  </si>
  <si>
    <t>JF00341</t>
  </si>
  <si>
    <t>JF00342</t>
  </si>
  <si>
    <t>JF00343</t>
  </si>
  <si>
    <t>JF00344</t>
  </si>
  <si>
    <t>JF00345</t>
  </si>
  <si>
    <t>JF00346</t>
  </si>
  <si>
    <t>JF00347</t>
  </si>
  <si>
    <t>JF00348</t>
  </si>
  <si>
    <t>JF00349</t>
  </si>
  <si>
    <t>JF00350</t>
  </si>
  <si>
    <t>JF00351</t>
  </si>
  <si>
    <t>JF00352</t>
  </si>
  <si>
    <t>JF00353</t>
  </si>
  <si>
    <t>JF00354</t>
  </si>
  <si>
    <t>JF00355</t>
  </si>
  <si>
    <t>JF00356</t>
  </si>
  <si>
    <t>JF00357</t>
  </si>
  <si>
    <t>JF00358</t>
  </si>
  <si>
    <t>JF00359</t>
  </si>
  <si>
    <t>JF00360</t>
  </si>
  <si>
    <t>JF00361</t>
  </si>
  <si>
    <t>JF00362</t>
  </si>
  <si>
    <t>JF00363</t>
  </si>
  <si>
    <t>JF00364</t>
  </si>
  <si>
    <t>JF00365</t>
  </si>
  <si>
    <t>JF00366</t>
  </si>
  <si>
    <t>JF00367</t>
  </si>
  <si>
    <t>JF00368</t>
  </si>
  <si>
    <t>JF00369</t>
  </si>
  <si>
    <t>JF00370</t>
  </si>
  <si>
    <t>JF00371</t>
  </si>
  <si>
    <t>JF00372</t>
  </si>
  <si>
    <t>JF00373</t>
  </si>
  <si>
    <t>JF00374</t>
  </si>
  <si>
    <t>JF00375</t>
  </si>
  <si>
    <t>JF00376</t>
  </si>
  <si>
    <t>JF00377</t>
  </si>
  <si>
    <t>JF00378</t>
  </si>
  <si>
    <t>JF00379</t>
  </si>
  <si>
    <t>JF00380</t>
  </si>
  <si>
    <t>JF00381</t>
  </si>
  <si>
    <t>JF00382</t>
  </si>
  <si>
    <t>JF00383</t>
  </si>
  <si>
    <t>JF00384</t>
  </si>
  <si>
    <t>JF00385</t>
  </si>
  <si>
    <t>JF00386</t>
  </si>
  <si>
    <t>JF00387</t>
  </si>
  <si>
    <t>JF00388</t>
  </si>
  <si>
    <t>JF00389</t>
  </si>
  <si>
    <t>JF00390</t>
  </si>
  <si>
    <t>JF00391</t>
  </si>
  <si>
    <t>JF00392</t>
  </si>
  <si>
    <t>JF00393</t>
  </si>
  <si>
    <t>JF00394</t>
  </si>
  <si>
    <t>JF00395</t>
  </si>
  <si>
    <t>JF00396</t>
  </si>
  <si>
    <t>JF00397</t>
  </si>
  <si>
    <t>JF00398</t>
  </si>
  <si>
    <t>JF00399</t>
  </si>
  <si>
    <t>JF00400</t>
  </si>
  <si>
    <t>JF00401</t>
  </si>
  <si>
    <t>JF00402</t>
  </si>
  <si>
    <t>JF00403</t>
  </si>
  <si>
    <t>PRODUCTION_ID</t>
  </si>
  <si>
    <t>DESTINATION</t>
  </si>
  <si>
    <t>CONTAINER</t>
  </si>
  <si>
    <t>SH00001</t>
  </si>
  <si>
    <t>SH00002</t>
  </si>
  <si>
    <t>SH00003</t>
  </si>
  <si>
    <t>SH00004</t>
  </si>
  <si>
    <t>SH00005</t>
  </si>
  <si>
    <t>SH00006</t>
  </si>
  <si>
    <t>SH00007</t>
  </si>
  <si>
    <t>Surabaya</t>
  </si>
  <si>
    <t>COST_ID</t>
  </si>
  <si>
    <t>COST_TYPE</t>
  </si>
  <si>
    <t>QTY</t>
  </si>
  <si>
    <t>COST_AMOUNT</t>
  </si>
  <si>
    <t>Tenaga Kerja</t>
  </si>
  <si>
    <t>Price</t>
  </si>
  <si>
    <t>01/10/2024</t>
  </si>
  <si>
    <t>15/10/2024</t>
  </si>
  <si>
    <t>24/10/2024</t>
  </si>
  <si>
    <t>01/11/2024</t>
  </si>
  <si>
    <t>15/11/2024</t>
  </si>
  <si>
    <t>24/11/2024</t>
  </si>
  <si>
    <t>01/12/2024</t>
  </si>
  <si>
    <t>15/12/2024</t>
  </si>
  <si>
    <t>24/12/2024</t>
  </si>
  <si>
    <t>01/01/2025</t>
  </si>
  <si>
    <t>15/01/2025</t>
  </si>
  <si>
    <t>24/01/2025</t>
  </si>
  <si>
    <t>01/02/2025</t>
  </si>
  <si>
    <t>15/02/2025</t>
  </si>
  <si>
    <t>24/02/2025</t>
  </si>
  <si>
    <t>01/03/2025</t>
  </si>
  <si>
    <t>15/03/2025</t>
  </si>
  <si>
    <t>24/03/2025</t>
  </si>
  <si>
    <t>01/04/2025</t>
  </si>
  <si>
    <t>15/04/2025</t>
  </si>
  <si>
    <t>24/04/2025</t>
  </si>
  <si>
    <t>01/05/2025</t>
  </si>
  <si>
    <t>15/05/2025</t>
  </si>
  <si>
    <t>24/05/2025</t>
  </si>
  <si>
    <t>01/06/2025</t>
  </si>
  <si>
    <t>15/06/2025</t>
  </si>
  <si>
    <t>24/06/2025</t>
  </si>
  <si>
    <t>01/07/2025</t>
  </si>
  <si>
    <t>15/07/2025</t>
  </si>
  <si>
    <t>24/07/2025</t>
  </si>
  <si>
    <t>01/08/2025</t>
  </si>
  <si>
    <t>15/08/2025</t>
  </si>
  <si>
    <t>24/08/2025</t>
  </si>
  <si>
    <t>01/09/2025</t>
  </si>
  <si>
    <t>15/09/2025</t>
  </si>
  <si>
    <t>24/09/2025</t>
  </si>
  <si>
    <t>01/10/2025</t>
  </si>
  <si>
    <t>15/10/2025</t>
  </si>
  <si>
    <t>24/10/2025</t>
  </si>
  <si>
    <t>01/11/2025</t>
  </si>
  <si>
    <t>15/11/2025</t>
  </si>
  <si>
    <t>24/11/2025</t>
  </si>
  <si>
    <t>01/12/2025</t>
  </si>
  <si>
    <t>15/12/2025</t>
  </si>
  <si>
    <t>24/12/2025</t>
  </si>
  <si>
    <t>01/01/2026</t>
  </si>
  <si>
    <t>15/01/2026</t>
  </si>
  <si>
    <t>24/01/2026</t>
  </si>
  <si>
    <t>01/02/2026</t>
  </si>
  <si>
    <t>15/02/2026</t>
  </si>
  <si>
    <t>24/02/2026</t>
  </si>
  <si>
    <t>01/03/2026</t>
  </si>
  <si>
    <t>15/03/2026</t>
  </si>
  <si>
    <t>24/03/2026</t>
  </si>
  <si>
    <t>01/04/2026</t>
  </si>
  <si>
    <t>15/04/2026</t>
  </si>
  <si>
    <t>24/04/2026</t>
  </si>
  <si>
    <t>01/05/2026</t>
  </si>
  <si>
    <t>15/05/2026</t>
  </si>
  <si>
    <t>24/05/2026</t>
  </si>
  <si>
    <t>01/06/2026</t>
  </si>
  <si>
    <t>15/06/2026</t>
  </si>
  <si>
    <t>24/06/2026</t>
  </si>
  <si>
    <t>01/07/2026</t>
  </si>
  <si>
    <t>15/07/2026</t>
  </si>
  <si>
    <t>24/07/2026</t>
  </si>
  <si>
    <t>01/08/2026</t>
  </si>
  <si>
    <t>15/08/2026</t>
  </si>
  <si>
    <t>24/08/2026</t>
  </si>
  <si>
    <t>01/09/2026</t>
  </si>
  <si>
    <t>15/09/2026</t>
  </si>
  <si>
    <t>24/09/2026</t>
  </si>
  <si>
    <t>01/10/2026</t>
  </si>
  <si>
    <t>15/10/2026</t>
  </si>
  <si>
    <t>24/10/2026</t>
  </si>
  <si>
    <t>01/11/2026</t>
  </si>
  <si>
    <t>15/11/2026</t>
  </si>
  <si>
    <t>24/11/2026</t>
  </si>
  <si>
    <t>01/12/2026</t>
  </si>
  <si>
    <t>15/12/2026</t>
  </si>
  <si>
    <t>24/12/2026</t>
  </si>
  <si>
    <t>27/11/2024</t>
  </si>
  <si>
    <t>17/01/2025</t>
  </si>
  <si>
    <t>27/03/2025</t>
  </si>
  <si>
    <t>29/05/2025</t>
  </si>
  <si>
    <t>25/08/2025</t>
  </si>
  <si>
    <t>20/11/2025</t>
  </si>
  <si>
    <t>16/01/2026</t>
  </si>
  <si>
    <t>Listrik</t>
  </si>
  <si>
    <t>Bensin</t>
  </si>
  <si>
    <t>Trip</t>
  </si>
  <si>
    <t>Shipment 40FT</t>
  </si>
  <si>
    <t>Container</t>
  </si>
  <si>
    <t>Kupas Karton</t>
  </si>
  <si>
    <t>Week</t>
  </si>
  <si>
    <t>Person</t>
  </si>
  <si>
    <t>CLT002</t>
  </si>
  <si>
    <t>CLT003</t>
  </si>
  <si>
    <t>BBB</t>
  </si>
  <si>
    <t>CCC</t>
  </si>
  <si>
    <t>Jakarta</t>
  </si>
  <si>
    <t>Bandung</t>
  </si>
  <si>
    <t>UOM_AFTER_PROCESS</t>
  </si>
  <si>
    <t>WEIGHT_OUT_KG</t>
  </si>
  <si>
    <t>1201</t>
  </si>
  <si>
    <t>7</t>
  </si>
  <si>
    <t>1608</t>
  </si>
  <si>
    <t>557</t>
  </si>
  <si>
    <t>1153</t>
  </si>
  <si>
    <t>1901</t>
  </si>
  <si>
    <t>1072</t>
  </si>
  <si>
    <t>881</t>
  </si>
  <si>
    <t>444</t>
  </si>
  <si>
    <t>618</t>
  </si>
  <si>
    <t>64</t>
  </si>
  <si>
    <t>1584</t>
  </si>
  <si>
    <t>990</t>
  </si>
  <si>
    <t>215</t>
  </si>
  <si>
    <t>500</t>
  </si>
  <si>
    <t>338</t>
  </si>
  <si>
    <t>519</t>
  </si>
  <si>
    <t>133</t>
  </si>
  <si>
    <t>1051</t>
  </si>
  <si>
    <t>412,4</t>
  </si>
  <si>
    <t>586</t>
  </si>
  <si>
    <t>563</t>
  </si>
  <si>
    <t>1108</t>
  </si>
  <si>
    <t>671</t>
  </si>
  <si>
    <t>401</t>
  </si>
  <si>
    <t>611</t>
  </si>
  <si>
    <t>811,3</t>
  </si>
  <si>
    <t>1255</t>
  </si>
  <si>
    <t>180</t>
  </si>
  <si>
    <t>413,5</t>
  </si>
  <si>
    <t>310,8</t>
  </si>
  <si>
    <t>511,3</t>
  </si>
  <si>
    <t>879,7</t>
  </si>
  <si>
    <t>420,2</t>
  </si>
  <si>
    <t>413,3</t>
  </si>
  <si>
    <t>829,7</t>
  </si>
  <si>
    <t>383,5</t>
  </si>
  <si>
    <t>884,5</t>
  </si>
  <si>
    <t>416,5</t>
  </si>
  <si>
    <t>457,9</t>
  </si>
  <si>
    <t>503,6</t>
  </si>
  <si>
    <t>222,6</t>
  </si>
  <si>
    <t>563,1</t>
  </si>
  <si>
    <t>256,3</t>
  </si>
  <si>
    <t>398,2</t>
  </si>
  <si>
    <t>861,2</t>
  </si>
  <si>
    <t>252,7</t>
  </si>
  <si>
    <t>730,2</t>
  </si>
  <si>
    <t>101,3</t>
  </si>
  <si>
    <t>304,3</t>
  </si>
  <si>
    <t>870,6</t>
  </si>
  <si>
    <t>520,1</t>
  </si>
  <si>
    <t>983</t>
  </si>
  <si>
    <t>607,1</t>
  </si>
  <si>
    <t>421,3</t>
  </si>
  <si>
    <t>790</t>
  </si>
  <si>
    <t>789,5</t>
  </si>
  <si>
    <t>570,8</t>
  </si>
  <si>
    <t>780</t>
  </si>
  <si>
    <t>613,9</t>
  </si>
  <si>
    <t>900</t>
  </si>
  <si>
    <t>450,8</t>
  </si>
  <si>
    <t>880</t>
  </si>
  <si>
    <t>723,9</t>
  </si>
  <si>
    <t>690</t>
  </si>
  <si>
    <t>411,2</t>
  </si>
  <si>
    <t>800</t>
  </si>
  <si>
    <t>560</t>
  </si>
  <si>
    <t>688,1</t>
  </si>
  <si>
    <t>670</t>
  </si>
  <si>
    <t>513,3</t>
  </si>
  <si>
    <t>310,3</t>
  </si>
  <si>
    <t>500,9</t>
  </si>
  <si>
    <t>715,8</t>
  </si>
  <si>
    <t>354,1</t>
  </si>
  <si>
    <t>410,5</t>
  </si>
  <si>
    <t>315,4</t>
  </si>
  <si>
    <t>355,6</t>
  </si>
  <si>
    <t>600</t>
  </si>
  <si>
    <t>628,6</t>
  </si>
  <si>
    <t>838,6</t>
  </si>
  <si>
    <t>314,5</t>
  </si>
  <si>
    <t>897,8</t>
  </si>
  <si>
    <t>937</t>
  </si>
  <si>
    <t>376,2</t>
  </si>
  <si>
    <t>105,3</t>
  </si>
  <si>
    <t>673,8</t>
  </si>
  <si>
    <t>845,7</t>
  </si>
  <si>
    <t>967,5</t>
  </si>
  <si>
    <t>700</t>
  </si>
  <si>
    <t>943,9</t>
  </si>
  <si>
    <t>606,3</t>
  </si>
  <si>
    <t>367</t>
  </si>
  <si>
    <t>209,4</t>
  </si>
  <si>
    <t>688,6</t>
  </si>
  <si>
    <t>623,5</t>
  </si>
  <si>
    <t>659</t>
  </si>
  <si>
    <t>440</t>
  </si>
  <si>
    <t>890</t>
  </si>
  <si>
    <t>308,5</t>
  </si>
  <si>
    <t>530,6</t>
  </si>
  <si>
    <t>487,3</t>
  </si>
  <si>
    <t>290,3</t>
  </si>
  <si>
    <t>509</t>
  </si>
  <si>
    <t>819,5</t>
  </si>
  <si>
    <t>455</t>
  </si>
  <si>
    <t>786,9</t>
  </si>
  <si>
    <t>1435,8</t>
  </si>
  <si>
    <t>886,6</t>
  </si>
  <si>
    <t>1257,2</t>
  </si>
  <si>
    <t>489,7</t>
  </si>
  <si>
    <t>989,8</t>
  </si>
  <si>
    <t>1332,1</t>
  </si>
  <si>
    <t>1089</t>
  </si>
  <si>
    <t>445,8</t>
  </si>
  <si>
    <t>1456,7</t>
  </si>
  <si>
    <t>818,8</t>
  </si>
  <si>
    <t>5659</t>
  </si>
  <si>
    <t>909</t>
  </si>
  <si>
    <t>788</t>
  </si>
  <si>
    <t>297,8</t>
  </si>
  <si>
    <t>1102,9</t>
  </si>
  <si>
    <t>1207</t>
  </si>
  <si>
    <t>809,3</t>
  </si>
  <si>
    <t>306,8</t>
  </si>
  <si>
    <t>677,9</t>
  </si>
  <si>
    <t>567,9</t>
  </si>
  <si>
    <t>889</t>
  </si>
  <si>
    <t>446,6</t>
  </si>
  <si>
    <t>423,2</t>
  </si>
  <si>
    <t>200,1</t>
  </si>
  <si>
    <t>7889</t>
  </si>
  <si>
    <t>189,1</t>
  </si>
  <si>
    <t>442,2</t>
  </si>
  <si>
    <t>223</t>
  </si>
  <si>
    <t>530,2</t>
  </si>
  <si>
    <t>739,2</t>
  </si>
  <si>
    <t>840,8</t>
  </si>
  <si>
    <t>924</t>
  </si>
  <si>
    <t>670,2</t>
  </si>
  <si>
    <t>678</t>
  </si>
  <si>
    <t>8799</t>
  </si>
  <si>
    <t>7854</t>
  </si>
  <si>
    <t>9909</t>
  </si>
  <si>
    <t>5454</t>
  </si>
  <si>
    <t>4211</t>
  </si>
  <si>
    <t>1599</t>
  </si>
  <si>
    <t>6778</t>
  </si>
  <si>
    <t>3318</t>
  </si>
  <si>
    <t>908,3</t>
  </si>
  <si>
    <t>335,9</t>
  </si>
  <si>
    <t>899,5</t>
  </si>
  <si>
    <t>337</t>
  </si>
  <si>
    <t>768,9</t>
  </si>
  <si>
    <t>675,9</t>
  </si>
  <si>
    <t>1798,4</t>
  </si>
  <si>
    <t>1123</t>
  </si>
  <si>
    <t>987</t>
  </si>
  <si>
    <t>877</t>
  </si>
  <si>
    <t>656</t>
  </si>
  <si>
    <t>788,9</t>
  </si>
  <si>
    <t>433,2</t>
  </si>
  <si>
    <t>921,9</t>
  </si>
  <si>
    <t>1421,1</t>
  </si>
  <si>
    <t>897,2</t>
  </si>
  <si>
    <t>633</t>
  </si>
  <si>
    <t>911,7</t>
  </si>
  <si>
    <t>421,1</t>
  </si>
  <si>
    <t>1001</t>
  </si>
  <si>
    <t>768</t>
  </si>
  <si>
    <t>609,6</t>
  </si>
  <si>
    <t>442,7</t>
  </si>
  <si>
    <t>773,9</t>
  </si>
  <si>
    <t>456</t>
  </si>
  <si>
    <t>593</t>
  </si>
  <si>
    <t>532,5</t>
  </si>
  <si>
    <t>931</t>
  </si>
  <si>
    <t>755,3</t>
  </si>
  <si>
    <t>945</t>
  </si>
  <si>
    <t>637,2</t>
  </si>
  <si>
    <t>507,2</t>
  </si>
  <si>
    <t>337,6</t>
  </si>
  <si>
    <t>579</t>
  </si>
  <si>
    <t>372</t>
  </si>
  <si>
    <t>999,6</t>
  </si>
  <si>
    <t>408</t>
  </si>
  <si>
    <t>215,8</t>
  </si>
  <si>
    <t>430</t>
  </si>
  <si>
    <t>312</t>
  </si>
  <si>
    <t>432</t>
  </si>
  <si>
    <t>395</t>
  </si>
  <si>
    <t>554</t>
  </si>
  <si>
    <t>391</t>
  </si>
  <si>
    <t>642,2</t>
  </si>
  <si>
    <t>477</t>
  </si>
  <si>
    <t>CATEGORY</t>
  </si>
  <si>
    <t>Utility</t>
  </si>
  <si>
    <t>Transport</t>
  </si>
  <si>
    <t>Labor</t>
  </si>
  <si>
    <t>Production</t>
  </si>
  <si>
    <t>Admin Staff</t>
  </si>
  <si>
    <t>Logistics</t>
  </si>
  <si>
    <t>Delivery</t>
  </si>
  <si>
    <t>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</si>
</sst>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name val="Arial"/>
    </font>
    <font>
      <sz val="11"/>
      <name val="Arial"/>
    </font>
    <font>
      <sz val="8"/>
      <name val="Arial"/>
    </font>
    <font>
      <sz val="1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64" fontId="1" fillId="0" borderId="0" xfId="0" applyNumberFormat="1" applyFont="1">
      <alignment vertical="center"/>
    </xf>
    <xf numFmtId="14" fontId="0" fillId="0" borderId="0" xfId="0" applyNumberFormat="1">
      <alignment vertical="center"/>
    </xf>
    <xf numFmtId="16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3" fillId="0" borderId="0" xfId="0" applyFont="1">
      <alignment vertical="center"/>
    </xf>
    <xf numFmtId="164" fontId="3" fillId="0" borderId="0" xfId="0" applyNumberFormat="1" applyFont="1">
      <alignment vertical="center"/>
    </xf>
    <xf numFmtId="3" fontId="3" fillId="0" borderId="0" xfId="0" applyNumberFormat="1" applyFont="1">
      <alignment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[$-409]d\-mmm\-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BE00A2F-4950-47AE-AB76-D83A5AAA1232}" autoFormatId="16" applyNumberFormats="0" applyBorderFormats="0" applyFontFormats="0" applyPatternFormats="0" applyAlignmentFormats="0" applyWidthHeightFormats="0">
  <queryTableRefresh nextId="10">
    <queryTableFields count="7">
      <queryTableField id="1" name="PROCESS_DATE" tableColumnId="1"/>
      <queryTableField id="6" name="PRODUCTION_ID" tableColumnId="6"/>
      <queryTableField id="2" name="MATERIAL_ID" tableColumnId="2"/>
      <queryTableField id="7" name="MATERIAL_TYPE" tableColumnId="7"/>
      <queryTableField id="3" name="QTY" tableColumnId="3"/>
      <queryTableField id="4" name="UOM" tableColumnId="4"/>
      <queryTableField id="5" name="WEIGHT_KG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74DE637-BF08-4CE9-A196-ED4207D1EF59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COLLECTION_ID" tableColumnId="2"/>
      <queryTableField id="3" name="SOURCE_ID" tableColumnId="3"/>
      <queryTableField id="4" name="MATERIAL_ID" tableColumnId="4"/>
      <queryTableField id="5" name="WEIGHT_IN" tableColumnId="5"/>
      <queryTableField id="6" name="UOM" tableColumnId="6"/>
    </queryTable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51E9967-1DEC-4D77-9D63-D13C5EF3E81C}" name="DIM_MATERIAL" displayName="DIM_MATERIAL" ref="A1:G6" totalsRowShown="0">
  <autoFilter ref="A1:G6" xr:uid="{751E9967-1DEC-4D77-9D63-D13C5EF3E81C}"/>
  <tableColumns count="7">
    <tableColumn id="1" xr3:uid="{CE7585B7-DFDA-4C44-B06D-7423CB8806E2}" name="MATERIAL_ID"/>
    <tableColumn id="2" xr3:uid="{55236114-4B00-4110-8E10-C8B71D04BDE2}" name="MATERIAL_TYPE"/>
    <tableColumn id="3" xr3:uid="{EB17093E-2B31-4556-92AD-EBEAFCDD5B88}" name="PRICE" dataDxfId="12"/>
    <tableColumn id="4" xr3:uid="{4DCDE5EC-19EF-4F1C-BE08-CEEF91791B98}" name="CODE"/>
    <tableColumn id="5" xr3:uid="{B383A9CC-1DD6-4847-ACB8-1F666DD8147B}" name="UOM_IN"/>
    <tableColumn id="7" xr3:uid="{3E93FD8E-48B3-4F7F-A0E3-24DC08DFA2E5}" name="UOM_AFTER_PROCESS" dataDxfId="11"/>
    <tableColumn id="6" xr3:uid="{135DB99D-62D4-4808-8EF2-9EFDB829A6D0}" name="EST_WEIGHT_K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4CF821-0C58-4B7C-9E1D-D1C4FA52A2F1}" name="DIM_SOURCE" displayName="DIM_SOURCE" ref="A1:B4" totalsRowShown="0">
  <autoFilter ref="A1:B4" xr:uid="{864CF821-0C58-4B7C-9E1D-D1C4FA52A2F1}"/>
  <tableColumns count="2">
    <tableColumn id="1" xr3:uid="{4EDD71E8-5D96-42DF-A8DB-E56A07BD79F3}" name="SOURCE_ID"/>
    <tableColumn id="2" xr3:uid="{EDCA0E14-3CF7-411A-8F77-8997730D2753}" name="SOURCE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1FCD78-BEEA-4207-8F57-C05E56622AC2}" name="DIM_CLIENT" displayName="DIM_CLIENT" ref="A1:C4" totalsRowShown="0">
  <autoFilter ref="A1:C4" xr:uid="{C11FCD78-BEEA-4207-8F57-C05E56622AC2}"/>
  <tableColumns count="3">
    <tableColumn id="1" xr3:uid="{6EE5010A-FF11-424C-A159-1B7E6A8CC099}" name="CLIENT_ID"/>
    <tableColumn id="2" xr3:uid="{DAA771F9-8228-4E6B-887F-532A7F56135A}" name="CLIENT_NAME"/>
    <tableColumn id="3" xr3:uid="{7F2F9D65-3B28-457D-BD70-23727B36714D}" name="DESTIN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4099B3-DB63-4090-B151-4C80049979F4}" name="DIM_COST_TYPE" displayName="DIM_COST_TYPE" ref="A1:B8" totalsRowShown="0">
  <autoFilter ref="A1:B8" xr:uid="{EA4099B3-DB63-4090-B151-4C80049979F4}"/>
  <tableColumns count="2">
    <tableColumn id="1" xr3:uid="{DE6A9422-637E-4045-AEBC-C5ECBF5AD1B0}" name="COST_TYPE"/>
    <tableColumn id="2" xr3:uid="{0736601E-C1B0-4695-8CA5-9CE7527CB2D0}" name="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9553C8-8589-490A-948E-F493E558DE35}" name="FACT_SHIPMENT" displayName="FACT_SHIPMENT" ref="A1:I9" totalsRowShown="0">
  <autoFilter ref="A1:I9" xr:uid="{EE9553C8-8589-490A-948E-F493E558DE35}"/>
  <tableColumns count="9">
    <tableColumn id="1" xr3:uid="{4E01D9B9-C5ED-4D99-B542-F6AF1EE10A71}" name="SHIPMENT_ID"/>
    <tableColumn id="2" xr3:uid="{6C5D7434-07FA-48A7-A15D-5184F3CFB8A9}" name="DATE"/>
    <tableColumn id="7" xr3:uid="{238BDC72-4100-4895-A52F-6D4074887A8A}" name="CONTAINER"/>
    <tableColumn id="3" xr3:uid="{D01B8EDF-4836-48D2-AA5D-D7BFD6236705}" name="CLIENT_ID"/>
    <tableColumn id="6" xr3:uid="{DBD1E311-0386-4EFB-B9C9-009239127F53}" name="DESTINATION">
      <calculatedColumnFormula>_xlfn.XLOOKUP(FACT_SHIPMENT[[#This Row],[CLIENT_ID]],DIM_CLIENT[CLIENT_ID],DIM_CLIENT[DESTINATION])</calculatedColumnFormula>
    </tableColumn>
    <tableColumn id="10" xr3:uid="{3F2516ED-A67F-4001-992C-D931F1F22591}" name="MATERIAL_ID"/>
    <tableColumn id="8" xr3:uid="{EB4A0F31-53D4-4060-ACBE-1128D084C71E}" name="QTY"/>
    <tableColumn id="11" xr3:uid="{1640B950-511B-4A75-9FFF-322BEAEEAFF4}" name="UOM">
      <calculatedColumnFormula>_xlfn.XLOOKUP(FACT_SHIPMENT[[#This Row],[MATERIAL_ID]],DIM_MATERIAL[MATERIAL_ID],DIM_MATERIAL[UOM_AFTER_PROCESS])</calculatedColumnFormula>
    </tableColumn>
    <tableColumn id="5" xr3:uid="{EECBCCCA-E214-4A60-9062-104DB0AE1E47}" name="WEIGHT_OUT_KG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75509F9-6C6F-4F67-92D4-B6DCDB575D33}" name="FACT_OPERATIONAL_COST" displayName="FACT_OPERATIONAL_COST" ref="A1:H204" totalsRowShown="0" headerRowDxfId="9">
  <autoFilter ref="A1:H204" xr:uid="{275509F9-6C6F-4F67-92D4-B6DCDB575D33}"/>
  <tableColumns count="8">
    <tableColumn id="1" xr3:uid="{6737131B-AF06-4DB5-8D4C-59F8B5949162}" name="DATE"/>
    <tableColumn id="2" xr3:uid="{C41B619B-A26D-45E5-A459-5D1FA8E4E3DE}" name="COST_ID">
      <calculatedColumnFormula>"OC"&amp;TEXT(ROW(B1),"00000")</calculatedColumnFormula>
    </tableColumn>
    <tableColumn id="3" xr3:uid="{7C1F2F54-4D6F-4485-8F0A-8711D934AF80}" name="COST_TYPE"/>
    <tableColumn id="4" xr3:uid="{23C4AC53-469B-485F-92DD-1106783E6386}" name="CATEGORY">
      <calculatedColumnFormula>_xlfn.XLOOKUP(FACT_OPERATIONAL_COST[[#This Row],[COST_TYPE]],DIM_COST_TYPE[COST_TYPE],DIM_COST_TYPE[CATEGORY])</calculatedColumnFormula>
    </tableColumn>
    <tableColumn id="5" xr3:uid="{ED4ED626-68E1-404D-B8BA-6D6E4BDD26E9}" name="QTY"/>
    <tableColumn id="6" xr3:uid="{AC65C447-D02D-4626-AA6A-1196D9E4ACEC}" name="UOM"/>
    <tableColumn id="8" xr3:uid="{BDB27A82-9657-4010-B462-BA464D5BDDFE}" name="Price" dataDxfId="8"/>
    <tableColumn id="7" xr3:uid="{AC827336-4F9A-4E39-914E-0B902766F8CB}" name="COST_AMOUNT" dataDxfId="7">
      <calculatedColumnFormula>FACT_OPERATIONAL_COST[[#This Row],[QTY]]*FACT_OPERATIONAL_COST[[#This Row],[Price]]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9B2386-9E55-4842-8BC6-4AFC3ABC3E4B}" name="FACT_PRODUCTION" displayName="FACT_PRODUCTION" ref="A1:G3102" tableType="queryTable" totalsRowShown="0">
  <autoFilter ref="A1:G3102" xr:uid="{EB9B2386-9E55-4842-8BC6-4AFC3ABC3E4B}"/>
  <tableColumns count="7">
    <tableColumn id="1" xr3:uid="{AAD53F57-4458-4D59-B11C-2E363B2F93CC}" uniqueName="1" name="PROCESS_DATE" queryTableFieldId="1" dataDxfId="17"/>
    <tableColumn id="6" xr3:uid="{4DE0299D-3773-461A-ADBB-EC4EC4D0DFB0}" uniqueName="6" name="PRODUCTION_ID" queryTableFieldId="6"/>
    <tableColumn id="2" xr3:uid="{28B18E4C-F328-48D4-AAAC-F3A139D3C023}" uniqueName="2" name="MATERIAL_ID" queryTableFieldId="2" dataDxfId="16"/>
    <tableColumn id="7" xr3:uid="{9D7F17EB-1FCF-450D-BE02-874A09517729}" uniqueName="7" name="MATERIAL_TYPE" queryTableFieldId="7"/>
    <tableColumn id="3" xr3:uid="{3C6FE8C6-0AA3-487E-9898-40B9BAEC8828}" uniqueName="3" name="QTY" queryTableFieldId="3" dataDxfId="15"/>
    <tableColumn id="4" xr3:uid="{7C7119D9-F201-4549-998D-4E9D1AA78DF4}" uniqueName="4" name="UOM" queryTableFieldId="4" dataDxfId="14"/>
    <tableColumn id="5" xr3:uid="{419A2043-7BCD-482A-AEBC-284C47A62ABC}" uniqueName="5" name="WEIGHT_KG" queryTableFieldId="5" dataDxf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3453DA-89D7-4819-B2D2-C96E6192F86D}" name="FACT_COLLECTION" displayName="FACT_COLLECTION" ref="A1:F658" tableType="queryTable" totalsRowShown="0">
  <autoFilter ref="A1:F658" xr:uid="{893453DA-89D7-4819-B2D2-C96E6192F86D}"/>
  <tableColumns count="6">
    <tableColumn id="1" xr3:uid="{AA266FDB-CD0F-4481-8530-B7AF4BCAEED8}" uniqueName="1" name="DATE" queryTableFieldId="1" dataDxfId="6"/>
    <tableColumn id="2" xr3:uid="{E6686B0E-F71B-4FBC-8BC0-010B018CD5CD}" uniqueName="2" name="COLLECTION_ID" queryTableFieldId="2"/>
    <tableColumn id="3" xr3:uid="{0A95B65E-018E-4C6C-BD03-688B92861F7E}" uniqueName="3" name="SOURCE_ID" queryTableFieldId="3" dataDxfId="5"/>
    <tableColumn id="4" xr3:uid="{57B0839B-77C0-4D2F-A8AF-51FCEFD1270A}" uniqueName="4" name="MATERIAL_ID" queryTableFieldId="4" dataDxfId="4"/>
    <tableColumn id="5" xr3:uid="{108F905E-E61B-45F6-AB3F-F065BF806151}" uniqueName="5" name="WEIGHT_IN" queryTableFieldId="5" dataDxfId="3"/>
    <tableColumn id="6" xr3:uid="{A6D570EB-70C0-4860-A412-28E525839600}" uniqueName="6" name="UOM" queryTableFieldId="6" dataDxf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86602-024F-4EFC-8EB4-B307BC0F71EA}" name="RAW_DATA_COL" displayName="RAW_DATA_COL" ref="A1:F658" insertRowShift="1" totalsRowShown="0">
  <autoFilter ref="A1:F658" xr:uid="{36C86602-024F-4EFC-8EB4-B307BC0F71EA}"/>
  <tableColumns count="6">
    <tableColumn id="1" xr3:uid="{58751F01-92F5-4766-8301-5EE5DEEED876}" name="COLLECTION_ID"/>
    <tableColumn id="2" xr3:uid="{BA92F686-8D18-4EC7-B69C-754E89FD3D2E}" name="DATE" dataDxfId="1"/>
    <tableColumn id="3" xr3:uid="{410A955C-B811-4318-80AC-FA30CE57F7D1}" name="SOURCE_ID"/>
    <tableColumn id="4" xr3:uid="{F0FC471F-9A4D-47CC-AC61-B1A86F0D2496}" name="MATERIAL_ID"/>
    <tableColumn id="5" xr3:uid="{DA6D5993-C038-45EB-9F02-4A32C68A75E9}" name="WEIGHT_IN"/>
    <tableColumn id="6" xr3:uid="{0B24066D-6EFA-4B7A-B4C8-F44CC08F4731}" name="UOM">
      <calculatedColumnFormula>_xlfn.XLOOKUP(RAW_DATA_COL[[#This Row],[MATERIAL_ID]],DIM_MATERIAL[MATERIAL_ID],DIM_MATERIAL[UOM_IN])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ECF941-5087-4871-AF4F-058FF59C4CC5}" name="RW_DT_PRODUCTION" displayName="RW_DT_PRODUCTION" ref="A1:E3102" insertRowShift="1" totalsRowShown="0">
  <autoFilter ref="A1:E3102" xr:uid="{36C86602-024F-4EFC-8EB4-B307BC0F71EA}"/>
  <sortState xmlns:xlrd2="http://schemas.microsoft.com/office/spreadsheetml/2017/richdata2" ref="A2:E3102">
    <sortCondition ref="A1:A3102"/>
  </sortState>
  <tableColumns count="5">
    <tableColumn id="2" xr3:uid="{067354A0-4D62-4F85-AA17-8DD691EA510A}" name="PROCESS_DATE" dataDxfId="0"/>
    <tableColumn id="4" xr3:uid="{E73B95EA-B6D4-4244-9AC7-9228C56E69AA}" name="MATERIAL_ID"/>
    <tableColumn id="6" xr3:uid="{D1A5D703-7C9A-4B05-AB2E-D71F376EC700}" name="QTY"/>
    <tableColumn id="12" xr3:uid="{D52BAA1B-75BA-4FA0-B8AB-8FE4E6021D70}" name="UOM">
      <calculatedColumnFormula>_xlfn.XLOOKUP(RW_DT_PRODUCTION[[#This Row],[MATERIAL_ID]],DIM_MATERIAL[MATERIAL_ID],DIM_MATERIAL[UOM_AFTER_PROCESS])</calculatedColumnFormula>
    </tableColumn>
    <tableColumn id="5" xr3:uid="{9E0A6550-AACD-42D5-8090-393987B010E0}" name="WEIGHT_K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G6"/>
  <sheetViews>
    <sheetView zoomScaleNormal="100" workbookViewId="0">
      <selection activeCell="F3" sqref="F3"/>
    </sheetView>
  </sheetViews>
  <sheetFormatPr defaultColWidth="10" defaultRowHeight="14.25" x14ac:dyDescent="0.2"/>
  <cols>
    <col min="1" max="1" width="15" customWidth="1"/>
    <col min="2" max="2" width="20.25" bestFit="1" customWidth="1"/>
    <col min="6" max="6" width="25.125" bestFit="1" customWidth="1"/>
    <col min="7" max="7" width="19.25" bestFit="1" customWidth="1"/>
  </cols>
  <sheetData>
    <row r="1" spans="1:7" x14ac:dyDescent="0.2">
      <c r="A1" t="s">
        <v>0</v>
      </c>
      <c r="B1" t="s">
        <v>586</v>
      </c>
      <c r="C1" t="s">
        <v>581</v>
      </c>
      <c r="D1" t="s">
        <v>589</v>
      </c>
      <c r="E1" s="5" t="s">
        <v>601</v>
      </c>
      <c r="F1" s="5" t="s">
        <v>3822</v>
      </c>
      <c r="G1" s="5" t="s">
        <v>602</v>
      </c>
    </row>
    <row r="2" spans="1:7" x14ac:dyDescent="0.2">
      <c r="A2" t="s">
        <v>1</v>
      </c>
      <c r="B2" t="s">
        <v>3</v>
      </c>
      <c r="C2" s="4">
        <v>1800</v>
      </c>
      <c r="D2" t="s">
        <v>590</v>
      </c>
      <c r="E2" s="5" t="s">
        <v>598</v>
      </c>
      <c r="F2" s="5" t="s">
        <v>4027</v>
      </c>
      <c r="G2" s="5" t="s">
        <v>598</v>
      </c>
    </row>
    <row r="3" spans="1:7" x14ac:dyDescent="0.2">
      <c r="A3" t="s">
        <v>2</v>
      </c>
      <c r="B3" t="s">
        <v>4</v>
      </c>
      <c r="C3" s="4">
        <v>3800</v>
      </c>
      <c r="D3" t="s">
        <v>591</v>
      </c>
      <c r="E3" s="5" t="s">
        <v>599</v>
      </c>
      <c r="F3" s="5" t="s">
        <v>600</v>
      </c>
      <c r="G3" s="5" t="s">
        <v>598</v>
      </c>
    </row>
    <row r="4" spans="1:7" x14ac:dyDescent="0.2">
      <c r="A4" t="s">
        <v>576</v>
      </c>
      <c r="B4" t="s">
        <v>578</v>
      </c>
      <c r="C4" s="4">
        <v>4200</v>
      </c>
      <c r="D4" t="s">
        <v>592</v>
      </c>
      <c r="E4" s="5" t="s">
        <v>600</v>
      </c>
      <c r="F4" s="5" t="s">
        <v>600</v>
      </c>
      <c r="G4" s="5" t="s">
        <v>598</v>
      </c>
    </row>
    <row r="5" spans="1:7" x14ac:dyDescent="0.2">
      <c r="A5" t="s">
        <v>577</v>
      </c>
      <c r="B5" t="s">
        <v>579</v>
      </c>
      <c r="C5" s="4">
        <v>5000</v>
      </c>
      <c r="D5" t="s">
        <v>593</v>
      </c>
      <c r="E5" s="5" t="s">
        <v>600</v>
      </c>
      <c r="F5" s="5" t="s">
        <v>600</v>
      </c>
      <c r="G5" s="5" t="s">
        <v>598</v>
      </c>
    </row>
    <row r="6" spans="1:7" x14ac:dyDescent="0.2">
      <c r="A6" t="s">
        <v>580</v>
      </c>
      <c r="B6" t="s">
        <v>595</v>
      </c>
      <c r="C6" s="4">
        <v>4800</v>
      </c>
      <c r="D6" t="s">
        <v>594</v>
      </c>
      <c r="E6" s="5" t="s">
        <v>600</v>
      </c>
      <c r="F6" s="5" t="s">
        <v>600</v>
      </c>
      <c r="G6" s="5" t="s">
        <v>598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B4"/>
  <sheetViews>
    <sheetView zoomScaleNormal="100" workbookViewId="0">
      <selection activeCell="C19" sqref="C19"/>
    </sheetView>
  </sheetViews>
  <sheetFormatPr defaultColWidth="10" defaultRowHeight="14.25" x14ac:dyDescent="0.2"/>
  <cols>
    <col min="1" max="1" width="13.75" customWidth="1"/>
    <col min="2" max="2" width="17.25" customWidth="1"/>
  </cols>
  <sheetData>
    <row r="1" spans="1:2" x14ac:dyDescent="0.2">
      <c r="A1" t="s">
        <v>5</v>
      </c>
      <c r="B1" t="s">
        <v>6</v>
      </c>
    </row>
    <row r="2" spans="1:2" x14ac:dyDescent="0.2">
      <c r="A2" t="s">
        <v>11</v>
      </c>
      <c r="B2" s="5" t="s">
        <v>597</v>
      </c>
    </row>
    <row r="3" spans="1:2" x14ac:dyDescent="0.2">
      <c r="A3" t="s">
        <v>12</v>
      </c>
      <c r="B3" s="5" t="s">
        <v>596</v>
      </c>
    </row>
    <row r="4" spans="1:2" x14ac:dyDescent="0.2">
      <c r="A4" t="s">
        <v>584</v>
      </c>
      <c r="B4" t="s">
        <v>587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C4"/>
  <sheetViews>
    <sheetView workbookViewId="0">
      <selection activeCell="C19" sqref="C19"/>
    </sheetView>
  </sheetViews>
  <sheetFormatPr defaultColWidth="10" defaultRowHeight="14.25" x14ac:dyDescent="0.2"/>
  <cols>
    <col min="1" max="1" width="12.5" customWidth="1"/>
    <col min="2" max="2" width="16" customWidth="1"/>
    <col min="3" max="3" width="15.75" bestFit="1" customWidth="1"/>
  </cols>
  <sheetData>
    <row r="1" spans="1:3" x14ac:dyDescent="0.2">
      <c r="A1" t="s">
        <v>7</v>
      </c>
      <c r="B1" t="s">
        <v>8</v>
      </c>
      <c r="C1" t="s">
        <v>3704</v>
      </c>
    </row>
    <row r="2" spans="1:3" x14ac:dyDescent="0.2">
      <c r="A2" t="s">
        <v>9</v>
      </c>
      <c r="B2" t="s">
        <v>10</v>
      </c>
      <c r="C2" t="s">
        <v>3713</v>
      </c>
    </row>
    <row r="3" spans="1:3" x14ac:dyDescent="0.2">
      <c r="A3" t="s">
        <v>3816</v>
      </c>
      <c r="B3" t="s">
        <v>3818</v>
      </c>
      <c r="C3" t="s">
        <v>3820</v>
      </c>
    </row>
    <row r="4" spans="1:3" x14ac:dyDescent="0.2">
      <c r="A4" t="s">
        <v>3817</v>
      </c>
      <c r="B4" t="s">
        <v>3819</v>
      </c>
      <c r="C4" t="s">
        <v>3821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7B5B-B81F-4C40-84FD-7C0A664A8751}">
  <sheetPr>
    <tabColor theme="7" tint="0.39997558519241921"/>
  </sheetPr>
  <dimension ref="A1:B8"/>
  <sheetViews>
    <sheetView workbookViewId="0">
      <selection activeCell="E12" sqref="E12"/>
    </sheetView>
  </sheetViews>
  <sheetFormatPr defaultRowHeight="14.25" x14ac:dyDescent="0.2"/>
  <cols>
    <col min="1" max="1" width="14.125" customWidth="1"/>
    <col min="2" max="2" width="13.375" customWidth="1"/>
  </cols>
  <sheetData>
    <row r="1" spans="1:2" x14ac:dyDescent="0.2">
      <c r="A1" t="s">
        <v>3715</v>
      </c>
      <c r="B1" t="s">
        <v>4019</v>
      </c>
    </row>
    <row r="2" spans="1:2" x14ac:dyDescent="0.2">
      <c r="A2" t="s">
        <v>3808</v>
      </c>
      <c r="B2" t="s">
        <v>4020</v>
      </c>
    </row>
    <row r="3" spans="1:2" x14ac:dyDescent="0.2">
      <c r="A3" t="s">
        <v>3809</v>
      </c>
      <c r="B3" t="s">
        <v>4021</v>
      </c>
    </row>
    <row r="4" spans="1:2" x14ac:dyDescent="0.2">
      <c r="A4" t="s">
        <v>3718</v>
      </c>
      <c r="B4" t="s">
        <v>4022</v>
      </c>
    </row>
    <row r="5" spans="1:2" x14ac:dyDescent="0.2">
      <c r="A5" t="s">
        <v>3813</v>
      </c>
      <c r="B5" t="s">
        <v>4023</v>
      </c>
    </row>
    <row r="6" spans="1:2" x14ac:dyDescent="0.2">
      <c r="A6" t="s">
        <v>4026</v>
      </c>
      <c r="B6" t="s">
        <v>4025</v>
      </c>
    </row>
    <row r="7" spans="1:2" x14ac:dyDescent="0.2">
      <c r="A7" t="s">
        <v>3811</v>
      </c>
      <c r="B7" t="s">
        <v>4025</v>
      </c>
    </row>
    <row r="8" spans="1:2" x14ac:dyDescent="0.2">
      <c r="A8" t="s">
        <v>4024</v>
      </c>
      <c r="B8" t="s">
        <v>4022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9"/>
  <sheetViews>
    <sheetView workbookViewId="0">
      <selection activeCell="C47" sqref="C47"/>
    </sheetView>
  </sheetViews>
  <sheetFormatPr defaultColWidth="10" defaultRowHeight="14.25" x14ac:dyDescent="0.2"/>
  <cols>
    <col min="1" max="1" width="15.5" customWidth="1"/>
    <col min="3" max="4" width="14" bestFit="1" customWidth="1"/>
    <col min="5" max="5" width="12.5" customWidth="1"/>
    <col min="6" max="6" width="15.25" bestFit="1" customWidth="1"/>
    <col min="7" max="7" width="6.875" bestFit="1" customWidth="1"/>
    <col min="8" max="8" width="7.75" customWidth="1"/>
    <col min="9" max="9" width="19.625" bestFit="1" customWidth="1"/>
  </cols>
  <sheetData>
    <row r="1" spans="1:9" x14ac:dyDescent="0.2">
      <c r="A1" t="s">
        <v>13</v>
      </c>
      <c r="B1" t="s">
        <v>14</v>
      </c>
      <c r="C1" t="s">
        <v>3705</v>
      </c>
      <c r="D1" t="s">
        <v>7</v>
      </c>
      <c r="E1" t="s">
        <v>3704</v>
      </c>
      <c r="F1" t="s">
        <v>0</v>
      </c>
      <c r="G1" t="s">
        <v>3716</v>
      </c>
      <c r="H1" t="s">
        <v>588</v>
      </c>
      <c r="I1" t="s">
        <v>3823</v>
      </c>
    </row>
    <row r="2" spans="1:9" x14ac:dyDescent="0.2">
      <c r="A2" t="s">
        <v>3706</v>
      </c>
      <c r="B2" s="2">
        <v>45623</v>
      </c>
      <c r="C2">
        <v>1</v>
      </c>
      <c r="D2" t="s">
        <v>9</v>
      </c>
      <c r="E2" t="str">
        <f>_xlfn.XLOOKUP(FACT_SHIPMENT[[#This Row],[CLIENT_ID]],DIM_CLIENT[CLIENT_ID],DIM_CLIENT[DESTINATION])</f>
        <v>Surabaya</v>
      </c>
      <c r="F2" t="s">
        <v>1</v>
      </c>
      <c r="G2">
        <v>350</v>
      </c>
      <c r="H2" t="str">
        <f>_xlfn.XLOOKUP(FACT_SHIPMENT[[#This Row],[MATERIAL_ID]],DIM_MATERIAL[MATERIAL_ID],DIM_MATERIAL[UOM_AFTER_PROCESS])</f>
        <v>BALE</v>
      </c>
      <c r="I2" s="4">
        <v>26041</v>
      </c>
    </row>
    <row r="3" spans="1:9" x14ac:dyDescent="0.2">
      <c r="A3" t="s">
        <v>3707</v>
      </c>
      <c r="B3" s="2">
        <v>45674</v>
      </c>
      <c r="C3">
        <v>1</v>
      </c>
      <c r="D3" t="s">
        <v>9</v>
      </c>
      <c r="E3" t="str">
        <f>_xlfn.XLOOKUP(FACT_SHIPMENT[[#This Row],[CLIENT_ID]],DIM_CLIENT[CLIENT_ID],DIM_CLIENT[DESTINATION])</f>
        <v>Surabaya</v>
      </c>
      <c r="F3" t="s">
        <v>1</v>
      </c>
      <c r="G3">
        <v>350</v>
      </c>
      <c r="H3" t="str">
        <f>_xlfn.XLOOKUP(FACT_SHIPMENT[[#This Row],[MATERIAL_ID]],DIM_MATERIAL[MATERIAL_ID],DIM_MATERIAL[UOM_AFTER_PROCESS])</f>
        <v>BALE</v>
      </c>
      <c r="I3" s="4">
        <v>26076</v>
      </c>
    </row>
    <row r="4" spans="1:9" x14ac:dyDescent="0.2">
      <c r="A4" t="s">
        <v>3708</v>
      </c>
      <c r="B4" s="2">
        <v>45743</v>
      </c>
      <c r="C4">
        <v>1</v>
      </c>
      <c r="D4" t="s">
        <v>3816</v>
      </c>
      <c r="E4" t="str">
        <f>_xlfn.XLOOKUP(FACT_SHIPMENT[[#This Row],[CLIENT_ID]],DIM_CLIENT[CLIENT_ID],DIM_CLIENT[DESTINATION])</f>
        <v>Jakarta</v>
      </c>
      <c r="F4" t="s">
        <v>1</v>
      </c>
      <c r="G4">
        <v>350</v>
      </c>
      <c r="H4" t="str">
        <f>_xlfn.XLOOKUP(FACT_SHIPMENT[[#This Row],[MATERIAL_ID]],DIM_MATERIAL[MATERIAL_ID],DIM_MATERIAL[UOM_AFTER_PROCESS])</f>
        <v>BALE</v>
      </c>
      <c r="I4" s="4">
        <v>26264</v>
      </c>
    </row>
    <row r="5" spans="1:9" x14ac:dyDescent="0.2">
      <c r="A5" t="s">
        <v>3709</v>
      </c>
      <c r="B5" s="2">
        <v>45806</v>
      </c>
      <c r="C5">
        <v>1</v>
      </c>
      <c r="D5" t="s">
        <v>3816</v>
      </c>
      <c r="E5" t="str">
        <f>_xlfn.XLOOKUP(FACT_SHIPMENT[[#This Row],[CLIENT_ID]],DIM_CLIENT[CLIENT_ID],DIM_CLIENT[DESTINATION])</f>
        <v>Jakarta</v>
      </c>
      <c r="F5" t="s">
        <v>1</v>
      </c>
      <c r="G5">
        <v>350</v>
      </c>
      <c r="H5" t="str">
        <f>_xlfn.XLOOKUP(FACT_SHIPMENT[[#This Row],[MATERIAL_ID]],DIM_MATERIAL[MATERIAL_ID],DIM_MATERIAL[UOM_AFTER_PROCESS])</f>
        <v>BALE</v>
      </c>
      <c r="I5" s="4">
        <v>25841</v>
      </c>
    </row>
    <row r="6" spans="1:9" x14ac:dyDescent="0.2">
      <c r="A6" t="s">
        <v>3710</v>
      </c>
      <c r="B6" s="2">
        <v>45894</v>
      </c>
      <c r="C6">
        <v>1</v>
      </c>
      <c r="D6" t="s">
        <v>3817</v>
      </c>
      <c r="E6" t="str">
        <f>_xlfn.XLOOKUP(FACT_SHIPMENT[[#This Row],[CLIENT_ID]],DIM_CLIENT[CLIENT_ID],DIM_CLIENT[DESTINATION])</f>
        <v>Bandung</v>
      </c>
      <c r="F6" t="s">
        <v>1</v>
      </c>
      <c r="G6">
        <v>350</v>
      </c>
      <c r="H6" t="str">
        <f>_xlfn.XLOOKUP(FACT_SHIPMENT[[#This Row],[MATERIAL_ID]],DIM_MATERIAL[MATERIAL_ID],DIM_MATERIAL[UOM_AFTER_PROCESS])</f>
        <v>BALE</v>
      </c>
      <c r="I6" s="4">
        <v>25733</v>
      </c>
    </row>
    <row r="7" spans="1:9" x14ac:dyDescent="0.2">
      <c r="A7" t="s">
        <v>3711</v>
      </c>
      <c r="B7" s="2">
        <v>45981</v>
      </c>
      <c r="C7">
        <v>1</v>
      </c>
      <c r="D7" t="s">
        <v>3817</v>
      </c>
      <c r="E7" t="str">
        <f>_xlfn.XLOOKUP(FACT_SHIPMENT[[#This Row],[CLIENT_ID]],DIM_CLIENT[CLIENT_ID],DIM_CLIENT[DESTINATION])</f>
        <v>Bandung</v>
      </c>
      <c r="F7" t="s">
        <v>1</v>
      </c>
      <c r="G7">
        <v>350</v>
      </c>
      <c r="H7" t="str">
        <f>_xlfn.XLOOKUP(FACT_SHIPMENT[[#This Row],[MATERIAL_ID]],DIM_MATERIAL[MATERIAL_ID],DIM_MATERIAL[UOM_AFTER_PROCESS])</f>
        <v>BALE</v>
      </c>
      <c r="I7" s="4">
        <v>26075</v>
      </c>
    </row>
    <row r="8" spans="1:9" x14ac:dyDescent="0.2">
      <c r="A8" t="s">
        <v>3712</v>
      </c>
      <c r="B8" s="2">
        <v>46038</v>
      </c>
      <c r="C8">
        <v>1</v>
      </c>
      <c r="D8" t="s">
        <v>9</v>
      </c>
      <c r="E8" t="str">
        <f>_xlfn.XLOOKUP(FACT_SHIPMENT[[#This Row],[CLIENT_ID]],DIM_CLIENT[CLIENT_ID],DIM_CLIENT[DESTINATION])</f>
        <v>Surabaya</v>
      </c>
      <c r="F8" t="s">
        <v>1</v>
      </c>
      <c r="G8">
        <v>220</v>
      </c>
      <c r="H8" t="str">
        <f>_xlfn.XLOOKUP(FACT_SHIPMENT[[#This Row],[MATERIAL_ID]],DIM_MATERIAL[MATERIAL_ID],DIM_MATERIAL[UOM_AFTER_PROCESS])</f>
        <v>BALE</v>
      </c>
      <c r="I8" s="4">
        <v>16611</v>
      </c>
    </row>
    <row r="9" spans="1:9" x14ac:dyDescent="0.2">
      <c r="A9" t="s">
        <v>3712</v>
      </c>
      <c r="B9" s="2">
        <v>46038</v>
      </c>
      <c r="C9">
        <v>1</v>
      </c>
      <c r="D9" t="s">
        <v>9</v>
      </c>
      <c r="E9" t="str">
        <f>_xlfn.XLOOKUP(FACT_SHIPMENT[[#This Row],[CLIENT_ID]],DIM_CLIENT[CLIENT_ID],DIM_CLIENT[DESTINATION])</f>
        <v>Surabaya</v>
      </c>
      <c r="F9" t="s">
        <v>2</v>
      </c>
      <c r="G9">
        <v>403</v>
      </c>
      <c r="H9" t="str">
        <f>_xlfn.XLOOKUP(FACT_SHIPMENT[[#This Row],[MATERIAL_ID]],DIM_MATERIAL[MATERIAL_ID],DIM_MATERIAL[UOM_AFTER_PROCESS])</f>
        <v>BAG</v>
      </c>
      <c r="I9" s="4">
        <v>8866</v>
      </c>
    </row>
  </sheetData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3D8E27-BB35-4220-B776-69B1D55B3F33}">
          <x14:formula1>
            <xm:f>DIM_CLIENT!$A$2:$A$4</xm:f>
          </x14:formula1>
          <xm:sqref>D2:D9</xm:sqref>
        </x14:dataValidation>
        <x14:dataValidation type="list" allowBlank="1" showInputMessage="1" showErrorMessage="1" xr:uid="{6300AA58-BEE4-42F0-BE04-D800A4EB0264}">
          <x14:formula1>
            <xm:f>DIM_MATERIAL!$A$2:$A$6</xm:f>
          </x14:formula1>
          <xm:sqref>F2:F9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8F28-CEC2-4F32-B0D4-92F055232E79}">
  <sheetPr>
    <tabColor rgb="FF92D050"/>
  </sheetPr>
  <dimension ref="A1:H204"/>
  <sheetViews>
    <sheetView topLeftCell="A149" workbookViewId="0">
      <selection activeCell="D192" sqref="D192"/>
    </sheetView>
  </sheetViews>
  <sheetFormatPr defaultRowHeight="14.25" x14ac:dyDescent="0.2"/>
  <cols>
    <col min="1" max="1" width="9.875" bestFit="1" customWidth="1"/>
    <col min="2" max="2" width="11.125" bestFit="1" customWidth="1"/>
    <col min="3" max="3" width="16" bestFit="1" customWidth="1"/>
    <col min="4" max="4" width="16" customWidth="1"/>
    <col min="5" max="5" width="6.875" bestFit="1" customWidth="1"/>
    <col min="6" max="6" width="7.375" bestFit="1" customWidth="1"/>
    <col min="7" max="7" width="9.875" bestFit="1" customWidth="1"/>
    <col min="8" max="8" width="17.625" bestFit="1" customWidth="1"/>
  </cols>
  <sheetData>
    <row r="1" spans="1:8" x14ac:dyDescent="0.2">
      <c r="A1" s="5" t="s">
        <v>14</v>
      </c>
      <c r="B1" s="5" t="s">
        <v>3714</v>
      </c>
      <c r="C1" s="5" t="s">
        <v>3715</v>
      </c>
      <c r="D1" s="5" t="s">
        <v>4019</v>
      </c>
      <c r="E1" s="5" t="s">
        <v>3716</v>
      </c>
      <c r="F1" s="5" t="s">
        <v>588</v>
      </c>
      <c r="G1" s="5" t="s">
        <v>3719</v>
      </c>
      <c r="H1" s="7" t="s">
        <v>3717</v>
      </c>
    </row>
    <row r="2" spans="1:8" x14ac:dyDescent="0.2">
      <c r="A2" s="2" t="s">
        <v>3720</v>
      </c>
      <c r="B2" s="5" t="str">
        <f>"OC"&amp;TEXT(ROW(B1),"00000")</f>
        <v>OC00001</v>
      </c>
      <c r="C2" s="5" t="s">
        <v>3808</v>
      </c>
      <c r="D2" s="5" t="str">
        <f>_xlfn.XLOOKUP(FACT_OPERATIONAL_COST[[#This Row],[COST_TYPE]],DIM_COST_TYPE[COST_TYPE],DIM_COST_TYPE[CATEGORY])</f>
        <v>Utility</v>
      </c>
      <c r="E2">
        <v>1</v>
      </c>
      <c r="F2" t="s">
        <v>3814</v>
      </c>
      <c r="G2" s="4">
        <v>600000</v>
      </c>
      <c r="H2" s="4">
        <f>FACT_OPERATIONAL_COST[[#This Row],[QTY]]*FACT_OPERATIONAL_COST[[#This Row],[Price]]</f>
        <v>600000</v>
      </c>
    </row>
    <row r="3" spans="1:8" x14ac:dyDescent="0.2">
      <c r="A3" s="2" t="s">
        <v>3720</v>
      </c>
      <c r="B3" s="5" t="str">
        <f t="shared" ref="B3:B8" si="0">"OC"&amp;TEXT(ROW(B2),"00000")</f>
        <v>OC00002</v>
      </c>
      <c r="C3" s="5" t="s">
        <v>3809</v>
      </c>
      <c r="D3" s="5" t="str">
        <f>_xlfn.XLOOKUP(FACT_OPERATIONAL_COST[[#This Row],[COST_TYPE]],DIM_COST_TYPE[COST_TYPE],DIM_COST_TYPE[CATEGORY])</f>
        <v>Transport</v>
      </c>
      <c r="E3">
        <v>1</v>
      </c>
      <c r="F3" t="s">
        <v>3810</v>
      </c>
      <c r="G3" s="4">
        <v>500000</v>
      </c>
      <c r="H3" s="4">
        <f>FACT_OPERATIONAL_COST[[#This Row],[QTY]]*FACT_OPERATIONAL_COST[[#This Row],[Price]]</f>
        <v>500000</v>
      </c>
    </row>
    <row r="4" spans="1:8" x14ac:dyDescent="0.2">
      <c r="A4" s="2" t="s">
        <v>3721</v>
      </c>
      <c r="B4" s="5" t="str">
        <f t="shared" si="0"/>
        <v>OC00003</v>
      </c>
      <c r="C4" s="5" t="s">
        <v>3808</v>
      </c>
      <c r="D4" s="5" t="str">
        <f>_xlfn.XLOOKUP(FACT_OPERATIONAL_COST[[#This Row],[COST_TYPE]],DIM_COST_TYPE[COST_TYPE],DIM_COST_TYPE[CATEGORY])</f>
        <v>Utility</v>
      </c>
      <c r="E4">
        <v>1</v>
      </c>
      <c r="F4" t="s">
        <v>3814</v>
      </c>
      <c r="G4" s="7">
        <v>600000</v>
      </c>
      <c r="H4" s="4">
        <f>FACT_OPERATIONAL_COST[[#This Row],[QTY]]*FACT_OPERATIONAL_COST[[#This Row],[Price]]</f>
        <v>600000</v>
      </c>
    </row>
    <row r="5" spans="1:8" x14ac:dyDescent="0.2">
      <c r="A5" s="2" t="s">
        <v>3721</v>
      </c>
      <c r="B5" s="5" t="str">
        <f t="shared" si="0"/>
        <v>OC00004</v>
      </c>
      <c r="C5" s="5" t="s">
        <v>3809</v>
      </c>
      <c r="D5" s="5" t="str">
        <f>_xlfn.XLOOKUP(FACT_OPERATIONAL_COST[[#This Row],[COST_TYPE]],DIM_COST_TYPE[COST_TYPE],DIM_COST_TYPE[CATEGORY])</f>
        <v>Transport</v>
      </c>
      <c r="E5">
        <v>1</v>
      </c>
      <c r="F5" s="5" t="s">
        <v>3810</v>
      </c>
      <c r="G5" s="7">
        <v>500000</v>
      </c>
      <c r="H5" s="4">
        <f>FACT_OPERATIONAL_COST[[#This Row],[QTY]]*FACT_OPERATIONAL_COST[[#This Row],[Price]]</f>
        <v>500000</v>
      </c>
    </row>
    <row r="6" spans="1:8" x14ac:dyDescent="0.2">
      <c r="A6" s="2" t="s">
        <v>3722</v>
      </c>
      <c r="B6" s="5" t="str">
        <f t="shared" si="0"/>
        <v>OC00005</v>
      </c>
      <c r="C6" s="5" t="s">
        <v>3718</v>
      </c>
      <c r="D6" s="5" t="str">
        <f>_xlfn.XLOOKUP(FACT_OPERATIONAL_COST[[#This Row],[COST_TYPE]],DIM_COST_TYPE[COST_TYPE],DIM_COST_TYPE[CATEGORY])</f>
        <v>Labor</v>
      </c>
      <c r="E6">
        <v>6</v>
      </c>
      <c r="F6" s="5" t="s">
        <v>3815</v>
      </c>
      <c r="G6" s="4">
        <v>4800000</v>
      </c>
      <c r="H6" s="4">
        <f>FACT_OPERATIONAL_COST[[#This Row],[QTY]]*FACT_OPERATIONAL_COST[[#This Row],[Price]]</f>
        <v>28800000</v>
      </c>
    </row>
    <row r="7" spans="1:8" x14ac:dyDescent="0.2">
      <c r="A7" s="2" t="s">
        <v>3722</v>
      </c>
      <c r="B7" s="5" t="str">
        <f t="shared" si="0"/>
        <v>OC00006</v>
      </c>
      <c r="C7" s="5" t="s">
        <v>3813</v>
      </c>
      <c r="D7" s="5" t="str">
        <f>_xlfn.XLOOKUP(FACT_OPERATIONAL_COST[[#This Row],[COST_TYPE]],DIM_COST_TYPE[COST_TYPE],DIM_COST_TYPE[CATEGORY])</f>
        <v>Production</v>
      </c>
      <c r="E7">
        <v>6</v>
      </c>
      <c r="F7" s="5" t="s">
        <v>3815</v>
      </c>
      <c r="G7" s="4">
        <v>1000000</v>
      </c>
      <c r="H7" s="4">
        <f>FACT_OPERATIONAL_COST[[#This Row],[QTY]]*FACT_OPERATIONAL_COST[[#This Row],[Price]]</f>
        <v>6000000</v>
      </c>
    </row>
    <row r="8" spans="1:8" x14ac:dyDescent="0.2">
      <c r="A8" s="2" t="s">
        <v>3722</v>
      </c>
      <c r="B8" s="5" t="str">
        <f t="shared" si="0"/>
        <v>OC00007</v>
      </c>
      <c r="C8" s="5" t="s">
        <v>4024</v>
      </c>
      <c r="D8" s="5" t="str">
        <f>_xlfn.XLOOKUP(FACT_OPERATIONAL_COST[[#This Row],[COST_TYPE]],DIM_COST_TYPE[COST_TYPE],DIM_COST_TYPE[CATEGORY])</f>
        <v>Labor</v>
      </c>
      <c r="E8">
        <v>3</v>
      </c>
      <c r="F8" s="5" t="s">
        <v>3815</v>
      </c>
      <c r="G8" s="4">
        <v>4800000</v>
      </c>
      <c r="H8" s="4">
        <f>FACT_OPERATIONAL_COST[[#This Row],[QTY]]*FACT_OPERATIONAL_COST[[#This Row],[Price]]</f>
        <v>14400000</v>
      </c>
    </row>
    <row r="9" spans="1:8" x14ac:dyDescent="0.2">
      <c r="A9" t="s">
        <v>3723</v>
      </c>
      <c r="B9" t="str">
        <f t="shared" ref="B9:B40" si="1">"OC"&amp;TEXT(ROW(B8),"00000")</f>
        <v>OC00008</v>
      </c>
      <c r="C9" t="s">
        <v>3808</v>
      </c>
      <c r="D9" s="5" t="str">
        <f>_xlfn.XLOOKUP(FACT_OPERATIONAL_COST[[#This Row],[COST_TYPE]],DIM_COST_TYPE[COST_TYPE],DIM_COST_TYPE[CATEGORY])</f>
        <v>Utility</v>
      </c>
      <c r="E9">
        <v>1</v>
      </c>
      <c r="F9" t="s">
        <v>3814</v>
      </c>
      <c r="G9" s="4">
        <v>600000</v>
      </c>
      <c r="H9" s="4">
        <f>FACT_OPERATIONAL_COST[[#This Row],[QTY]]*FACT_OPERATIONAL_COST[[#This Row],[Price]]</f>
        <v>600000</v>
      </c>
    </row>
    <row r="10" spans="1:8" x14ac:dyDescent="0.2">
      <c r="A10" t="s">
        <v>3723</v>
      </c>
      <c r="B10" t="str">
        <f t="shared" si="1"/>
        <v>OC00009</v>
      </c>
      <c r="C10" t="s">
        <v>3809</v>
      </c>
      <c r="D10" s="5" t="str">
        <f>_xlfn.XLOOKUP(FACT_OPERATIONAL_COST[[#This Row],[COST_TYPE]],DIM_COST_TYPE[COST_TYPE],DIM_COST_TYPE[CATEGORY])</f>
        <v>Transport</v>
      </c>
      <c r="E10">
        <v>1</v>
      </c>
      <c r="F10" t="s">
        <v>3810</v>
      </c>
      <c r="G10" s="4">
        <v>500000</v>
      </c>
      <c r="H10" s="4">
        <f>FACT_OPERATIONAL_COST[[#This Row],[QTY]]*FACT_OPERATIONAL_COST[[#This Row],[Price]]</f>
        <v>500000</v>
      </c>
    </row>
    <row r="11" spans="1:8" x14ac:dyDescent="0.2">
      <c r="A11" t="s">
        <v>3724</v>
      </c>
      <c r="B11" t="str">
        <f t="shared" si="1"/>
        <v>OC00010</v>
      </c>
      <c r="C11" t="s">
        <v>3808</v>
      </c>
      <c r="D11" s="5" t="str">
        <f>_xlfn.XLOOKUP(FACT_OPERATIONAL_COST[[#This Row],[COST_TYPE]],DIM_COST_TYPE[COST_TYPE],DIM_COST_TYPE[CATEGORY])</f>
        <v>Utility</v>
      </c>
      <c r="E11">
        <v>1</v>
      </c>
      <c r="F11" t="s">
        <v>3814</v>
      </c>
      <c r="G11" s="4">
        <v>600000</v>
      </c>
      <c r="H11" s="4">
        <f>FACT_OPERATIONAL_COST[[#This Row],[QTY]]*FACT_OPERATIONAL_COST[[#This Row],[Price]]</f>
        <v>600000</v>
      </c>
    </row>
    <row r="12" spans="1:8" x14ac:dyDescent="0.2">
      <c r="A12" t="s">
        <v>3724</v>
      </c>
      <c r="B12" t="str">
        <f t="shared" si="1"/>
        <v>OC00011</v>
      </c>
      <c r="C12" t="s">
        <v>3809</v>
      </c>
      <c r="D12" s="5" t="str">
        <f>_xlfn.XLOOKUP(FACT_OPERATIONAL_COST[[#This Row],[COST_TYPE]],DIM_COST_TYPE[COST_TYPE],DIM_COST_TYPE[CATEGORY])</f>
        <v>Transport</v>
      </c>
      <c r="E12">
        <v>1</v>
      </c>
      <c r="F12" t="s">
        <v>3810</v>
      </c>
      <c r="G12" s="4">
        <v>500000</v>
      </c>
      <c r="H12" s="4">
        <f>FACT_OPERATIONAL_COST[[#This Row],[QTY]]*FACT_OPERATIONAL_COST[[#This Row],[Price]]</f>
        <v>500000</v>
      </c>
    </row>
    <row r="13" spans="1:8" x14ac:dyDescent="0.2">
      <c r="A13" t="s">
        <v>3725</v>
      </c>
      <c r="B13" t="str">
        <f t="shared" si="1"/>
        <v>OC00012</v>
      </c>
      <c r="C13" t="s">
        <v>3718</v>
      </c>
      <c r="D13" s="5" t="str">
        <f>_xlfn.XLOOKUP(FACT_OPERATIONAL_COST[[#This Row],[COST_TYPE]],DIM_COST_TYPE[COST_TYPE],DIM_COST_TYPE[CATEGORY])</f>
        <v>Labor</v>
      </c>
      <c r="E13">
        <v>6</v>
      </c>
      <c r="F13" s="5" t="s">
        <v>3815</v>
      </c>
      <c r="G13" s="4">
        <v>4800000</v>
      </c>
      <c r="H13" s="4">
        <f>FACT_OPERATIONAL_COST[[#This Row],[QTY]]*FACT_OPERATIONAL_COST[[#This Row],[Price]]</f>
        <v>28800000</v>
      </c>
    </row>
    <row r="14" spans="1:8" x14ac:dyDescent="0.2">
      <c r="A14" t="s">
        <v>3725</v>
      </c>
      <c r="B14" t="str">
        <f t="shared" si="1"/>
        <v>OC00013</v>
      </c>
      <c r="C14" s="5" t="s">
        <v>3813</v>
      </c>
      <c r="D14" s="5" t="str">
        <f>_xlfn.XLOOKUP(FACT_OPERATIONAL_COST[[#This Row],[COST_TYPE]],DIM_COST_TYPE[COST_TYPE],DIM_COST_TYPE[CATEGORY])</f>
        <v>Production</v>
      </c>
      <c r="E14">
        <v>6</v>
      </c>
      <c r="F14" s="5" t="s">
        <v>3815</v>
      </c>
      <c r="G14" s="4">
        <v>1000000</v>
      </c>
      <c r="H14" s="4">
        <f>FACT_OPERATIONAL_COST[[#This Row],[QTY]]*FACT_OPERATIONAL_COST[[#This Row],[Price]]</f>
        <v>6000000</v>
      </c>
    </row>
    <row r="15" spans="1:8" x14ac:dyDescent="0.2">
      <c r="A15" t="s">
        <v>3725</v>
      </c>
      <c r="B15" t="str">
        <f t="shared" si="1"/>
        <v>OC00014</v>
      </c>
      <c r="C15" s="5" t="s">
        <v>4024</v>
      </c>
      <c r="D15" s="5" t="str">
        <f>_xlfn.XLOOKUP(FACT_OPERATIONAL_COST[[#This Row],[COST_TYPE]],DIM_COST_TYPE[COST_TYPE],DIM_COST_TYPE[CATEGORY])</f>
        <v>Labor</v>
      </c>
      <c r="E15">
        <v>3</v>
      </c>
      <c r="F15" s="5" t="s">
        <v>3815</v>
      </c>
      <c r="G15" s="4">
        <v>4800000</v>
      </c>
      <c r="H15" s="4">
        <f>FACT_OPERATIONAL_COST[[#This Row],[QTY]]*FACT_OPERATIONAL_COST[[#This Row],[Price]]</f>
        <v>14400000</v>
      </c>
    </row>
    <row r="16" spans="1:8" x14ac:dyDescent="0.2">
      <c r="A16" t="s">
        <v>3726</v>
      </c>
      <c r="B16" t="str">
        <f t="shared" si="1"/>
        <v>OC00015</v>
      </c>
      <c r="C16" t="s">
        <v>3808</v>
      </c>
      <c r="D16" s="5" t="str">
        <f>_xlfn.XLOOKUP(FACT_OPERATIONAL_COST[[#This Row],[COST_TYPE]],DIM_COST_TYPE[COST_TYPE],DIM_COST_TYPE[CATEGORY])</f>
        <v>Utility</v>
      </c>
      <c r="E16">
        <v>1</v>
      </c>
      <c r="F16" t="s">
        <v>3814</v>
      </c>
      <c r="G16" s="4">
        <v>600000</v>
      </c>
      <c r="H16" s="4">
        <f>FACT_OPERATIONAL_COST[[#This Row],[QTY]]*FACT_OPERATIONAL_COST[[#This Row],[Price]]</f>
        <v>600000</v>
      </c>
    </row>
    <row r="17" spans="1:8" x14ac:dyDescent="0.2">
      <c r="A17" t="s">
        <v>3726</v>
      </c>
      <c r="B17" t="str">
        <f t="shared" si="1"/>
        <v>OC00016</v>
      </c>
      <c r="C17" t="s">
        <v>3809</v>
      </c>
      <c r="D17" s="5" t="str">
        <f>_xlfn.XLOOKUP(FACT_OPERATIONAL_COST[[#This Row],[COST_TYPE]],DIM_COST_TYPE[COST_TYPE],DIM_COST_TYPE[CATEGORY])</f>
        <v>Transport</v>
      </c>
      <c r="E17">
        <v>1</v>
      </c>
      <c r="F17" t="s">
        <v>3810</v>
      </c>
      <c r="G17" s="4">
        <v>500000</v>
      </c>
      <c r="H17" s="4">
        <f>FACT_OPERATIONAL_COST[[#This Row],[QTY]]*FACT_OPERATIONAL_COST[[#This Row],[Price]]</f>
        <v>500000</v>
      </c>
    </row>
    <row r="18" spans="1:8" x14ac:dyDescent="0.2">
      <c r="A18" t="s">
        <v>3727</v>
      </c>
      <c r="B18" t="str">
        <f t="shared" si="1"/>
        <v>OC00017</v>
      </c>
      <c r="C18" t="s">
        <v>3808</v>
      </c>
      <c r="D18" s="5" t="str">
        <f>_xlfn.XLOOKUP(FACT_OPERATIONAL_COST[[#This Row],[COST_TYPE]],DIM_COST_TYPE[COST_TYPE],DIM_COST_TYPE[CATEGORY])</f>
        <v>Utility</v>
      </c>
      <c r="E18">
        <v>1</v>
      </c>
      <c r="F18" t="s">
        <v>3814</v>
      </c>
      <c r="G18" s="4">
        <v>600000</v>
      </c>
      <c r="H18" s="4">
        <f>FACT_OPERATIONAL_COST[[#This Row],[QTY]]*FACT_OPERATIONAL_COST[[#This Row],[Price]]</f>
        <v>600000</v>
      </c>
    </row>
    <row r="19" spans="1:8" x14ac:dyDescent="0.2">
      <c r="A19" t="s">
        <v>3727</v>
      </c>
      <c r="B19" t="str">
        <f t="shared" si="1"/>
        <v>OC00018</v>
      </c>
      <c r="C19" t="s">
        <v>3809</v>
      </c>
      <c r="D19" s="5" t="str">
        <f>_xlfn.XLOOKUP(FACT_OPERATIONAL_COST[[#This Row],[COST_TYPE]],DIM_COST_TYPE[COST_TYPE],DIM_COST_TYPE[CATEGORY])</f>
        <v>Transport</v>
      </c>
      <c r="E19">
        <v>1</v>
      </c>
      <c r="F19" t="s">
        <v>3810</v>
      </c>
      <c r="G19" s="4">
        <v>500000</v>
      </c>
      <c r="H19" s="4">
        <f>FACT_OPERATIONAL_COST[[#This Row],[QTY]]*FACT_OPERATIONAL_COST[[#This Row],[Price]]</f>
        <v>500000</v>
      </c>
    </row>
    <row r="20" spans="1:8" x14ac:dyDescent="0.2">
      <c r="A20" t="s">
        <v>3728</v>
      </c>
      <c r="B20" t="str">
        <f t="shared" si="1"/>
        <v>OC00019</v>
      </c>
      <c r="C20" t="s">
        <v>3718</v>
      </c>
      <c r="D20" s="5" t="str">
        <f>_xlfn.XLOOKUP(FACT_OPERATIONAL_COST[[#This Row],[COST_TYPE]],DIM_COST_TYPE[COST_TYPE],DIM_COST_TYPE[CATEGORY])</f>
        <v>Labor</v>
      </c>
      <c r="E20">
        <v>6</v>
      </c>
      <c r="F20" s="5" t="s">
        <v>3815</v>
      </c>
      <c r="G20" s="4">
        <v>4800000</v>
      </c>
      <c r="H20" s="4">
        <f>FACT_OPERATIONAL_COST[[#This Row],[QTY]]*FACT_OPERATIONAL_COST[[#This Row],[Price]]</f>
        <v>28800000</v>
      </c>
    </row>
    <row r="21" spans="1:8" x14ac:dyDescent="0.2">
      <c r="A21" t="s">
        <v>3728</v>
      </c>
      <c r="B21" t="str">
        <f t="shared" si="1"/>
        <v>OC00020</v>
      </c>
      <c r="C21" s="5" t="s">
        <v>3813</v>
      </c>
      <c r="D21" s="5" t="str">
        <f>_xlfn.XLOOKUP(FACT_OPERATIONAL_COST[[#This Row],[COST_TYPE]],DIM_COST_TYPE[COST_TYPE],DIM_COST_TYPE[CATEGORY])</f>
        <v>Production</v>
      </c>
      <c r="E21">
        <v>6</v>
      </c>
      <c r="F21" s="5" t="s">
        <v>3815</v>
      </c>
      <c r="G21" s="4">
        <v>1000000</v>
      </c>
      <c r="H21" s="4">
        <f>FACT_OPERATIONAL_COST[[#This Row],[QTY]]*FACT_OPERATIONAL_COST[[#This Row],[Price]]</f>
        <v>6000000</v>
      </c>
    </row>
    <row r="22" spans="1:8" x14ac:dyDescent="0.2">
      <c r="A22" t="s">
        <v>3728</v>
      </c>
      <c r="B22" t="str">
        <f t="shared" si="1"/>
        <v>OC00021</v>
      </c>
      <c r="C22" s="5" t="s">
        <v>4024</v>
      </c>
      <c r="D22" s="5" t="str">
        <f>_xlfn.XLOOKUP(FACT_OPERATIONAL_COST[[#This Row],[COST_TYPE]],DIM_COST_TYPE[COST_TYPE],DIM_COST_TYPE[CATEGORY])</f>
        <v>Labor</v>
      </c>
      <c r="E22">
        <v>3</v>
      </c>
      <c r="F22" s="5" t="s">
        <v>3815</v>
      </c>
      <c r="G22" s="4">
        <v>4800000</v>
      </c>
      <c r="H22" s="4">
        <f>FACT_OPERATIONAL_COST[[#This Row],[QTY]]*FACT_OPERATIONAL_COST[[#This Row],[Price]]</f>
        <v>14400000</v>
      </c>
    </row>
    <row r="23" spans="1:8" x14ac:dyDescent="0.2">
      <c r="A23" t="s">
        <v>3729</v>
      </c>
      <c r="B23" t="str">
        <f t="shared" si="1"/>
        <v>OC00022</v>
      </c>
      <c r="C23" t="s">
        <v>3808</v>
      </c>
      <c r="D23" s="5" t="str">
        <f>_xlfn.XLOOKUP(FACT_OPERATIONAL_COST[[#This Row],[COST_TYPE]],DIM_COST_TYPE[COST_TYPE],DIM_COST_TYPE[CATEGORY])</f>
        <v>Utility</v>
      </c>
      <c r="E23">
        <v>1</v>
      </c>
      <c r="F23" t="s">
        <v>3814</v>
      </c>
      <c r="G23" s="4">
        <v>600000</v>
      </c>
      <c r="H23" s="4">
        <f>FACT_OPERATIONAL_COST[[#This Row],[QTY]]*FACT_OPERATIONAL_COST[[#This Row],[Price]]</f>
        <v>600000</v>
      </c>
    </row>
    <row r="24" spans="1:8" x14ac:dyDescent="0.2">
      <c r="A24" t="s">
        <v>3729</v>
      </c>
      <c r="B24" t="str">
        <f t="shared" si="1"/>
        <v>OC00023</v>
      </c>
      <c r="C24" t="s">
        <v>3809</v>
      </c>
      <c r="D24" s="5" t="str">
        <f>_xlfn.XLOOKUP(FACT_OPERATIONAL_COST[[#This Row],[COST_TYPE]],DIM_COST_TYPE[COST_TYPE],DIM_COST_TYPE[CATEGORY])</f>
        <v>Transport</v>
      </c>
      <c r="E24">
        <v>1</v>
      </c>
      <c r="F24" t="s">
        <v>3810</v>
      </c>
      <c r="G24" s="4">
        <v>500000</v>
      </c>
      <c r="H24" s="4">
        <f>FACT_OPERATIONAL_COST[[#This Row],[QTY]]*FACT_OPERATIONAL_COST[[#This Row],[Price]]</f>
        <v>500000</v>
      </c>
    </row>
    <row r="25" spans="1:8" x14ac:dyDescent="0.2">
      <c r="A25" t="s">
        <v>3730</v>
      </c>
      <c r="B25" t="str">
        <f t="shared" si="1"/>
        <v>OC00024</v>
      </c>
      <c r="C25" t="s">
        <v>3808</v>
      </c>
      <c r="D25" s="5" t="str">
        <f>_xlfn.XLOOKUP(FACT_OPERATIONAL_COST[[#This Row],[COST_TYPE]],DIM_COST_TYPE[COST_TYPE],DIM_COST_TYPE[CATEGORY])</f>
        <v>Utility</v>
      </c>
      <c r="E25">
        <v>1</v>
      </c>
      <c r="F25" t="s">
        <v>3814</v>
      </c>
      <c r="G25" s="4">
        <v>600000</v>
      </c>
      <c r="H25" s="4">
        <f>FACT_OPERATIONAL_COST[[#This Row],[QTY]]*FACT_OPERATIONAL_COST[[#This Row],[Price]]</f>
        <v>600000</v>
      </c>
    </row>
    <row r="26" spans="1:8" x14ac:dyDescent="0.2">
      <c r="A26" t="s">
        <v>3730</v>
      </c>
      <c r="B26" t="str">
        <f t="shared" si="1"/>
        <v>OC00025</v>
      </c>
      <c r="C26" t="s">
        <v>3809</v>
      </c>
      <c r="D26" s="5" t="str">
        <f>_xlfn.XLOOKUP(FACT_OPERATIONAL_COST[[#This Row],[COST_TYPE]],DIM_COST_TYPE[COST_TYPE],DIM_COST_TYPE[CATEGORY])</f>
        <v>Transport</v>
      </c>
      <c r="E26">
        <v>1</v>
      </c>
      <c r="F26" t="s">
        <v>3810</v>
      </c>
      <c r="G26" s="4">
        <v>500000</v>
      </c>
      <c r="H26" s="4">
        <f>FACT_OPERATIONAL_COST[[#This Row],[QTY]]*FACT_OPERATIONAL_COST[[#This Row],[Price]]</f>
        <v>500000</v>
      </c>
    </row>
    <row r="27" spans="1:8" x14ac:dyDescent="0.2">
      <c r="A27" t="s">
        <v>3731</v>
      </c>
      <c r="B27" t="str">
        <f t="shared" si="1"/>
        <v>OC00026</v>
      </c>
      <c r="C27" t="s">
        <v>3718</v>
      </c>
      <c r="D27" s="5" t="str">
        <f>_xlfn.XLOOKUP(FACT_OPERATIONAL_COST[[#This Row],[COST_TYPE]],DIM_COST_TYPE[COST_TYPE],DIM_COST_TYPE[CATEGORY])</f>
        <v>Labor</v>
      </c>
      <c r="E27">
        <v>6</v>
      </c>
      <c r="F27" s="5" t="s">
        <v>3815</v>
      </c>
      <c r="G27" s="4">
        <v>4800000</v>
      </c>
      <c r="H27" s="4">
        <f>FACT_OPERATIONAL_COST[[#This Row],[QTY]]*FACT_OPERATIONAL_COST[[#This Row],[Price]]</f>
        <v>28800000</v>
      </c>
    </row>
    <row r="28" spans="1:8" x14ac:dyDescent="0.2">
      <c r="A28" t="s">
        <v>3731</v>
      </c>
      <c r="B28" t="str">
        <f t="shared" si="1"/>
        <v>OC00027</v>
      </c>
      <c r="C28" s="5" t="s">
        <v>3813</v>
      </c>
      <c r="D28" s="5" t="str">
        <f>_xlfn.XLOOKUP(FACT_OPERATIONAL_COST[[#This Row],[COST_TYPE]],DIM_COST_TYPE[COST_TYPE],DIM_COST_TYPE[CATEGORY])</f>
        <v>Production</v>
      </c>
      <c r="E28">
        <v>6</v>
      </c>
      <c r="F28" s="5" t="s">
        <v>3815</v>
      </c>
      <c r="G28" s="4">
        <v>1000000</v>
      </c>
      <c r="H28" s="4">
        <f>FACT_OPERATIONAL_COST[[#This Row],[QTY]]*FACT_OPERATIONAL_COST[[#This Row],[Price]]</f>
        <v>6000000</v>
      </c>
    </row>
    <row r="29" spans="1:8" x14ac:dyDescent="0.2">
      <c r="A29" t="s">
        <v>3731</v>
      </c>
      <c r="B29" t="str">
        <f t="shared" si="1"/>
        <v>OC00028</v>
      </c>
      <c r="C29" s="5" t="s">
        <v>4024</v>
      </c>
      <c r="D29" s="5" t="str">
        <f>_xlfn.XLOOKUP(FACT_OPERATIONAL_COST[[#This Row],[COST_TYPE]],DIM_COST_TYPE[COST_TYPE],DIM_COST_TYPE[CATEGORY])</f>
        <v>Labor</v>
      </c>
      <c r="E29">
        <v>3</v>
      </c>
      <c r="F29" s="5" t="s">
        <v>3815</v>
      </c>
      <c r="G29" s="4">
        <v>4800000</v>
      </c>
      <c r="H29" s="4">
        <f>FACT_OPERATIONAL_COST[[#This Row],[QTY]]*FACT_OPERATIONAL_COST[[#This Row],[Price]]</f>
        <v>14400000</v>
      </c>
    </row>
    <row r="30" spans="1:8" x14ac:dyDescent="0.2">
      <c r="A30" t="s">
        <v>3732</v>
      </c>
      <c r="B30" t="str">
        <f t="shared" si="1"/>
        <v>OC00029</v>
      </c>
      <c r="C30" t="s">
        <v>3808</v>
      </c>
      <c r="D30" s="5" t="str">
        <f>_xlfn.XLOOKUP(FACT_OPERATIONAL_COST[[#This Row],[COST_TYPE]],DIM_COST_TYPE[COST_TYPE],DIM_COST_TYPE[CATEGORY])</f>
        <v>Utility</v>
      </c>
      <c r="E30">
        <v>1</v>
      </c>
      <c r="F30" t="s">
        <v>3814</v>
      </c>
      <c r="G30" s="4">
        <v>600000</v>
      </c>
      <c r="H30" s="4">
        <f>FACT_OPERATIONAL_COST[[#This Row],[QTY]]*FACT_OPERATIONAL_COST[[#This Row],[Price]]</f>
        <v>600000</v>
      </c>
    </row>
    <row r="31" spans="1:8" x14ac:dyDescent="0.2">
      <c r="A31" t="s">
        <v>3732</v>
      </c>
      <c r="B31" t="str">
        <f t="shared" si="1"/>
        <v>OC00030</v>
      </c>
      <c r="C31" t="s">
        <v>3809</v>
      </c>
      <c r="D31" s="5" t="str">
        <f>_xlfn.XLOOKUP(FACT_OPERATIONAL_COST[[#This Row],[COST_TYPE]],DIM_COST_TYPE[COST_TYPE],DIM_COST_TYPE[CATEGORY])</f>
        <v>Transport</v>
      </c>
      <c r="E31">
        <v>1</v>
      </c>
      <c r="F31" t="s">
        <v>3810</v>
      </c>
      <c r="G31" s="4">
        <v>500000</v>
      </c>
      <c r="H31" s="4">
        <f>FACT_OPERATIONAL_COST[[#This Row],[QTY]]*FACT_OPERATIONAL_COST[[#This Row],[Price]]</f>
        <v>500000</v>
      </c>
    </row>
    <row r="32" spans="1:8" x14ac:dyDescent="0.2">
      <c r="A32" t="s">
        <v>3733</v>
      </c>
      <c r="B32" t="str">
        <f t="shared" si="1"/>
        <v>OC00031</v>
      </c>
      <c r="C32" t="s">
        <v>3808</v>
      </c>
      <c r="D32" s="5" t="str">
        <f>_xlfn.XLOOKUP(FACT_OPERATIONAL_COST[[#This Row],[COST_TYPE]],DIM_COST_TYPE[COST_TYPE],DIM_COST_TYPE[CATEGORY])</f>
        <v>Utility</v>
      </c>
      <c r="E32">
        <v>1</v>
      </c>
      <c r="F32" t="s">
        <v>3814</v>
      </c>
      <c r="G32" s="4">
        <v>600000</v>
      </c>
      <c r="H32" s="4">
        <f>FACT_OPERATIONAL_COST[[#This Row],[QTY]]*FACT_OPERATIONAL_COST[[#This Row],[Price]]</f>
        <v>600000</v>
      </c>
    </row>
    <row r="33" spans="1:8" x14ac:dyDescent="0.2">
      <c r="A33" t="s">
        <v>3733</v>
      </c>
      <c r="B33" t="str">
        <f t="shared" si="1"/>
        <v>OC00032</v>
      </c>
      <c r="C33" t="s">
        <v>3809</v>
      </c>
      <c r="D33" s="5" t="str">
        <f>_xlfn.XLOOKUP(FACT_OPERATIONAL_COST[[#This Row],[COST_TYPE]],DIM_COST_TYPE[COST_TYPE],DIM_COST_TYPE[CATEGORY])</f>
        <v>Transport</v>
      </c>
      <c r="E33">
        <v>1</v>
      </c>
      <c r="F33" t="s">
        <v>3810</v>
      </c>
      <c r="G33" s="4">
        <v>500000</v>
      </c>
      <c r="H33" s="4">
        <f>FACT_OPERATIONAL_COST[[#This Row],[QTY]]*FACT_OPERATIONAL_COST[[#This Row],[Price]]</f>
        <v>500000</v>
      </c>
    </row>
    <row r="34" spans="1:8" x14ac:dyDescent="0.2">
      <c r="A34" t="s">
        <v>3734</v>
      </c>
      <c r="B34" t="str">
        <f t="shared" si="1"/>
        <v>OC00033</v>
      </c>
      <c r="C34" t="s">
        <v>3718</v>
      </c>
      <c r="D34" s="5" t="str">
        <f>_xlfn.XLOOKUP(FACT_OPERATIONAL_COST[[#This Row],[COST_TYPE]],DIM_COST_TYPE[COST_TYPE],DIM_COST_TYPE[CATEGORY])</f>
        <v>Labor</v>
      </c>
      <c r="E34">
        <v>6</v>
      </c>
      <c r="F34" s="5" t="s">
        <v>3815</v>
      </c>
      <c r="G34" s="4">
        <v>4800000</v>
      </c>
      <c r="H34" s="4">
        <f>FACT_OPERATIONAL_COST[[#This Row],[QTY]]*FACT_OPERATIONAL_COST[[#This Row],[Price]]</f>
        <v>28800000</v>
      </c>
    </row>
    <row r="35" spans="1:8" x14ac:dyDescent="0.2">
      <c r="A35" t="s">
        <v>3734</v>
      </c>
      <c r="B35" t="str">
        <f t="shared" si="1"/>
        <v>OC00034</v>
      </c>
      <c r="C35" s="5" t="s">
        <v>3813</v>
      </c>
      <c r="D35" s="5" t="str">
        <f>_xlfn.XLOOKUP(FACT_OPERATIONAL_COST[[#This Row],[COST_TYPE]],DIM_COST_TYPE[COST_TYPE],DIM_COST_TYPE[CATEGORY])</f>
        <v>Production</v>
      </c>
      <c r="E35">
        <v>6</v>
      </c>
      <c r="F35" s="5" t="s">
        <v>3815</v>
      </c>
      <c r="G35" s="4">
        <v>1000000</v>
      </c>
      <c r="H35" s="4">
        <f>FACT_OPERATIONAL_COST[[#This Row],[QTY]]*FACT_OPERATIONAL_COST[[#This Row],[Price]]</f>
        <v>6000000</v>
      </c>
    </row>
    <row r="36" spans="1:8" x14ac:dyDescent="0.2">
      <c r="A36" t="s">
        <v>3734</v>
      </c>
      <c r="B36" t="str">
        <f t="shared" si="1"/>
        <v>OC00035</v>
      </c>
      <c r="C36" s="5" t="s">
        <v>4024</v>
      </c>
      <c r="D36" s="5" t="str">
        <f>_xlfn.XLOOKUP(FACT_OPERATIONAL_COST[[#This Row],[COST_TYPE]],DIM_COST_TYPE[COST_TYPE],DIM_COST_TYPE[CATEGORY])</f>
        <v>Labor</v>
      </c>
      <c r="E36">
        <v>3</v>
      </c>
      <c r="F36" s="5" t="s">
        <v>3815</v>
      </c>
      <c r="G36" s="4">
        <v>4800000</v>
      </c>
      <c r="H36" s="4">
        <f>FACT_OPERATIONAL_COST[[#This Row],[QTY]]*FACT_OPERATIONAL_COST[[#This Row],[Price]]</f>
        <v>14400000</v>
      </c>
    </row>
    <row r="37" spans="1:8" x14ac:dyDescent="0.2">
      <c r="A37" t="s">
        <v>3735</v>
      </c>
      <c r="B37" t="str">
        <f t="shared" si="1"/>
        <v>OC00036</v>
      </c>
      <c r="C37" t="s">
        <v>3808</v>
      </c>
      <c r="D37" s="5" t="str">
        <f>_xlfn.XLOOKUP(FACT_OPERATIONAL_COST[[#This Row],[COST_TYPE]],DIM_COST_TYPE[COST_TYPE],DIM_COST_TYPE[CATEGORY])</f>
        <v>Utility</v>
      </c>
      <c r="E37">
        <v>1</v>
      </c>
      <c r="F37" t="s">
        <v>3814</v>
      </c>
      <c r="G37" s="4">
        <v>600000</v>
      </c>
      <c r="H37" s="4">
        <f>FACT_OPERATIONAL_COST[[#This Row],[QTY]]*FACT_OPERATIONAL_COST[[#This Row],[Price]]</f>
        <v>600000</v>
      </c>
    </row>
    <row r="38" spans="1:8" x14ac:dyDescent="0.2">
      <c r="A38" t="s">
        <v>3735</v>
      </c>
      <c r="B38" t="str">
        <f t="shared" si="1"/>
        <v>OC00037</v>
      </c>
      <c r="C38" t="s">
        <v>3809</v>
      </c>
      <c r="D38" s="5" t="str">
        <f>_xlfn.XLOOKUP(FACT_OPERATIONAL_COST[[#This Row],[COST_TYPE]],DIM_COST_TYPE[COST_TYPE],DIM_COST_TYPE[CATEGORY])</f>
        <v>Transport</v>
      </c>
      <c r="E38">
        <v>1</v>
      </c>
      <c r="F38" t="s">
        <v>3810</v>
      </c>
      <c r="G38" s="4">
        <v>500000</v>
      </c>
      <c r="H38" s="4">
        <f>FACT_OPERATIONAL_COST[[#This Row],[QTY]]*FACT_OPERATIONAL_COST[[#This Row],[Price]]</f>
        <v>500000</v>
      </c>
    </row>
    <row r="39" spans="1:8" x14ac:dyDescent="0.2">
      <c r="A39" t="s">
        <v>3736</v>
      </c>
      <c r="B39" t="str">
        <f t="shared" si="1"/>
        <v>OC00038</v>
      </c>
      <c r="C39" t="s">
        <v>3808</v>
      </c>
      <c r="D39" s="5" t="str">
        <f>_xlfn.XLOOKUP(FACT_OPERATIONAL_COST[[#This Row],[COST_TYPE]],DIM_COST_TYPE[COST_TYPE],DIM_COST_TYPE[CATEGORY])</f>
        <v>Utility</v>
      </c>
      <c r="E39">
        <v>1</v>
      </c>
      <c r="F39" t="s">
        <v>3814</v>
      </c>
      <c r="G39" s="4">
        <v>600000</v>
      </c>
      <c r="H39" s="4">
        <f>FACT_OPERATIONAL_COST[[#This Row],[QTY]]*FACT_OPERATIONAL_COST[[#This Row],[Price]]</f>
        <v>600000</v>
      </c>
    </row>
    <row r="40" spans="1:8" x14ac:dyDescent="0.2">
      <c r="A40" t="s">
        <v>3736</v>
      </c>
      <c r="B40" t="str">
        <f t="shared" si="1"/>
        <v>OC00039</v>
      </c>
      <c r="C40" t="s">
        <v>3809</v>
      </c>
      <c r="D40" s="5" t="str">
        <f>_xlfn.XLOOKUP(FACT_OPERATIONAL_COST[[#This Row],[COST_TYPE]],DIM_COST_TYPE[COST_TYPE],DIM_COST_TYPE[CATEGORY])</f>
        <v>Transport</v>
      </c>
      <c r="E40">
        <v>1</v>
      </c>
      <c r="F40" t="s">
        <v>3810</v>
      </c>
      <c r="G40" s="4">
        <v>500000</v>
      </c>
      <c r="H40" s="4">
        <f>FACT_OPERATIONAL_COST[[#This Row],[QTY]]*FACT_OPERATIONAL_COST[[#This Row],[Price]]</f>
        <v>500000</v>
      </c>
    </row>
    <row r="41" spans="1:8" x14ac:dyDescent="0.2">
      <c r="A41" t="s">
        <v>3737</v>
      </c>
      <c r="B41" t="str">
        <f t="shared" ref="B41:B72" si="2">"OC"&amp;TEXT(ROW(B40),"00000")</f>
        <v>OC00040</v>
      </c>
      <c r="C41" t="s">
        <v>3718</v>
      </c>
      <c r="D41" s="5" t="str">
        <f>_xlfn.XLOOKUP(FACT_OPERATIONAL_COST[[#This Row],[COST_TYPE]],DIM_COST_TYPE[COST_TYPE],DIM_COST_TYPE[CATEGORY])</f>
        <v>Labor</v>
      </c>
      <c r="E41">
        <v>6</v>
      </c>
      <c r="F41" s="5" t="s">
        <v>3815</v>
      </c>
      <c r="G41" s="4">
        <v>4800000</v>
      </c>
      <c r="H41" s="4">
        <f>FACT_OPERATIONAL_COST[[#This Row],[QTY]]*FACT_OPERATIONAL_COST[[#This Row],[Price]]</f>
        <v>28800000</v>
      </c>
    </row>
    <row r="42" spans="1:8" x14ac:dyDescent="0.2">
      <c r="A42" t="s">
        <v>3737</v>
      </c>
      <c r="B42" t="str">
        <f t="shared" si="2"/>
        <v>OC00041</v>
      </c>
      <c r="C42" s="5" t="s">
        <v>3813</v>
      </c>
      <c r="D42" s="5" t="str">
        <f>_xlfn.XLOOKUP(FACT_OPERATIONAL_COST[[#This Row],[COST_TYPE]],DIM_COST_TYPE[COST_TYPE],DIM_COST_TYPE[CATEGORY])</f>
        <v>Production</v>
      </c>
      <c r="E42">
        <v>6</v>
      </c>
      <c r="F42" s="5" t="s">
        <v>3815</v>
      </c>
      <c r="G42" s="4">
        <v>1000000</v>
      </c>
      <c r="H42" s="4">
        <f>FACT_OPERATIONAL_COST[[#This Row],[QTY]]*FACT_OPERATIONAL_COST[[#This Row],[Price]]</f>
        <v>6000000</v>
      </c>
    </row>
    <row r="43" spans="1:8" x14ac:dyDescent="0.2">
      <c r="A43" t="s">
        <v>3737</v>
      </c>
      <c r="B43" t="str">
        <f t="shared" si="2"/>
        <v>OC00042</v>
      </c>
      <c r="C43" s="5" t="s">
        <v>4024</v>
      </c>
      <c r="D43" s="5" t="str">
        <f>_xlfn.XLOOKUP(FACT_OPERATIONAL_COST[[#This Row],[COST_TYPE]],DIM_COST_TYPE[COST_TYPE],DIM_COST_TYPE[CATEGORY])</f>
        <v>Labor</v>
      </c>
      <c r="E43">
        <v>3</v>
      </c>
      <c r="F43" s="5" t="s">
        <v>3815</v>
      </c>
      <c r="G43" s="4">
        <v>4800000</v>
      </c>
      <c r="H43" s="4">
        <f>FACT_OPERATIONAL_COST[[#This Row],[QTY]]*FACT_OPERATIONAL_COST[[#This Row],[Price]]</f>
        <v>14400000</v>
      </c>
    </row>
    <row r="44" spans="1:8" x14ac:dyDescent="0.2">
      <c r="A44" t="s">
        <v>3738</v>
      </c>
      <c r="B44" t="str">
        <f t="shared" si="2"/>
        <v>OC00043</v>
      </c>
      <c r="C44" t="s">
        <v>3808</v>
      </c>
      <c r="D44" s="5" t="str">
        <f>_xlfn.XLOOKUP(FACT_OPERATIONAL_COST[[#This Row],[COST_TYPE]],DIM_COST_TYPE[COST_TYPE],DIM_COST_TYPE[CATEGORY])</f>
        <v>Utility</v>
      </c>
      <c r="E44">
        <v>1</v>
      </c>
      <c r="F44" t="s">
        <v>3814</v>
      </c>
      <c r="G44" s="4">
        <v>600000</v>
      </c>
      <c r="H44" s="4">
        <f>FACT_OPERATIONAL_COST[[#This Row],[QTY]]*FACT_OPERATIONAL_COST[[#This Row],[Price]]</f>
        <v>600000</v>
      </c>
    </row>
    <row r="45" spans="1:8" x14ac:dyDescent="0.2">
      <c r="A45" t="s">
        <v>3738</v>
      </c>
      <c r="B45" t="str">
        <f t="shared" si="2"/>
        <v>OC00044</v>
      </c>
      <c r="C45" t="s">
        <v>3809</v>
      </c>
      <c r="D45" s="5" t="str">
        <f>_xlfn.XLOOKUP(FACT_OPERATIONAL_COST[[#This Row],[COST_TYPE]],DIM_COST_TYPE[COST_TYPE],DIM_COST_TYPE[CATEGORY])</f>
        <v>Transport</v>
      </c>
      <c r="E45">
        <v>1</v>
      </c>
      <c r="F45" t="s">
        <v>3810</v>
      </c>
      <c r="G45" s="4">
        <v>500000</v>
      </c>
      <c r="H45" s="4">
        <f>FACT_OPERATIONAL_COST[[#This Row],[QTY]]*FACT_OPERATIONAL_COST[[#This Row],[Price]]</f>
        <v>500000</v>
      </c>
    </row>
    <row r="46" spans="1:8" x14ac:dyDescent="0.2">
      <c r="A46" t="s">
        <v>3739</v>
      </c>
      <c r="B46" t="str">
        <f t="shared" si="2"/>
        <v>OC00045</v>
      </c>
      <c r="C46" t="s">
        <v>3808</v>
      </c>
      <c r="D46" s="5" t="str">
        <f>_xlfn.XLOOKUP(FACT_OPERATIONAL_COST[[#This Row],[COST_TYPE]],DIM_COST_TYPE[COST_TYPE],DIM_COST_TYPE[CATEGORY])</f>
        <v>Utility</v>
      </c>
      <c r="E46">
        <v>1</v>
      </c>
      <c r="F46" t="s">
        <v>3814</v>
      </c>
      <c r="G46" s="4">
        <v>600000</v>
      </c>
      <c r="H46" s="4">
        <f>FACT_OPERATIONAL_COST[[#This Row],[QTY]]*FACT_OPERATIONAL_COST[[#This Row],[Price]]</f>
        <v>600000</v>
      </c>
    </row>
    <row r="47" spans="1:8" x14ac:dyDescent="0.2">
      <c r="A47" t="s">
        <v>3739</v>
      </c>
      <c r="B47" t="str">
        <f t="shared" si="2"/>
        <v>OC00046</v>
      </c>
      <c r="C47" t="s">
        <v>3809</v>
      </c>
      <c r="D47" s="5" t="str">
        <f>_xlfn.XLOOKUP(FACT_OPERATIONAL_COST[[#This Row],[COST_TYPE]],DIM_COST_TYPE[COST_TYPE],DIM_COST_TYPE[CATEGORY])</f>
        <v>Transport</v>
      </c>
      <c r="E47">
        <v>1</v>
      </c>
      <c r="F47" t="s">
        <v>3810</v>
      </c>
      <c r="G47" s="4">
        <v>500000</v>
      </c>
      <c r="H47" s="4">
        <f>FACT_OPERATIONAL_COST[[#This Row],[QTY]]*FACT_OPERATIONAL_COST[[#This Row],[Price]]</f>
        <v>500000</v>
      </c>
    </row>
    <row r="48" spans="1:8" x14ac:dyDescent="0.2">
      <c r="A48" t="s">
        <v>3740</v>
      </c>
      <c r="B48" t="str">
        <f t="shared" si="2"/>
        <v>OC00047</v>
      </c>
      <c r="C48" t="s">
        <v>3718</v>
      </c>
      <c r="D48" s="5" t="str">
        <f>_xlfn.XLOOKUP(FACT_OPERATIONAL_COST[[#This Row],[COST_TYPE]],DIM_COST_TYPE[COST_TYPE],DIM_COST_TYPE[CATEGORY])</f>
        <v>Labor</v>
      </c>
      <c r="E48">
        <v>6</v>
      </c>
      <c r="F48" s="5" t="s">
        <v>3815</v>
      </c>
      <c r="G48" s="4">
        <v>4800000</v>
      </c>
      <c r="H48" s="4">
        <f>FACT_OPERATIONAL_COST[[#This Row],[QTY]]*FACT_OPERATIONAL_COST[[#This Row],[Price]]</f>
        <v>28800000</v>
      </c>
    </row>
    <row r="49" spans="1:8" x14ac:dyDescent="0.2">
      <c r="A49" t="s">
        <v>3740</v>
      </c>
      <c r="B49" t="str">
        <f t="shared" si="2"/>
        <v>OC00048</v>
      </c>
      <c r="C49" s="5" t="s">
        <v>3813</v>
      </c>
      <c r="D49" s="5" t="str">
        <f>_xlfn.XLOOKUP(FACT_OPERATIONAL_COST[[#This Row],[COST_TYPE]],DIM_COST_TYPE[COST_TYPE],DIM_COST_TYPE[CATEGORY])</f>
        <v>Production</v>
      </c>
      <c r="E49">
        <v>6</v>
      </c>
      <c r="F49" s="5" t="s">
        <v>3815</v>
      </c>
      <c r="G49" s="4">
        <v>1000000</v>
      </c>
      <c r="H49" s="4">
        <f>FACT_OPERATIONAL_COST[[#This Row],[QTY]]*FACT_OPERATIONAL_COST[[#This Row],[Price]]</f>
        <v>6000000</v>
      </c>
    </row>
    <row r="50" spans="1:8" x14ac:dyDescent="0.2">
      <c r="A50" t="s">
        <v>3740</v>
      </c>
      <c r="B50" t="str">
        <f t="shared" si="2"/>
        <v>OC00049</v>
      </c>
      <c r="C50" s="5" t="s">
        <v>4024</v>
      </c>
      <c r="D50" s="5" t="str">
        <f>_xlfn.XLOOKUP(FACT_OPERATIONAL_COST[[#This Row],[COST_TYPE]],DIM_COST_TYPE[COST_TYPE],DIM_COST_TYPE[CATEGORY])</f>
        <v>Labor</v>
      </c>
      <c r="E50">
        <v>3</v>
      </c>
      <c r="F50" s="5" t="s">
        <v>3815</v>
      </c>
      <c r="G50" s="4">
        <v>4800000</v>
      </c>
      <c r="H50" s="4">
        <f>FACT_OPERATIONAL_COST[[#This Row],[QTY]]*FACT_OPERATIONAL_COST[[#This Row],[Price]]</f>
        <v>14400000</v>
      </c>
    </row>
    <row r="51" spans="1:8" x14ac:dyDescent="0.2">
      <c r="A51" t="s">
        <v>3741</v>
      </c>
      <c r="B51" t="str">
        <f t="shared" si="2"/>
        <v>OC00050</v>
      </c>
      <c r="C51" t="s">
        <v>3808</v>
      </c>
      <c r="D51" s="5" t="str">
        <f>_xlfn.XLOOKUP(FACT_OPERATIONAL_COST[[#This Row],[COST_TYPE]],DIM_COST_TYPE[COST_TYPE],DIM_COST_TYPE[CATEGORY])</f>
        <v>Utility</v>
      </c>
      <c r="E51">
        <v>1</v>
      </c>
      <c r="F51" t="s">
        <v>3814</v>
      </c>
      <c r="G51" s="4">
        <v>600000</v>
      </c>
      <c r="H51" s="4">
        <f>FACT_OPERATIONAL_COST[[#This Row],[QTY]]*FACT_OPERATIONAL_COST[[#This Row],[Price]]</f>
        <v>600000</v>
      </c>
    </row>
    <row r="52" spans="1:8" x14ac:dyDescent="0.2">
      <c r="A52" t="s">
        <v>3741</v>
      </c>
      <c r="B52" t="str">
        <f t="shared" si="2"/>
        <v>OC00051</v>
      </c>
      <c r="C52" t="s">
        <v>3809</v>
      </c>
      <c r="D52" s="5" t="str">
        <f>_xlfn.XLOOKUP(FACT_OPERATIONAL_COST[[#This Row],[COST_TYPE]],DIM_COST_TYPE[COST_TYPE],DIM_COST_TYPE[CATEGORY])</f>
        <v>Transport</v>
      </c>
      <c r="E52">
        <v>1</v>
      </c>
      <c r="F52" t="s">
        <v>3810</v>
      </c>
      <c r="G52" s="4">
        <v>500000</v>
      </c>
      <c r="H52" s="4">
        <f>FACT_OPERATIONAL_COST[[#This Row],[QTY]]*FACT_OPERATIONAL_COST[[#This Row],[Price]]</f>
        <v>500000</v>
      </c>
    </row>
    <row r="53" spans="1:8" x14ac:dyDescent="0.2">
      <c r="A53" t="s">
        <v>3742</v>
      </c>
      <c r="B53" t="str">
        <f t="shared" si="2"/>
        <v>OC00052</v>
      </c>
      <c r="C53" t="s">
        <v>3808</v>
      </c>
      <c r="D53" s="5" t="str">
        <f>_xlfn.XLOOKUP(FACT_OPERATIONAL_COST[[#This Row],[COST_TYPE]],DIM_COST_TYPE[COST_TYPE],DIM_COST_TYPE[CATEGORY])</f>
        <v>Utility</v>
      </c>
      <c r="E53">
        <v>1</v>
      </c>
      <c r="F53" t="s">
        <v>3814</v>
      </c>
      <c r="G53" s="4">
        <v>600000</v>
      </c>
      <c r="H53" s="4">
        <f>FACT_OPERATIONAL_COST[[#This Row],[QTY]]*FACT_OPERATIONAL_COST[[#This Row],[Price]]</f>
        <v>600000</v>
      </c>
    </row>
    <row r="54" spans="1:8" x14ac:dyDescent="0.2">
      <c r="A54" t="s">
        <v>3742</v>
      </c>
      <c r="B54" t="str">
        <f t="shared" si="2"/>
        <v>OC00053</v>
      </c>
      <c r="C54" t="s">
        <v>3809</v>
      </c>
      <c r="D54" s="5" t="str">
        <f>_xlfn.XLOOKUP(FACT_OPERATIONAL_COST[[#This Row],[COST_TYPE]],DIM_COST_TYPE[COST_TYPE],DIM_COST_TYPE[CATEGORY])</f>
        <v>Transport</v>
      </c>
      <c r="E54">
        <v>1</v>
      </c>
      <c r="F54" t="s">
        <v>3810</v>
      </c>
      <c r="G54" s="4">
        <v>500000</v>
      </c>
      <c r="H54" s="4">
        <f>FACT_OPERATIONAL_COST[[#This Row],[QTY]]*FACT_OPERATIONAL_COST[[#This Row],[Price]]</f>
        <v>500000</v>
      </c>
    </row>
    <row r="55" spans="1:8" x14ac:dyDescent="0.2">
      <c r="A55" t="s">
        <v>3743</v>
      </c>
      <c r="B55" t="str">
        <f t="shared" si="2"/>
        <v>OC00054</v>
      </c>
      <c r="C55" t="s">
        <v>3718</v>
      </c>
      <c r="D55" s="5" t="str">
        <f>_xlfn.XLOOKUP(FACT_OPERATIONAL_COST[[#This Row],[COST_TYPE]],DIM_COST_TYPE[COST_TYPE],DIM_COST_TYPE[CATEGORY])</f>
        <v>Labor</v>
      </c>
      <c r="E55">
        <v>6</v>
      </c>
      <c r="F55" s="5" t="s">
        <v>3815</v>
      </c>
      <c r="G55" s="4">
        <v>4800000</v>
      </c>
      <c r="H55" s="4">
        <f>FACT_OPERATIONAL_COST[[#This Row],[QTY]]*FACT_OPERATIONAL_COST[[#This Row],[Price]]</f>
        <v>28800000</v>
      </c>
    </row>
    <row r="56" spans="1:8" x14ac:dyDescent="0.2">
      <c r="A56" t="s">
        <v>3743</v>
      </c>
      <c r="B56" t="str">
        <f t="shared" si="2"/>
        <v>OC00055</v>
      </c>
      <c r="C56" s="5" t="s">
        <v>3813</v>
      </c>
      <c r="D56" s="5" t="str">
        <f>_xlfn.XLOOKUP(FACT_OPERATIONAL_COST[[#This Row],[COST_TYPE]],DIM_COST_TYPE[COST_TYPE],DIM_COST_TYPE[CATEGORY])</f>
        <v>Production</v>
      </c>
      <c r="E56">
        <v>6</v>
      </c>
      <c r="F56" s="5" t="s">
        <v>3815</v>
      </c>
      <c r="G56" s="4">
        <v>1000000</v>
      </c>
      <c r="H56" s="4">
        <f>FACT_OPERATIONAL_COST[[#This Row],[QTY]]*FACT_OPERATIONAL_COST[[#This Row],[Price]]</f>
        <v>6000000</v>
      </c>
    </row>
    <row r="57" spans="1:8" x14ac:dyDescent="0.2">
      <c r="A57" t="s">
        <v>3743</v>
      </c>
      <c r="B57" t="str">
        <f t="shared" si="2"/>
        <v>OC00056</v>
      </c>
      <c r="C57" s="5" t="s">
        <v>4024</v>
      </c>
      <c r="D57" s="5" t="str">
        <f>_xlfn.XLOOKUP(FACT_OPERATIONAL_COST[[#This Row],[COST_TYPE]],DIM_COST_TYPE[COST_TYPE],DIM_COST_TYPE[CATEGORY])</f>
        <v>Labor</v>
      </c>
      <c r="E57">
        <v>3</v>
      </c>
      <c r="F57" s="5" t="s">
        <v>3815</v>
      </c>
      <c r="G57" s="4">
        <v>4800000</v>
      </c>
      <c r="H57" s="4">
        <f>FACT_OPERATIONAL_COST[[#This Row],[QTY]]*FACT_OPERATIONAL_COST[[#This Row],[Price]]</f>
        <v>14400000</v>
      </c>
    </row>
    <row r="58" spans="1:8" x14ac:dyDescent="0.2">
      <c r="A58" t="s">
        <v>3744</v>
      </c>
      <c r="B58" t="str">
        <f t="shared" si="2"/>
        <v>OC00057</v>
      </c>
      <c r="C58" t="s">
        <v>3808</v>
      </c>
      <c r="D58" s="5" t="str">
        <f>_xlfn.XLOOKUP(FACT_OPERATIONAL_COST[[#This Row],[COST_TYPE]],DIM_COST_TYPE[COST_TYPE],DIM_COST_TYPE[CATEGORY])</f>
        <v>Utility</v>
      </c>
      <c r="E58">
        <v>1</v>
      </c>
      <c r="F58" t="s">
        <v>3814</v>
      </c>
      <c r="G58" s="4">
        <v>600000</v>
      </c>
      <c r="H58" s="4">
        <f>FACT_OPERATIONAL_COST[[#This Row],[QTY]]*FACT_OPERATIONAL_COST[[#This Row],[Price]]</f>
        <v>600000</v>
      </c>
    </row>
    <row r="59" spans="1:8" x14ac:dyDescent="0.2">
      <c r="A59" t="s">
        <v>3744</v>
      </c>
      <c r="B59" t="str">
        <f t="shared" si="2"/>
        <v>OC00058</v>
      </c>
      <c r="C59" t="s">
        <v>3809</v>
      </c>
      <c r="D59" s="5" t="str">
        <f>_xlfn.XLOOKUP(FACT_OPERATIONAL_COST[[#This Row],[COST_TYPE]],DIM_COST_TYPE[COST_TYPE],DIM_COST_TYPE[CATEGORY])</f>
        <v>Transport</v>
      </c>
      <c r="E59">
        <v>1</v>
      </c>
      <c r="F59" t="s">
        <v>3810</v>
      </c>
      <c r="G59" s="4">
        <v>500000</v>
      </c>
      <c r="H59" s="4">
        <f>FACT_OPERATIONAL_COST[[#This Row],[QTY]]*FACT_OPERATIONAL_COST[[#This Row],[Price]]</f>
        <v>500000</v>
      </c>
    </row>
    <row r="60" spans="1:8" x14ac:dyDescent="0.2">
      <c r="A60" t="s">
        <v>3745</v>
      </c>
      <c r="B60" t="str">
        <f t="shared" si="2"/>
        <v>OC00059</v>
      </c>
      <c r="C60" t="s">
        <v>3808</v>
      </c>
      <c r="D60" s="5" t="str">
        <f>_xlfn.XLOOKUP(FACT_OPERATIONAL_COST[[#This Row],[COST_TYPE]],DIM_COST_TYPE[COST_TYPE],DIM_COST_TYPE[CATEGORY])</f>
        <v>Utility</v>
      </c>
      <c r="E60">
        <v>1</v>
      </c>
      <c r="F60" t="s">
        <v>3814</v>
      </c>
      <c r="G60" s="4">
        <v>600000</v>
      </c>
      <c r="H60" s="4">
        <f>FACT_OPERATIONAL_COST[[#This Row],[QTY]]*FACT_OPERATIONAL_COST[[#This Row],[Price]]</f>
        <v>600000</v>
      </c>
    </row>
    <row r="61" spans="1:8" x14ac:dyDescent="0.2">
      <c r="A61" t="s">
        <v>3745</v>
      </c>
      <c r="B61" t="str">
        <f t="shared" si="2"/>
        <v>OC00060</v>
      </c>
      <c r="C61" t="s">
        <v>3809</v>
      </c>
      <c r="D61" s="5" t="str">
        <f>_xlfn.XLOOKUP(FACT_OPERATIONAL_COST[[#This Row],[COST_TYPE]],DIM_COST_TYPE[COST_TYPE],DIM_COST_TYPE[CATEGORY])</f>
        <v>Transport</v>
      </c>
      <c r="E61">
        <v>1</v>
      </c>
      <c r="F61" t="s">
        <v>3810</v>
      </c>
      <c r="G61" s="4">
        <v>500000</v>
      </c>
      <c r="H61" s="4">
        <f>FACT_OPERATIONAL_COST[[#This Row],[QTY]]*FACT_OPERATIONAL_COST[[#This Row],[Price]]</f>
        <v>500000</v>
      </c>
    </row>
    <row r="62" spans="1:8" x14ac:dyDescent="0.2">
      <c r="A62" t="s">
        <v>3746</v>
      </c>
      <c r="B62" t="str">
        <f t="shared" si="2"/>
        <v>OC00061</v>
      </c>
      <c r="C62" t="s">
        <v>3718</v>
      </c>
      <c r="D62" s="5" t="str">
        <f>_xlfn.XLOOKUP(FACT_OPERATIONAL_COST[[#This Row],[COST_TYPE]],DIM_COST_TYPE[COST_TYPE],DIM_COST_TYPE[CATEGORY])</f>
        <v>Labor</v>
      </c>
      <c r="E62">
        <v>6</v>
      </c>
      <c r="F62" s="5" t="s">
        <v>3815</v>
      </c>
      <c r="G62" s="4">
        <v>4800000</v>
      </c>
      <c r="H62" s="4">
        <f>FACT_OPERATIONAL_COST[[#This Row],[QTY]]*FACT_OPERATIONAL_COST[[#This Row],[Price]]</f>
        <v>28800000</v>
      </c>
    </row>
    <row r="63" spans="1:8" x14ac:dyDescent="0.2">
      <c r="A63" t="s">
        <v>3746</v>
      </c>
      <c r="B63" t="str">
        <f t="shared" si="2"/>
        <v>OC00062</v>
      </c>
      <c r="C63" s="5" t="s">
        <v>3813</v>
      </c>
      <c r="D63" s="5" t="str">
        <f>_xlfn.XLOOKUP(FACT_OPERATIONAL_COST[[#This Row],[COST_TYPE]],DIM_COST_TYPE[COST_TYPE],DIM_COST_TYPE[CATEGORY])</f>
        <v>Production</v>
      </c>
      <c r="E63">
        <v>6</v>
      </c>
      <c r="F63" s="5" t="s">
        <v>3815</v>
      </c>
      <c r="G63" s="4">
        <v>1000000</v>
      </c>
      <c r="H63" s="4">
        <f>FACT_OPERATIONAL_COST[[#This Row],[QTY]]*FACT_OPERATIONAL_COST[[#This Row],[Price]]</f>
        <v>6000000</v>
      </c>
    </row>
    <row r="64" spans="1:8" x14ac:dyDescent="0.2">
      <c r="A64" t="s">
        <v>3746</v>
      </c>
      <c r="B64" t="str">
        <f t="shared" si="2"/>
        <v>OC00063</v>
      </c>
      <c r="C64" s="5" t="s">
        <v>4024</v>
      </c>
      <c r="D64" s="5" t="str">
        <f>_xlfn.XLOOKUP(FACT_OPERATIONAL_COST[[#This Row],[COST_TYPE]],DIM_COST_TYPE[COST_TYPE],DIM_COST_TYPE[CATEGORY])</f>
        <v>Labor</v>
      </c>
      <c r="E64">
        <v>3</v>
      </c>
      <c r="F64" s="5" t="s">
        <v>3815</v>
      </c>
      <c r="G64" s="4">
        <v>4800000</v>
      </c>
      <c r="H64" s="4">
        <f>FACT_OPERATIONAL_COST[[#This Row],[QTY]]*FACT_OPERATIONAL_COST[[#This Row],[Price]]</f>
        <v>14400000</v>
      </c>
    </row>
    <row r="65" spans="1:8" x14ac:dyDescent="0.2">
      <c r="A65" t="s">
        <v>3747</v>
      </c>
      <c r="B65" t="str">
        <f t="shared" si="2"/>
        <v>OC00064</v>
      </c>
      <c r="C65" t="s">
        <v>3808</v>
      </c>
      <c r="D65" s="5" t="str">
        <f>_xlfn.XLOOKUP(FACT_OPERATIONAL_COST[[#This Row],[COST_TYPE]],DIM_COST_TYPE[COST_TYPE],DIM_COST_TYPE[CATEGORY])</f>
        <v>Utility</v>
      </c>
      <c r="E65">
        <v>1</v>
      </c>
      <c r="F65" t="s">
        <v>3814</v>
      </c>
      <c r="G65" s="4">
        <v>600000</v>
      </c>
      <c r="H65" s="4">
        <f>FACT_OPERATIONAL_COST[[#This Row],[QTY]]*FACT_OPERATIONAL_COST[[#This Row],[Price]]</f>
        <v>600000</v>
      </c>
    </row>
    <row r="66" spans="1:8" x14ac:dyDescent="0.2">
      <c r="A66" t="s">
        <v>3747</v>
      </c>
      <c r="B66" t="str">
        <f t="shared" si="2"/>
        <v>OC00065</v>
      </c>
      <c r="C66" t="s">
        <v>3809</v>
      </c>
      <c r="D66" s="5" t="str">
        <f>_xlfn.XLOOKUP(FACT_OPERATIONAL_COST[[#This Row],[COST_TYPE]],DIM_COST_TYPE[COST_TYPE],DIM_COST_TYPE[CATEGORY])</f>
        <v>Transport</v>
      </c>
      <c r="E66">
        <v>1</v>
      </c>
      <c r="F66" t="s">
        <v>3810</v>
      </c>
      <c r="G66" s="4">
        <v>500000</v>
      </c>
      <c r="H66" s="4">
        <f>FACT_OPERATIONAL_COST[[#This Row],[QTY]]*FACT_OPERATIONAL_COST[[#This Row],[Price]]</f>
        <v>500000</v>
      </c>
    </row>
    <row r="67" spans="1:8" x14ac:dyDescent="0.2">
      <c r="A67" t="s">
        <v>3748</v>
      </c>
      <c r="B67" t="str">
        <f t="shared" si="2"/>
        <v>OC00066</v>
      </c>
      <c r="C67" t="s">
        <v>3808</v>
      </c>
      <c r="D67" s="5" t="str">
        <f>_xlfn.XLOOKUP(FACT_OPERATIONAL_COST[[#This Row],[COST_TYPE]],DIM_COST_TYPE[COST_TYPE],DIM_COST_TYPE[CATEGORY])</f>
        <v>Utility</v>
      </c>
      <c r="E67">
        <v>1</v>
      </c>
      <c r="F67" t="s">
        <v>3814</v>
      </c>
      <c r="G67" s="4">
        <v>600000</v>
      </c>
      <c r="H67" s="4">
        <f>FACT_OPERATIONAL_COST[[#This Row],[QTY]]*FACT_OPERATIONAL_COST[[#This Row],[Price]]</f>
        <v>600000</v>
      </c>
    </row>
    <row r="68" spans="1:8" x14ac:dyDescent="0.2">
      <c r="A68" t="s">
        <v>3748</v>
      </c>
      <c r="B68" t="str">
        <f t="shared" si="2"/>
        <v>OC00067</v>
      </c>
      <c r="C68" t="s">
        <v>3809</v>
      </c>
      <c r="D68" s="5" t="str">
        <f>_xlfn.XLOOKUP(FACT_OPERATIONAL_COST[[#This Row],[COST_TYPE]],DIM_COST_TYPE[COST_TYPE],DIM_COST_TYPE[CATEGORY])</f>
        <v>Transport</v>
      </c>
      <c r="E68">
        <v>1</v>
      </c>
      <c r="F68" t="s">
        <v>3810</v>
      </c>
      <c r="G68" s="4">
        <v>500000</v>
      </c>
      <c r="H68" s="4">
        <f>FACT_OPERATIONAL_COST[[#This Row],[QTY]]*FACT_OPERATIONAL_COST[[#This Row],[Price]]</f>
        <v>500000</v>
      </c>
    </row>
    <row r="69" spans="1:8" x14ac:dyDescent="0.2">
      <c r="A69" t="s">
        <v>3749</v>
      </c>
      <c r="B69" t="str">
        <f t="shared" si="2"/>
        <v>OC00068</v>
      </c>
      <c r="C69" t="s">
        <v>3718</v>
      </c>
      <c r="D69" s="5" t="str">
        <f>_xlfn.XLOOKUP(FACT_OPERATIONAL_COST[[#This Row],[COST_TYPE]],DIM_COST_TYPE[COST_TYPE],DIM_COST_TYPE[CATEGORY])</f>
        <v>Labor</v>
      </c>
      <c r="E69">
        <v>6</v>
      </c>
      <c r="F69" s="5" t="s">
        <v>3815</v>
      </c>
      <c r="G69" s="4">
        <v>4800000</v>
      </c>
      <c r="H69" s="4">
        <f>FACT_OPERATIONAL_COST[[#This Row],[QTY]]*FACT_OPERATIONAL_COST[[#This Row],[Price]]</f>
        <v>28800000</v>
      </c>
    </row>
    <row r="70" spans="1:8" x14ac:dyDescent="0.2">
      <c r="A70" t="s">
        <v>3749</v>
      </c>
      <c r="B70" t="str">
        <f t="shared" si="2"/>
        <v>OC00069</v>
      </c>
      <c r="C70" s="5" t="s">
        <v>3813</v>
      </c>
      <c r="D70" s="5" t="str">
        <f>_xlfn.XLOOKUP(FACT_OPERATIONAL_COST[[#This Row],[COST_TYPE]],DIM_COST_TYPE[COST_TYPE],DIM_COST_TYPE[CATEGORY])</f>
        <v>Production</v>
      </c>
      <c r="E70">
        <v>6</v>
      </c>
      <c r="F70" s="5" t="s">
        <v>3815</v>
      </c>
      <c r="G70" s="4">
        <v>1000000</v>
      </c>
      <c r="H70" s="4">
        <f>FACT_OPERATIONAL_COST[[#This Row],[QTY]]*FACT_OPERATIONAL_COST[[#This Row],[Price]]</f>
        <v>6000000</v>
      </c>
    </row>
    <row r="71" spans="1:8" x14ac:dyDescent="0.2">
      <c r="A71" t="s">
        <v>3749</v>
      </c>
      <c r="B71" t="str">
        <f t="shared" si="2"/>
        <v>OC00070</v>
      </c>
      <c r="C71" s="5" t="s">
        <v>4024</v>
      </c>
      <c r="D71" s="5" t="str">
        <f>_xlfn.XLOOKUP(FACT_OPERATIONAL_COST[[#This Row],[COST_TYPE]],DIM_COST_TYPE[COST_TYPE],DIM_COST_TYPE[CATEGORY])</f>
        <v>Labor</v>
      </c>
      <c r="E71">
        <v>3</v>
      </c>
      <c r="F71" s="5" t="s">
        <v>3815</v>
      </c>
      <c r="G71" s="4">
        <v>4800000</v>
      </c>
      <c r="H71" s="4">
        <f>FACT_OPERATIONAL_COST[[#This Row],[QTY]]*FACT_OPERATIONAL_COST[[#This Row],[Price]]</f>
        <v>14400000</v>
      </c>
    </row>
    <row r="72" spans="1:8" x14ac:dyDescent="0.2">
      <c r="A72" t="s">
        <v>3750</v>
      </c>
      <c r="B72" t="str">
        <f t="shared" si="2"/>
        <v>OC00071</v>
      </c>
      <c r="C72" t="s">
        <v>3808</v>
      </c>
      <c r="D72" s="5" t="str">
        <f>_xlfn.XLOOKUP(FACT_OPERATIONAL_COST[[#This Row],[COST_TYPE]],DIM_COST_TYPE[COST_TYPE],DIM_COST_TYPE[CATEGORY])</f>
        <v>Utility</v>
      </c>
      <c r="E72">
        <v>1</v>
      </c>
      <c r="F72" t="s">
        <v>3814</v>
      </c>
      <c r="G72" s="4">
        <v>600000</v>
      </c>
      <c r="H72" s="4">
        <f>FACT_OPERATIONAL_COST[[#This Row],[QTY]]*FACT_OPERATIONAL_COST[[#This Row],[Price]]</f>
        <v>600000</v>
      </c>
    </row>
    <row r="73" spans="1:8" x14ac:dyDescent="0.2">
      <c r="A73" t="s">
        <v>3750</v>
      </c>
      <c r="B73" t="str">
        <f t="shared" ref="B73:B104" si="3">"OC"&amp;TEXT(ROW(B72),"00000")</f>
        <v>OC00072</v>
      </c>
      <c r="C73" t="s">
        <v>3809</v>
      </c>
      <c r="D73" s="5" t="str">
        <f>_xlfn.XLOOKUP(FACT_OPERATIONAL_COST[[#This Row],[COST_TYPE]],DIM_COST_TYPE[COST_TYPE],DIM_COST_TYPE[CATEGORY])</f>
        <v>Transport</v>
      </c>
      <c r="E73">
        <v>1</v>
      </c>
      <c r="F73" t="s">
        <v>3810</v>
      </c>
      <c r="G73" s="4">
        <v>500000</v>
      </c>
      <c r="H73" s="4">
        <f>FACT_OPERATIONAL_COST[[#This Row],[QTY]]*FACT_OPERATIONAL_COST[[#This Row],[Price]]</f>
        <v>500000</v>
      </c>
    </row>
    <row r="74" spans="1:8" x14ac:dyDescent="0.2">
      <c r="A74" t="s">
        <v>3751</v>
      </c>
      <c r="B74" t="str">
        <f t="shared" si="3"/>
        <v>OC00073</v>
      </c>
      <c r="C74" t="s">
        <v>3808</v>
      </c>
      <c r="D74" s="5" t="str">
        <f>_xlfn.XLOOKUP(FACT_OPERATIONAL_COST[[#This Row],[COST_TYPE]],DIM_COST_TYPE[COST_TYPE],DIM_COST_TYPE[CATEGORY])</f>
        <v>Utility</v>
      </c>
      <c r="E74">
        <v>1</v>
      </c>
      <c r="F74" t="s">
        <v>3814</v>
      </c>
      <c r="G74" s="4">
        <v>600000</v>
      </c>
      <c r="H74" s="4">
        <f>FACT_OPERATIONAL_COST[[#This Row],[QTY]]*FACT_OPERATIONAL_COST[[#This Row],[Price]]</f>
        <v>600000</v>
      </c>
    </row>
    <row r="75" spans="1:8" x14ac:dyDescent="0.2">
      <c r="A75" t="s">
        <v>3751</v>
      </c>
      <c r="B75" t="str">
        <f t="shared" si="3"/>
        <v>OC00074</v>
      </c>
      <c r="C75" t="s">
        <v>3809</v>
      </c>
      <c r="D75" s="5" t="str">
        <f>_xlfn.XLOOKUP(FACT_OPERATIONAL_COST[[#This Row],[COST_TYPE]],DIM_COST_TYPE[COST_TYPE],DIM_COST_TYPE[CATEGORY])</f>
        <v>Transport</v>
      </c>
      <c r="E75">
        <v>1</v>
      </c>
      <c r="F75" t="s">
        <v>3810</v>
      </c>
      <c r="G75" s="4">
        <v>500000</v>
      </c>
      <c r="H75" s="4">
        <f>FACT_OPERATIONAL_COST[[#This Row],[QTY]]*FACT_OPERATIONAL_COST[[#This Row],[Price]]</f>
        <v>500000</v>
      </c>
    </row>
    <row r="76" spans="1:8" x14ac:dyDescent="0.2">
      <c r="A76" t="s">
        <v>3752</v>
      </c>
      <c r="B76" t="str">
        <f t="shared" si="3"/>
        <v>OC00075</v>
      </c>
      <c r="C76" t="s">
        <v>3718</v>
      </c>
      <c r="D76" s="5" t="str">
        <f>_xlfn.XLOOKUP(FACT_OPERATIONAL_COST[[#This Row],[COST_TYPE]],DIM_COST_TYPE[COST_TYPE],DIM_COST_TYPE[CATEGORY])</f>
        <v>Labor</v>
      </c>
      <c r="E76">
        <v>6</v>
      </c>
      <c r="F76" s="5" t="s">
        <v>3815</v>
      </c>
      <c r="G76" s="4">
        <v>4800000</v>
      </c>
      <c r="H76" s="4">
        <f>FACT_OPERATIONAL_COST[[#This Row],[QTY]]*FACT_OPERATIONAL_COST[[#This Row],[Price]]</f>
        <v>28800000</v>
      </c>
    </row>
    <row r="77" spans="1:8" x14ac:dyDescent="0.2">
      <c r="A77" t="s">
        <v>3752</v>
      </c>
      <c r="B77" t="str">
        <f t="shared" si="3"/>
        <v>OC00076</v>
      </c>
      <c r="C77" s="5" t="s">
        <v>3813</v>
      </c>
      <c r="D77" s="5" t="str">
        <f>_xlfn.XLOOKUP(FACT_OPERATIONAL_COST[[#This Row],[COST_TYPE]],DIM_COST_TYPE[COST_TYPE],DIM_COST_TYPE[CATEGORY])</f>
        <v>Production</v>
      </c>
      <c r="E77">
        <v>6</v>
      </c>
      <c r="F77" s="5" t="s">
        <v>3815</v>
      </c>
      <c r="G77" s="4">
        <v>1000000</v>
      </c>
      <c r="H77" s="4">
        <f>FACT_OPERATIONAL_COST[[#This Row],[QTY]]*FACT_OPERATIONAL_COST[[#This Row],[Price]]</f>
        <v>6000000</v>
      </c>
    </row>
    <row r="78" spans="1:8" x14ac:dyDescent="0.2">
      <c r="A78" t="s">
        <v>3752</v>
      </c>
      <c r="B78" t="str">
        <f t="shared" si="3"/>
        <v>OC00077</v>
      </c>
      <c r="C78" s="5" t="s">
        <v>4024</v>
      </c>
      <c r="D78" s="5" t="str">
        <f>_xlfn.XLOOKUP(FACT_OPERATIONAL_COST[[#This Row],[COST_TYPE]],DIM_COST_TYPE[COST_TYPE],DIM_COST_TYPE[CATEGORY])</f>
        <v>Labor</v>
      </c>
      <c r="E78">
        <v>3</v>
      </c>
      <c r="F78" s="5" t="s">
        <v>3815</v>
      </c>
      <c r="G78" s="4">
        <v>4800000</v>
      </c>
      <c r="H78" s="4">
        <f>FACT_OPERATIONAL_COST[[#This Row],[QTY]]*FACT_OPERATIONAL_COST[[#This Row],[Price]]</f>
        <v>14400000</v>
      </c>
    </row>
    <row r="79" spans="1:8" x14ac:dyDescent="0.2">
      <c r="A79" t="s">
        <v>3753</v>
      </c>
      <c r="B79" t="str">
        <f t="shared" si="3"/>
        <v>OC00078</v>
      </c>
      <c r="C79" t="s">
        <v>3808</v>
      </c>
      <c r="D79" s="5" t="str">
        <f>_xlfn.XLOOKUP(FACT_OPERATIONAL_COST[[#This Row],[COST_TYPE]],DIM_COST_TYPE[COST_TYPE],DIM_COST_TYPE[CATEGORY])</f>
        <v>Utility</v>
      </c>
      <c r="E79">
        <v>1</v>
      </c>
      <c r="F79" t="s">
        <v>3814</v>
      </c>
      <c r="G79" s="4">
        <v>600000</v>
      </c>
      <c r="H79" s="4">
        <f>FACT_OPERATIONAL_COST[[#This Row],[QTY]]*FACT_OPERATIONAL_COST[[#This Row],[Price]]</f>
        <v>600000</v>
      </c>
    </row>
    <row r="80" spans="1:8" x14ac:dyDescent="0.2">
      <c r="A80" t="s">
        <v>3753</v>
      </c>
      <c r="B80" t="str">
        <f t="shared" si="3"/>
        <v>OC00079</v>
      </c>
      <c r="C80" t="s">
        <v>3809</v>
      </c>
      <c r="D80" s="5" t="str">
        <f>_xlfn.XLOOKUP(FACT_OPERATIONAL_COST[[#This Row],[COST_TYPE]],DIM_COST_TYPE[COST_TYPE],DIM_COST_TYPE[CATEGORY])</f>
        <v>Transport</v>
      </c>
      <c r="E80">
        <v>1</v>
      </c>
      <c r="F80" t="s">
        <v>3810</v>
      </c>
      <c r="G80" s="4">
        <v>500000</v>
      </c>
      <c r="H80" s="4">
        <f>FACT_OPERATIONAL_COST[[#This Row],[QTY]]*FACT_OPERATIONAL_COST[[#This Row],[Price]]</f>
        <v>500000</v>
      </c>
    </row>
    <row r="81" spans="1:8" x14ac:dyDescent="0.2">
      <c r="A81" t="s">
        <v>3754</v>
      </c>
      <c r="B81" t="str">
        <f t="shared" si="3"/>
        <v>OC00080</v>
      </c>
      <c r="C81" t="s">
        <v>3808</v>
      </c>
      <c r="D81" s="5" t="str">
        <f>_xlfn.XLOOKUP(FACT_OPERATIONAL_COST[[#This Row],[COST_TYPE]],DIM_COST_TYPE[COST_TYPE],DIM_COST_TYPE[CATEGORY])</f>
        <v>Utility</v>
      </c>
      <c r="E81">
        <v>1</v>
      </c>
      <c r="F81" t="s">
        <v>3814</v>
      </c>
      <c r="G81" s="4">
        <v>600000</v>
      </c>
      <c r="H81" s="4">
        <f>FACT_OPERATIONAL_COST[[#This Row],[QTY]]*FACT_OPERATIONAL_COST[[#This Row],[Price]]</f>
        <v>600000</v>
      </c>
    </row>
    <row r="82" spans="1:8" x14ac:dyDescent="0.2">
      <c r="A82" t="s">
        <v>3754</v>
      </c>
      <c r="B82" t="str">
        <f t="shared" si="3"/>
        <v>OC00081</v>
      </c>
      <c r="C82" t="s">
        <v>3809</v>
      </c>
      <c r="D82" s="5" t="str">
        <f>_xlfn.XLOOKUP(FACT_OPERATIONAL_COST[[#This Row],[COST_TYPE]],DIM_COST_TYPE[COST_TYPE],DIM_COST_TYPE[CATEGORY])</f>
        <v>Transport</v>
      </c>
      <c r="E82">
        <v>1</v>
      </c>
      <c r="F82" t="s">
        <v>3810</v>
      </c>
      <c r="G82" s="4">
        <v>500000</v>
      </c>
      <c r="H82" s="4">
        <f>FACT_OPERATIONAL_COST[[#This Row],[QTY]]*FACT_OPERATIONAL_COST[[#This Row],[Price]]</f>
        <v>500000</v>
      </c>
    </row>
    <row r="83" spans="1:8" x14ac:dyDescent="0.2">
      <c r="A83" t="s">
        <v>3755</v>
      </c>
      <c r="B83" t="str">
        <f t="shared" si="3"/>
        <v>OC00082</v>
      </c>
      <c r="C83" t="s">
        <v>3718</v>
      </c>
      <c r="D83" s="5" t="str">
        <f>_xlfn.XLOOKUP(FACT_OPERATIONAL_COST[[#This Row],[COST_TYPE]],DIM_COST_TYPE[COST_TYPE],DIM_COST_TYPE[CATEGORY])</f>
        <v>Labor</v>
      </c>
      <c r="E83">
        <v>6</v>
      </c>
      <c r="F83" s="5" t="s">
        <v>3815</v>
      </c>
      <c r="G83" s="4">
        <v>4800000</v>
      </c>
      <c r="H83" s="4">
        <f>FACT_OPERATIONAL_COST[[#This Row],[QTY]]*FACT_OPERATIONAL_COST[[#This Row],[Price]]</f>
        <v>28800000</v>
      </c>
    </row>
    <row r="84" spans="1:8" x14ac:dyDescent="0.2">
      <c r="A84" t="s">
        <v>3755</v>
      </c>
      <c r="B84" t="str">
        <f t="shared" si="3"/>
        <v>OC00083</v>
      </c>
      <c r="C84" s="5" t="s">
        <v>3813</v>
      </c>
      <c r="D84" s="5" t="str">
        <f>_xlfn.XLOOKUP(FACT_OPERATIONAL_COST[[#This Row],[COST_TYPE]],DIM_COST_TYPE[COST_TYPE],DIM_COST_TYPE[CATEGORY])</f>
        <v>Production</v>
      </c>
      <c r="E84">
        <v>6</v>
      </c>
      <c r="F84" s="5" t="s">
        <v>3815</v>
      </c>
      <c r="G84" s="4">
        <v>1000000</v>
      </c>
      <c r="H84" s="4">
        <f>FACT_OPERATIONAL_COST[[#This Row],[QTY]]*FACT_OPERATIONAL_COST[[#This Row],[Price]]</f>
        <v>6000000</v>
      </c>
    </row>
    <row r="85" spans="1:8" x14ac:dyDescent="0.2">
      <c r="A85" t="s">
        <v>3755</v>
      </c>
      <c r="B85" t="str">
        <f t="shared" si="3"/>
        <v>OC00084</v>
      </c>
      <c r="C85" s="5" t="s">
        <v>4024</v>
      </c>
      <c r="D85" s="5" t="str">
        <f>_xlfn.XLOOKUP(FACT_OPERATIONAL_COST[[#This Row],[COST_TYPE]],DIM_COST_TYPE[COST_TYPE],DIM_COST_TYPE[CATEGORY])</f>
        <v>Labor</v>
      </c>
      <c r="E85">
        <v>3</v>
      </c>
      <c r="F85" s="5" t="s">
        <v>3815</v>
      </c>
      <c r="G85" s="4">
        <v>4800000</v>
      </c>
      <c r="H85" s="4">
        <f>FACT_OPERATIONAL_COST[[#This Row],[QTY]]*FACT_OPERATIONAL_COST[[#This Row],[Price]]</f>
        <v>14400000</v>
      </c>
    </row>
    <row r="86" spans="1:8" x14ac:dyDescent="0.2">
      <c r="A86" t="s">
        <v>3756</v>
      </c>
      <c r="B86" t="str">
        <f t="shared" si="3"/>
        <v>OC00085</v>
      </c>
      <c r="C86" t="s">
        <v>3808</v>
      </c>
      <c r="D86" s="5" t="str">
        <f>_xlfn.XLOOKUP(FACT_OPERATIONAL_COST[[#This Row],[COST_TYPE]],DIM_COST_TYPE[COST_TYPE],DIM_COST_TYPE[CATEGORY])</f>
        <v>Utility</v>
      </c>
      <c r="E86">
        <v>1</v>
      </c>
      <c r="F86" t="s">
        <v>3814</v>
      </c>
      <c r="G86" s="4">
        <v>600000</v>
      </c>
      <c r="H86" s="4">
        <f>FACT_OPERATIONAL_COST[[#This Row],[QTY]]*FACT_OPERATIONAL_COST[[#This Row],[Price]]</f>
        <v>600000</v>
      </c>
    </row>
    <row r="87" spans="1:8" x14ac:dyDescent="0.2">
      <c r="A87" t="s">
        <v>3756</v>
      </c>
      <c r="B87" t="str">
        <f t="shared" si="3"/>
        <v>OC00086</v>
      </c>
      <c r="C87" t="s">
        <v>3809</v>
      </c>
      <c r="D87" s="5" t="str">
        <f>_xlfn.XLOOKUP(FACT_OPERATIONAL_COST[[#This Row],[COST_TYPE]],DIM_COST_TYPE[COST_TYPE],DIM_COST_TYPE[CATEGORY])</f>
        <v>Transport</v>
      </c>
      <c r="E87">
        <v>1</v>
      </c>
      <c r="F87" t="s">
        <v>3810</v>
      </c>
      <c r="G87" s="4">
        <v>500000</v>
      </c>
      <c r="H87" s="4">
        <f>FACT_OPERATIONAL_COST[[#This Row],[QTY]]*FACT_OPERATIONAL_COST[[#This Row],[Price]]</f>
        <v>500000</v>
      </c>
    </row>
    <row r="88" spans="1:8" x14ac:dyDescent="0.2">
      <c r="A88" t="s">
        <v>3757</v>
      </c>
      <c r="B88" t="str">
        <f t="shared" si="3"/>
        <v>OC00087</v>
      </c>
      <c r="C88" t="s">
        <v>3808</v>
      </c>
      <c r="D88" s="5" t="str">
        <f>_xlfn.XLOOKUP(FACT_OPERATIONAL_COST[[#This Row],[COST_TYPE]],DIM_COST_TYPE[COST_TYPE],DIM_COST_TYPE[CATEGORY])</f>
        <v>Utility</v>
      </c>
      <c r="E88">
        <v>1</v>
      </c>
      <c r="F88" t="s">
        <v>3814</v>
      </c>
      <c r="G88" s="4">
        <v>600000</v>
      </c>
      <c r="H88" s="4">
        <f>FACT_OPERATIONAL_COST[[#This Row],[QTY]]*FACT_OPERATIONAL_COST[[#This Row],[Price]]</f>
        <v>600000</v>
      </c>
    </row>
    <row r="89" spans="1:8" x14ac:dyDescent="0.2">
      <c r="A89" t="s">
        <v>3757</v>
      </c>
      <c r="B89" t="str">
        <f t="shared" si="3"/>
        <v>OC00088</v>
      </c>
      <c r="C89" t="s">
        <v>3809</v>
      </c>
      <c r="D89" s="5" t="str">
        <f>_xlfn.XLOOKUP(FACT_OPERATIONAL_COST[[#This Row],[COST_TYPE]],DIM_COST_TYPE[COST_TYPE],DIM_COST_TYPE[CATEGORY])</f>
        <v>Transport</v>
      </c>
      <c r="E89">
        <v>1</v>
      </c>
      <c r="F89" t="s">
        <v>3810</v>
      </c>
      <c r="G89" s="4">
        <v>500000</v>
      </c>
      <c r="H89" s="4">
        <f>FACT_OPERATIONAL_COST[[#This Row],[QTY]]*FACT_OPERATIONAL_COST[[#This Row],[Price]]</f>
        <v>500000</v>
      </c>
    </row>
    <row r="90" spans="1:8" x14ac:dyDescent="0.2">
      <c r="A90" t="s">
        <v>3758</v>
      </c>
      <c r="B90" t="str">
        <f t="shared" si="3"/>
        <v>OC00089</v>
      </c>
      <c r="C90" t="s">
        <v>3718</v>
      </c>
      <c r="D90" s="5" t="str">
        <f>_xlfn.XLOOKUP(FACT_OPERATIONAL_COST[[#This Row],[COST_TYPE]],DIM_COST_TYPE[COST_TYPE],DIM_COST_TYPE[CATEGORY])</f>
        <v>Labor</v>
      </c>
      <c r="E90">
        <v>6</v>
      </c>
      <c r="F90" s="5" t="s">
        <v>3815</v>
      </c>
      <c r="G90" s="4">
        <v>4800000</v>
      </c>
      <c r="H90" s="4">
        <f>FACT_OPERATIONAL_COST[[#This Row],[QTY]]*FACT_OPERATIONAL_COST[[#This Row],[Price]]</f>
        <v>28800000</v>
      </c>
    </row>
    <row r="91" spans="1:8" x14ac:dyDescent="0.2">
      <c r="A91" t="s">
        <v>3758</v>
      </c>
      <c r="B91" t="str">
        <f t="shared" si="3"/>
        <v>OC00090</v>
      </c>
      <c r="C91" s="5" t="s">
        <v>3813</v>
      </c>
      <c r="D91" s="5" t="str">
        <f>_xlfn.XLOOKUP(FACT_OPERATIONAL_COST[[#This Row],[COST_TYPE]],DIM_COST_TYPE[COST_TYPE],DIM_COST_TYPE[CATEGORY])</f>
        <v>Production</v>
      </c>
      <c r="E91">
        <v>6</v>
      </c>
      <c r="F91" s="5" t="s">
        <v>3815</v>
      </c>
      <c r="G91" s="4">
        <v>1000000</v>
      </c>
      <c r="H91" s="4">
        <f>FACT_OPERATIONAL_COST[[#This Row],[QTY]]*FACT_OPERATIONAL_COST[[#This Row],[Price]]</f>
        <v>6000000</v>
      </c>
    </row>
    <row r="92" spans="1:8" x14ac:dyDescent="0.2">
      <c r="A92" t="s">
        <v>3758</v>
      </c>
      <c r="B92" t="str">
        <f t="shared" si="3"/>
        <v>OC00091</v>
      </c>
      <c r="C92" s="5" t="s">
        <v>4024</v>
      </c>
      <c r="D92" s="5" t="str">
        <f>_xlfn.XLOOKUP(FACT_OPERATIONAL_COST[[#This Row],[COST_TYPE]],DIM_COST_TYPE[COST_TYPE],DIM_COST_TYPE[CATEGORY])</f>
        <v>Labor</v>
      </c>
      <c r="E92">
        <v>3</v>
      </c>
      <c r="F92" s="5" t="s">
        <v>3815</v>
      </c>
      <c r="G92" s="4">
        <v>4800000</v>
      </c>
      <c r="H92" s="4">
        <f>FACT_OPERATIONAL_COST[[#This Row],[QTY]]*FACT_OPERATIONAL_COST[[#This Row],[Price]]</f>
        <v>14400000</v>
      </c>
    </row>
    <row r="93" spans="1:8" x14ac:dyDescent="0.2">
      <c r="A93" t="s">
        <v>3759</v>
      </c>
      <c r="B93" t="str">
        <f t="shared" si="3"/>
        <v>OC00092</v>
      </c>
      <c r="C93" t="s">
        <v>3808</v>
      </c>
      <c r="D93" s="5" t="str">
        <f>_xlfn.XLOOKUP(FACT_OPERATIONAL_COST[[#This Row],[COST_TYPE]],DIM_COST_TYPE[COST_TYPE],DIM_COST_TYPE[CATEGORY])</f>
        <v>Utility</v>
      </c>
      <c r="E93">
        <v>1</v>
      </c>
      <c r="F93" t="s">
        <v>3814</v>
      </c>
      <c r="G93" s="4">
        <v>600000</v>
      </c>
      <c r="H93" s="4">
        <f>FACT_OPERATIONAL_COST[[#This Row],[QTY]]*FACT_OPERATIONAL_COST[[#This Row],[Price]]</f>
        <v>600000</v>
      </c>
    </row>
    <row r="94" spans="1:8" x14ac:dyDescent="0.2">
      <c r="A94" t="s">
        <v>3759</v>
      </c>
      <c r="B94" t="str">
        <f t="shared" si="3"/>
        <v>OC00093</v>
      </c>
      <c r="C94" t="s">
        <v>3809</v>
      </c>
      <c r="D94" s="5" t="str">
        <f>_xlfn.XLOOKUP(FACT_OPERATIONAL_COST[[#This Row],[COST_TYPE]],DIM_COST_TYPE[COST_TYPE],DIM_COST_TYPE[CATEGORY])</f>
        <v>Transport</v>
      </c>
      <c r="E94">
        <v>1</v>
      </c>
      <c r="F94" t="s">
        <v>3810</v>
      </c>
      <c r="G94" s="4">
        <v>500000</v>
      </c>
      <c r="H94" s="4">
        <f>FACT_OPERATIONAL_COST[[#This Row],[QTY]]*FACT_OPERATIONAL_COST[[#This Row],[Price]]</f>
        <v>500000</v>
      </c>
    </row>
    <row r="95" spans="1:8" x14ac:dyDescent="0.2">
      <c r="A95" t="s">
        <v>3760</v>
      </c>
      <c r="B95" t="str">
        <f t="shared" si="3"/>
        <v>OC00094</v>
      </c>
      <c r="C95" t="s">
        <v>3808</v>
      </c>
      <c r="D95" s="5" t="str">
        <f>_xlfn.XLOOKUP(FACT_OPERATIONAL_COST[[#This Row],[COST_TYPE]],DIM_COST_TYPE[COST_TYPE],DIM_COST_TYPE[CATEGORY])</f>
        <v>Utility</v>
      </c>
      <c r="E95">
        <v>1</v>
      </c>
      <c r="F95" t="s">
        <v>3814</v>
      </c>
      <c r="G95" s="4">
        <v>600000</v>
      </c>
      <c r="H95" s="4">
        <f>FACT_OPERATIONAL_COST[[#This Row],[QTY]]*FACT_OPERATIONAL_COST[[#This Row],[Price]]</f>
        <v>600000</v>
      </c>
    </row>
    <row r="96" spans="1:8" x14ac:dyDescent="0.2">
      <c r="A96" t="s">
        <v>3760</v>
      </c>
      <c r="B96" t="str">
        <f t="shared" si="3"/>
        <v>OC00095</v>
      </c>
      <c r="C96" t="s">
        <v>3809</v>
      </c>
      <c r="D96" s="5" t="str">
        <f>_xlfn.XLOOKUP(FACT_OPERATIONAL_COST[[#This Row],[COST_TYPE]],DIM_COST_TYPE[COST_TYPE],DIM_COST_TYPE[CATEGORY])</f>
        <v>Transport</v>
      </c>
      <c r="E96">
        <v>1</v>
      </c>
      <c r="F96" t="s">
        <v>3810</v>
      </c>
      <c r="G96" s="4">
        <v>500000</v>
      </c>
      <c r="H96" s="4">
        <f>FACT_OPERATIONAL_COST[[#This Row],[QTY]]*FACT_OPERATIONAL_COST[[#This Row],[Price]]</f>
        <v>500000</v>
      </c>
    </row>
    <row r="97" spans="1:8" x14ac:dyDescent="0.2">
      <c r="A97" t="s">
        <v>3761</v>
      </c>
      <c r="B97" t="str">
        <f t="shared" si="3"/>
        <v>OC00096</v>
      </c>
      <c r="C97" t="s">
        <v>3718</v>
      </c>
      <c r="D97" s="5" t="str">
        <f>_xlfn.XLOOKUP(FACT_OPERATIONAL_COST[[#This Row],[COST_TYPE]],DIM_COST_TYPE[COST_TYPE],DIM_COST_TYPE[CATEGORY])</f>
        <v>Labor</v>
      </c>
      <c r="E97">
        <v>6</v>
      </c>
      <c r="F97" s="5" t="s">
        <v>3815</v>
      </c>
      <c r="G97" s="4">
        <v>4800000</v>
      </c>
      <c r="H97" s="4">
        <f>FACT_OPERATIONAL_COST[[#This Row],[QTY]]*FACT_OPERATIONAL_COST[[#This Row],[Price]]</f>
        <v>28800000</v>
      </c>
    </row>
    <row r="98" spans="1:8" x14ac:dyDescent="0.2">
      <c r="A98" t="s">
        <v>3761</v>
      </c>
      <c r="B98" t="str">
        <f t="shared" si="3"/>
        <v>OC00097</v>
      </c>
      <c r="C98" s="5" t="s">
        <v>3813</v>
      </c>
      <c r="D98" s="5" t="str">
        <f>_xlfn.XLOOKUP(FACT_OPERATIONAL_COST[[#This Row],[COST_TYPE]],DIM_COST_TYPE[COST_TYPE],DIM_COST_TYPE[CATEGORY])</f>
        <v>Production</v>
      </c>
      <c r="E98">
        <v>6</v>
      </c>
      <c r="F98" s="5" t="s">
        <v>3815</v>
      </c>
      <c r="G98" s="4">
        <v>1000000</v>
      </c>
      <c r="H98" s="4">
        <f>FACT_OPERATIONAL_COST[[#This Row],[QTY]]*FACT_OPERATIONAL_COST[[#This Row],[Price]]</f>
        <v>6000000</v>
      </c>
    </row>
    <row r="99" spans="1:8" x14ac:dyDescent="0.2">
      <c r="A99" t="s">
        <v>3761</v>
      </c>
      <c r="B99" t="str">
        <f t="shared" si="3"/>
        <v>OC00098</v>
      </c>
      <c r="C99" s="5" t="s">
        <v>4024</v>
      </c>
      <c r="D99" s="5" t="str">
        <f>_xlfn.XLOOKUP(FACT_OPERATIONAL_COST[[#This Row],[COST_TYPE]],DIM_COST_TYPE[COST_TYPE],DIM_COST_TYPE[CATEGORY])</f>
        <v>Labor</v>
      </c>
      <c r="E99">
        <v>3</v>
      </c>
      <c r="F99" s="5" t="s">
        <v>3815</v>
      </c>
      <c r="G99" s="4">
        <v>4800000</v>
      </c>
      <c r="H99" s="4">
        <f>FACT_OPERATIONAL_COST[[#This Row],[QTY]]*FACT_OPERATIONAL_COST[[#This Row],[Price]]</f>
        <v>14400000</v>
      </c>
    </row>
    <row r="100" spans="1:8" x14ac:dyDescent="0.2">
      <c r="A100" t="s">
        <v>3762</v>
      </c>
      <c r="B100" t="str">
        <f t="shared" si="3"/>
        <v>OC00099</v>
      </c>
      <c r="C100" t="s">
        <v>3808</v>
      </c>
      <c r="D100" s="5" t="str">
        <f>_xlfn.XLOOKUP(FACT_OPERATIONAL_COST[[#This Row],[COST_TYPE]],DIM_COST_TYPE[COST_TYPE],DIM_COST_TYPE[CATEGORY])</f>
        <v>Utility</v>
      </c>
      <c r="E100">
        <v>1</v>
      </c>
      <c r="F100" t="s">
        <v>3814</v>
      </c>
      <c r="G100" s="4">
        <v>600000</v>
      </c>
      <c r="H100" s="4">
        <f>FACT_OPERATIONAL_COST[[#This Row],[QTY]]*FACT_OPERATIONAL_COST[[#This Row],[Price]]</f>
        <v>600000</v>
      </c>
    </row>
    <row r="101" spans="1:8" x14ac:dyDescent="0.2">
      <c r="A101" t="s">
        <v>3762</v>
      </c>
      <c r="B101" t="str">
        <f t="shared" si="3"/>
        <v>OC00100</v>
      </c>
      <c r="C101" t="s">
        <v>3809</v>
      </c>
      <c r="D101" s="5" t="str">
        <f>_xlfn.XLOOKUP(FACT_OPERATIONAL_COST[[#This Row],[COST_TYPE]],DIM_COST_TYPE[COST_TYPE],DIM_COST_TYPE[CATEGORY])</f>
        <v>Transport</v>
      </c>
      <c r="E101">
        <v>1</v>
      </c>
      <c r="F101" t="s">
        <v>3810</v>
      </c>
      <c r="G101" s="4">
        <v>500000</v>
      </c>
      <c r="H101" s="4">
        <f>FACT_OPERATIONAL_COST[[#This Row],[QTY]]*FACT_OPERATIONAL_COST[[#This Row],[Price]]</f>
        <v>500000</v>
      </c>
    </row>
    <row r="102" spans="1:8" x14ac:dyDescent="0.2">
      <c r="A102" t="s">
        <v>3763</v>
      </c>
      <c r="B102" t="str">
        <f t="shared" si="3"/>
        <v>OC00101</v>
      </c>
      <c r="C102" t="s">
        <v>3808</v>
      </c>
      <c r="D102" s="5" t="str">
        <f>_xlfn.XLOOKUP(FACT_OPERATIONAL_COST[[#This Row],[COST_TYPE]],DIM_COST_TYPE[COST_TYPE],DIM_COST_TYPE[CATEGORY])</f>
        <v>Utility</v>
      </c>
      <c r="E102">
        <v>1</v>
      </c>
      <c r="F102" t="s">
        <v>3814</v>
      </c>
      <c r="G102" s="4">
        <v>600000</v>
      </c>
      <c r="H102" s="4">
        <f>FACT_OPERATIONAL_COST[[#This Row],[QTY]]*FACT_OPERATIONAL_COST[[#This Row],[Price]]</f>
        <v>600000</v>
      </c>
    </row>
    <row r="103" spans="1:8" x14ac:dyDescent="0.2">
      <c r="A103" t="s">
        <v>3763</v>
      </c>
      <c r="B103" t="str">
        <f t="shared" si="3"/>
        <v>OC00102</v>
      </c>
      <c r="C103" t="s">
        <v>3809</v>
      </c>
      <c r="D103" s="5" t="str">
        <f>_xlfn.XLOOKUP(FACT_OPERATIONAL_COST[[#This Row],[COST_TYPE]],DIM_COST_TYPE[COST_TYPE],DIM_COST_TYPE[CATEGORY])</f>
        <v>Transport</v>
      </c>
      <c r="E103">
        <v>1</v>
      </c>
      <c r="F103" t="s">
        <v>3810</v>
      </c>
      <c r="G103" s="4">
        <v>500000</v>
      </c>
      <c r="H103" s="4">
        <f>FACT_OPERATIONAL_COST[[#This Row],[QTY]]*FACT_OPERATIONAL_COST[[#This Row],[Price]]</f>
        <v>500000</v>
      </c>
    </row>
    <row r="104" spans="1:8" x14ac:dyDescent="0.2">
      <c r="A104" t="s">
        <v>3764</v>
      </c>
      <c r="B104" t="str">
        <f t="shared" si="3"/>
        <v>OC00103</v>
      </c>
      <c r="C104" t="s">
        <v>3718</v>
      </c>
      <c r="D104" s="5" t="str">
        <f>_xlfn.XLOOKUP(FACT_OPERATIONAL_COST[[#This Row],[COST_TYPE]],DIM_COST_TYPE[COST_TYPE],DIM_COST_TYPE[CATEGORY])</f>
        <v>Labor</v>
      </c>
      <c r="E104">
        <v>6</v>
      </c>
      <c r="F104" s="5" t="s">
        <v>3815</v>
      </c>
      <c r="G104" s="4">
        <v>4800000</v>
      </c>
      <c r="H104" s="4">
        <f>FACT_OPERATIONAL_COST[[#This Row],[QTY]]*FACT_OPERATIONAL_COST[[#This Row],[Price]]</f>
        <v>28800000</v>
      </c>
    </row>
    <row r="105" spans="1:8" x14ac:dyDescent="0.2">
      <c r="A105" t="s">
        <v>3764</v>
      </c>
      <c r="B105" t="str">
        <f t="shared" ref="B105:B136" si="4">"OC"&amp;TEXT(ROW(B104),"00000")</f>
        <v>OC00104</v>
      </c>
      <c r="C105" s="5" t="s">
        <v>3813</v>
      </c>
      <c r="D105" s="5" t="str">
        <f>_xlfn.XLOOKUP(FACT_OPERATIONAL_COST[[#This Row],[COST_TYPE]],DIM_COST_TYPE[COST_TYPE],DIM_COST_TYPE[CATEGORY])</f>
        <v>Production</v>
      </c>
      <c r="E105">
        <v>6</v>
      </c>
      <c r="F105" s="5" t="s">
        <v>3815</v>
      </c>
      <c r="G105" s="4">
        <v>1000000</v>
      </c>
      <c r="H105" s="4">
        <f>FACT_OPERATIONAL_COST[[#This Row],[QTY]]*FACT_OPERATIONAL_COST[[#This Row],[Price]]</f>
        <v>6000000</v>
      </c>
    </row>
    <row r="106" spans="1:8" x14ac:dyDescent="0.2">
      <c r="A106" t="s">
        <v>3764</v>
      </c>
      <c r="B106" t="str">
        <f t="shared" si="4"/>
        <v>OC00105</v>
      </c>
      <c r="C106" s="5" t="s">
        <v>4024</v>
      </c>
      <c r="D106" s="5" t="str">
        <f>_xlfn.XLOOKUP(FACT_OPERATIONAL_COST[[#This Row],[COST_TYPE]],DIM_COST_TYPE[COST_TYPE],DIM_COST_TYPE[CATEGORY])</f>
        <v>Labor</v>
      </c>
      <c r="E106">
        <v>3</v>
      </c>
      <c r="F106" s="5" t="s">
        <v>3815</v>
      </c>
      <c r="G106" s="4">
        <v>4800000</v>
      </c>
      <c r="H106" s="4">
        <f>FACT_OPERATIONAL_COST[[#This Row],[QTY]]*FACT_OPERATIONAL_COST[[#This Row],[Price]]</f>
        <v>14400000</v>
      </c>
    </row>
    <row r="107" spans="1:8" x14ac:dyDescent="0.2">
      <c r="A107" t="s">
        <v>3765</v>
      </c>
      <c r="B107" t="str">
        <f t="shared" si="4"/>
        <v>OC00106</v>
      </c>
      <c r="C107" t="s">
        <v>3808</v>
      </c>
      <c r="D107" s="5" t="str">
        <f>_xlfn.XLOOKUP(FACT_OPERATIONAL_COST[[#This Row],[COST_TYPE]],DIM_COST_TYPE[COST_TYPE],DIM_COST_TYPE[CATEGORY])</f>
        <v>Utility</v>
      </c>
      <c r="E107">
        <v>1</v>
      </c>
      <c r="F107" t="s">
        <v>3814</v>
      </c>
      <c r="G107" s="4">
        <v>600000</v>
      </c>
      <c r="H107" s="4">
        <f>FACT_OPERATIONAL_COST[[#This Row],[QTY]]*FACT_OPERATIONAL_COST[[#This Row],[Price]]</f>
        <v>600000</v>
      </c>
    </row>
    <row r="108" spans="1:8" x14ac:dyDescent="0.2">
      <c r="A108" t="s">
        <v>3765</v>
      </c>
      <c r="B108" t="str">
        <f t="shared" si="4"/>
        <v>OC00107</v>
      </c>
      <c r="C108" t="s">
        <v>3809</v>
      </c>
      <c r="D108" s="5" t="str">
        <f>_xlfn.XLOOKUP(FACT_OPERATIONAL_COST[[#This Row],[COST_TYPE]],DIM_COST_TYPE[COST_TYPE],DIM_COST_TYPE[CATEGORY])</f>
        <v>Transport</v>
      </c>
      <c r="E108">
        <v>1</v>
      </c>
      <c r="F108" t="s">
        <v>3810</v>
      </c>
      <c r="G108" s="4">
        <v>500000</v>
      </c>
      <c r="H108" s="4">
        <f>FACT_OPERATIONAL_COST[[#This Row],[QTY]]*FACT_OPERATIONAL_COST[[#This Row],[Price]]</f>
        <v>500000</v>
      </c>
    </row>
    <row r="109" spans="1:8" x14ac:dyDescent="0.2">
      <c r="A109" t="s">
        <v>3766</v>
      </c>
      <c r="B109" t="str">
        <f t="shared" si="4"/>
        <v>OC00108</v>
      </c>
      <c r="C109" t="s">
        <v>3808</v>
      </c>
      <c r="D109" s="5" t="str">
        <f>_xlfn.XLOOKUP(FACT_OPERATIONAL_COST[[#This Row],[COST_TYPE]],DIM_COST_TYPE[COST_TYPE],DIM_COST_TYPE[CATEGORY])</f>
        <v>Utility</v>
      </c>
      <c r="E109">
        <v>1</v>
      </c>
      <c r="F109" t="s">
        <v>3814</v>
      </c>
      <c r="G109" s="4">
        <v>600000</v>
      </c>
      <c r="H109" s="4">
        <f>FACT_OPERATIONAL_COST[[#This Row],[QTY]]*FACT_OPERATIONAL_COST[[#This Row],[Price]]</f>
        <v>600000</v>
      </c>
    </row>
    <row r="110" spans="1:8" x14ac:dyDescent="0.2">
      <c r="A110" t="s">
        <v>3766</v>
      </c>
      <c r="B110" t="str">
        <f t="shared" si="4"/>
        <v>OC00109</v>
      </c>
      <c r="C110" t="s">
        <v>3809</v>
      </c>
      <c r="D110" s="5" t="str">
        <f>_xlfn.XLOOKUP(FACT_OPERATIONAL_COST[[#This Row],[COST_TYPE]],DIM_COST_TYPE[COST_TYPE],DIM_COST_TYPE[CATEGORY])</f>
        <v>Transport</v>
      </c>
      <c r="E110">
        <v>1</v>
      </c>
      <c r="F110" t="s">
        <v>3810</v>
      </c>
      <c r="G110" s="4">
        <v>500000</v>
      </c>
      <c r="H110" s="4">
        <f>FACT_OPERATIONAL_COST[[#This Row],[QTY]]*FACT_OPERATIONAL_COST[[#This Row],[Price]]</f>
        <v>500000</v>
      </c>
    </row>
    <row r="111" spans="1:8" x14ac:dyDescent="0.2">
      <c r="A111" t="s">
        <v>3767</v>
      </c>
      <c r="B111" t="str">
        <f t="shared" si="4"/>
        <v>OC00110</v>
      </c>
      <c r="C111" t="s">
        <v>3718</v>
      </c>
      <c r="D111" s="5" t="str">
        <f>_xlfn.XLOOKUP(FACT_OPERATIONAL_COST[[#This Row],[COST_TYPE]],DIM_COST_TYPE[COST_TYPE],DIM_COST_TYPE[CATEGORY])</f>
        <v>Labor</v>
      </c>
      <c r="E111">
        <v>6</v>
      </c>
      <c r="F111" s="5" t="s">
        <v>3815</v>
      </c>
      <c r="G111" s="4">
        <v>4800000</v>
      </c>
      <c r="H111" s="4">
        <f>FACT_OPERATIONAL_COST[[#This Row],[QTY]]*FACT_OPERATIONAL_COST[[#This Row],[Price]]</f>
        <v>28800000</v>
      </c>
    </row>
    <row r="112" spans="1:8" x14ac:dyDescent="0.2">
      <c r="A112" t="s">
        <v>3767</v>
      </c>
      <c r="B112" t="str">
        <f t="shared" si="4"/>
        <v>OC00111</v>
      </c>
      <c r="C112" s="5" t="s">
        <v>3813</v>
      </c>
      <c r="D112" s="5" t="str">
        <f>_xlfn.XLOOKUP(FACT_OPERATIONAL_COST[[#This Row],[COST_TYPE]],DIM_COST_TYPE[COST_TYPE],DIM_COST_TYPE[CATEGORY])</f>
        <v>Production</v>
      </c>
      <c r="E112">
        <v>6</v>
      </c>
      <c r="F112" s="5" t="s">
        <v>3815</v>
      </c>
      <c r="G112" s="4">
        <v>1000000</v>
      </c>
      <c r="H112" s="4">
        <f>FACT_OPERATIONAL_COST[[#This Row],[QTY]]*FACT_OPERATIONAL_COST[[#This Row],[Price]]</f>
        <v>6000000</v>
      </c>
    </row>
    <row r="113" spans="1:8" x14ac:dyDescent="0.2">
      <c r="A113" t="s">
        <v>3767</v>
      </c>
      <c r="B113" t="str">
        <f t="shared" si="4"/>
        <v>OC00112</v>
      </c>
      <c r="C113" s="5" t="s">
        <v>4024</v>
      </c>
      <c r="D113" s="5" t="str">
        <f>_xlfn.XLOOKUP(FACT_OPERATIONAL_COST[[#This Row],[COST_TYPE]],DIM_COST_TYPE[COST_TYPE],DIM_COST_TYPE[CATEGORY])</f>
        <v>Labor</v>
      </c>
      <c r="E113">
        <v>3</v>
      </c>
      <c r="F113" s="5" t="s">
        <v>3815</v>
      </c>
      <c r="G113" s="4">
        <v>4800000</v>
      </c>
      <c r="H113" s="4">
        <f>FACT_OPERATIONAL_COST[[#This Row],[QTY]]*FACT_OPERATIONAL_COST[[#This Row],[Price]]</f>
        <v>14400000</v>
      </c>
    </row>
    <row r="114" spans="1:8" x14ac:dyDescent="0.2">
      <c r="A114" t="s">
        <v>3768</v>
      </c>
      <c r="B114" t="str">
        <f t="shared" si="4"/>
        <v>OC00113</v>
      </c>
      <c r="C114" t="s">
        <v>3808</v>
      </c>
      <c r="D114" s="5" t="str">
        <f>_xlfn.XLOOKUP(FACT_OPERATIONAL_COST[[#This Row],[COST_TYPE]],DIM_COST_TYPE[COST_TYPE],DIM_COST_TYPE[CATEGORY])</f>
        <v>Utility</v>
      </c>
      <c r="E114">
        <v>1</v>
      </c>
      <c r="F114" t="s">
        <v>3814</v>
      </c>
      <c r="G114" s="4">
        <v>600000</v>
      </c>
      <c r="H114" s="4">
        <f>FACT_OPERATIONAL_COST[[#This Row],[QTY]]*FACT_OPERATIONAL_COST[[#This Row],[Price]]</f>
        <v>600000</v>
      </c>
    </row>
    <row r="115" spans="1:8" x14ac:dyDescent="0.2">
      <c r="A115" t="s">
        <v>3768</v>
      </c>
      <c r="B115" t="str">
        <f t="shared" si="4"/>
        <v>OC00114</v>
      </c>
      <c r="C115" t="s">
        <v>3809</v>
      </c>
      <c r="D115" s="5" t="str">
        <f>_xlfn.XLOOKUP(FACT_OPERATIONAL_COST[[#This Row],[COST_TYPE]],DIM_COST_TYPE[COST_TYPE],DIM_COST_TYPE[CATEGORY])</f>
        <v>Transport</v>
      </c>
      <c r="E115">
        <v>1</v>
      </c>
      <c r="F115" t="s">
        <v>3810</v>
      </c>
      <c r="G115" s="4">
        <v>500000</v>
      </c>
      <c r="H115" s="4">
        <f>FACT_OPERATIONAL_COST[[#This Row],[QTY]]*FACT_OPERATIONAL_COST[[#This Row],[Price]]</f>
        <v>500000</v>
      </c>
    </row>
    <row r="116" spans="1:8" x14ac:dyDescent="0.2">
      <c r="A116" t="s">
        <v>3769</v>
      </c>
      <c r="B116" t="str">
        <f t="shared" si="4"/>
        <v>OC00115</v>
      </c>
      <c r="C116" t="s">
        <v>3808</v>
      </c>
      <c r="D116" s="5" t="str">
        <f>_xlfn.XLOOKUP(FACT_OPERATIONAL_COST[[#This Row],[COST_TYPE]],DIM_COST_TYPE[COST_TYPE],DIM_COST_TYPE[CATEGORY])</f>
        <v>Utility</v>
      </c>
      <c r="E116">
        <v>1</v>
      </c>
      <c r="F116" t="s">
        <v>3814</v>
      </c>
      <c r="G116" s="4">
        <v>600000</v>
      </c>
      <c r="H116" s="4">
        <f>FACT_OPERATIONAL_COST[[#This Row],[QTY]]*FACT_OPERATIONAL_COST[[#This Row],[Price]]</f>
        <v>600000</v>
      </c>
    </row>
    <row r="117" spans="1:8" x14ac:dyDescent="0.2">
      <c r="A117" t="s">
        <v>3769</v>
      </c>
      <c r="B117" t="str">
        <f t="shared" si="4"/>
        <v>OC00116</v>
      </c>
      <c r="C117" t="s">
        <v>3809</v>
      </c>
      <c r="D117" s="5" t="str">
        <f>_xlfn.XLOOKUP(FACT_OPERATIONAL_COST[[#This Row],[COST_TYPE]],DIM_COST_TYPE[COST_TYPE],DIM_COST_TYPE[CATEGORY])</f>
        <v>Transport</v>
      </c>
      <c r="E117">
        <v>1</v>
      </c>
      <c r="F117" t="s">
        <v>3810</v>
      </c>
      <c r="G117" s="4">
        <v>500000</v>
      </c>
      <c r="H117" s="4">
        <f>FACT_OPERATIONAL_COST[[#This Row],[QTY]]*FACT_OPERATIONAL_COST[[#This Row],[Price]]</f>
        <v>500000</v>
      </c>
    </row>
    <row r="118" spans="1:8" x14ac:dyDescent="0.2">
      <c r="A118" t="s">
        <v>3770</v>
      </c>
      <c r="B118" t="str">
        <f t="shared" si="4"/>
        <v>OC00117</v>
      </c>
      <c r="C118" t="s">
        <v>3718</v>
      </c>
      <c r="D118" s="5" t="str">
        <f>_xlfn.XLOOKUP(FACT_OPERATIONAL_COST[[#This Row],[COST_TYPE]],DIM_COST_TYPE[COST_TYPE],DIM_COST_TYPE[CATEGORY])</f>
        <v>Labor</v>
      </c>
      <c r="E118">
        <v>6</v>
      </c>
      <c r="F118" s="5" t="s">
        <v>3815</v>
      </c>
      <c r="G118" s="4">
        <v>4800000</v>
      </c>
      <c r="H118" s="4">
        <f>FACT_OPERATIONAL_COST[[#This Row],[QTY]]*FACT_OPERATIONAL_COST[[#This Row],[Price]]</f>
        <v>28800000</v>
      </c>
    </row>
    <row r="119" spans="1:8" x14ac:dyDescent="0.2">
      <c r="A119" t="s">
        <v>3770</v>
      </c>
      <c r="B119" t="str">
        <f t="shared" si="4"/>
        <v>OC00118</v>
      </c>
      <c r="C119" s="5" t="s">
        <v>3813</v>
      </c>
      <c r="D119" s="5" t="str">
        <f>_xlfn.XLOOKUP(FACT_OPERATIONAL_COST[[#This Row],[COST_TYPE]],DIM_COST_TYPE[COST_TYPE],DIM_COST_TYPE[CATEGORY])</f>
        <v>Production</v>
      </c>
      <c r="E119">
        <v>6</v>
      </c>
      <c r="F119" s="5" t="s">
        <v>3815</v>
      </c>
      <c r="G119" s="4">
        <v>1000000</v>
      </c>
      <c r="H119" s="4">
        <f>FACT_OPERATIONAL_COST[[#This Row],[QTY]]*FACT_OPERATIONAL_COST[[#This Row],[Price]]</f>
        <v>6000000</v>
      </c>
    </row>
    <row r="120" spans="1:8" x14ac:dyDescent="0.2">
      <c r="A120" t="s">
        <v>3770</v>
      </c>
      <c r="B120" t="str">
        <f t="shared" si="4"/>
        <v>OC00119</v>
      </c>
      <c r="C120" s="5" t="s">
        <v>4024</v>
      </c>
      <c r="D120" s="5" t="str">
        <f>_xlfn.XLOOKUP(FACT_OPERATIONAL_COST[[#This Row],[COST_TYPE]],DIM_COST_TYPE[COST_TYPE],DIM_COST_TYPE[CATEGORY])</f>
        <v>Labor</v>
      </c>
      <c r="E120">
        <v>3</v>
      </c>
      <c r="F120" s="5" t="s">
        <v>3815</v>
      </c>
      <c r="G120" s="4">
        <v>4800000</v>
      </c>
      <c r="H120" s="4">
        <f>FACT_OPERATIONAL_COST[[#This Row],[QTY]]*FACT_OPERATIONAL_COST[[#This Row],[Price]]</f>
        <v>14400000</v>
      </c>
    </row>
    <row r="121" spans="1:8" x14ac:dyDescent="0.2">
      <c r="A121" t="s">
        <v>3771</v>
      </c>
      <c r="B121" t="str">
        <f t="shared" si="4"/>
        <v>OC00120</v>
      </c>
      <c r="C121" t="s">
        <v>3808</v>
      </c>
      <c r="D121" s="5" t="str">
        <f>_xlfn.XLOOKUP(FACT_OPERATIONAL_COST[[#This Row],[COST_TYPE]],DIM_COST_TYPE[COST_TYPE],DIM_COST_TYPE[CATEGORY])</f>
        <v>Utility</v>
      </c>
      <c r="E121">
        <v>1</v>
      </c>
      <c r="F121" t="s">
        <v>3814</v>
      </c>
      <c r="G121" s="4">
        <v>600000</v>
      </c>
      <c r="H121" s="4">
        <f>FACT_OPERATIONAL_COST[[#This Row],[QTY]]*FACT_OPERATIONAL_COST[[#This Row],[Price]]</f>
        <v>600000</v>
      </c>
    </row>
    <row r="122" spans="1:8" x14ac:dyDescent="0.2">
      <c r="A122" t="s">
        <v>3771</v>
      </c>
      <c r="B122" t="str">
        <f t="shared" si="4"/>
        <v>OC00121</v>
      </c>
      <c r="C122" t="s">
        <v>3809</v>
      </c>
      <c r="D122" s="5" t="str">
        <f>_xlfn.XLOOKUP(FACT_OPERATIONAL_COST[[#This Row],[COST_TYPE]],DIM_COST_TYPE[COST_TYPE],DIM_COST_TYPE[CATEGORY])</f>
        <v>Transport</v>
      </c>
      <c r="E122">
        <v>1</v>
      </c>
      <c r="F122" t="s">
        <v>3810</v>
      </c>
      <c r="G122" s="4">
        <v>500000</v>
      </c>
      <c r="H122" s="4">
        <f>FACT_OPERATIONAL_COST[[#This Row],[QTY]]*FACT_OPERATIONAL_COST[[#This Row],[Price]]</f>
        <v>500000</v>
      </c>
    </row>
    <row r="123" spans="1:8" x14ac:dyDescent="0.2">
      <c r="A123" t="s">
        <v>3772</v>
      </c>
      <c r="B123" t="str">
        <f t="shared" si="4"/>
        <v>OC00122</v>
      </c>
      <c r="C123" t="s">
        <v>3808</v>
      </c>
      <c r="D123" s="5" t="str">
        <f>_xlfn.XLOOKUP(FACT_OPERATIONAL_COST[[#This Row],[COST_TYPE]],DIM_COST_TYPE[COST_TYPE],DIM_COST_TYPE[CATEGORY])</f>
        <v>Utility</v>
      </c>
      <c r="E123">
        <v>1</v>
      </c>
      <c r="F123" t="s">
        <v>3814</v>
      </c>
      <c r="G123" s="4">
        <v>600000</v>
      </c>
      <c r="H123" s="4">
        <f>FACT_OPERATIONAL_COST[[#This Row],[QTY]]*FACT_OPERATIONAL_COST[[#This Row],[Price]]</f>
        <v>600000</v>
      </c>
    </row>
    <row r="124" spans="1:8" x14ac:dyDescent="0.2">
      <c r="A124" t="s">
        <v>3772</v>
      </c>
      <c r="B124" t="str">
        <f t="shared" si="4"/>
        <v>OC00123</v>
      </c>
      <c r="C124" t="s">
        <v>3809</v>
      </c>
      <c r="D124" s="5" t="str">
        <f>_xlfn.XLOOKUP(FACT_OPERATIONAL_COST[[#This Row],[COST_TYPE]],DIM_COST_TYPE[COST_TYPE],DIM_COST_TYPE[CATEGORY])</f>
        <v>Transport</v>
      </c>
      <c r="E124">
        <v>1</v>
      </c>
      <c r="F124" t="s">
        <v>3810</v>
      </c>
      <c r="G124" s="4">
        <v>500000</v>
      </c>
      <c r="H124" s="4">
        <f>FACT_OPERATIONAL_COST[[#This Row],[QTY]]*FACT_OPERATIONAL_COST[[#This Row],[Price]]</f>
        <v>500000</v>
      </c>
    </row>
    <row r="125" spans="1:8" x14ac:dyDescent="0.2">
      <c r="A125" t="s">
        <v>3773</v>
      </c>
      <c r="B125" t="str">
        <f t="shared" si="4"/>
        <v>OC00124</v>
      </c>
      <c r="C125" t="s">
        <v>3718</v>
      </c>
      <c r="D125" s="5" t="str">
        <f>_xlfn.XLOOKUP(FACT_OPERATIONAL_COST[[#This Row],[COST_TYPE]],DIM_COST_TYPE[COST_TYPE],DIM_COST_TYPE[CATEGORY])</f>
        <v>Labor</v>
      </c>
      <c r="E125">
        <v>6</v>
      </c>
      <c r="F125" s="5" t="s">
        <v>3815</v>
      </c>
      <c r="G125" s="4">
        <v>4800000</v>
      </c>
      <c r="H125" s="4">
        <f>FACT_OPERATIONAL_COST[[#This Row],[QTY]]*FACT_OPERATIONAL_COST[[#This Row],[Price]]</f>
        <v>28800000</v>
      </c>
    </row>
    <row r="126" spans="1:8" x14ac:dyDescent="0.2">
      <c r="A126" t="s">
        <v>3773</v>
      </c>
      <c r="B126" t="str">
        <f t="shared" si="4"/>
        <v>OC00125</v>
      </c>
      <c r="C126" s="5" t="s">
        <v>3813</v>
      </c>
      <c r="D126" s="5" t="str">
        <f>_xlfn.XLOOKUP(FACT_OPERATIONAL_COST[[#This Row],[COST_TYPE]],DIM_COST_TYPE[COST_TYPE],DIM_COST_TYPE[CATEGORY])</f>
        <v>Production</v>
      </c>
      <c r="E126">
        <v>6</v>
      </c>
      <c r="F126" s="5" t="s">
        <v>3815</v>
      </c>
      <c r="G126" s="4">
        <v>1000000</v>
      </c>
      <c r="H126" s="4">
        <f>FACT_OPERATIONAL_COST[[#This Row],[QTY]]*FACT_OPERATIONAL_COST[[#This Row],[Price]]</f>
        <v>6000000</v>
      </c>
    </row>
    <row r="127" spans="1:8" x14ac:dyDescent="0.2">
      <c r="A127" t="s">
        <v>3773</v>
      </c>
      <c r="B127" t="str">
        <f t="shared" si="4"/>
        <v>OC00126</v>
      </c>
      <c r="C127" s="5" t="s">
        <v>4024</v>
      </c>
      <c r="D127" s="5" t="str">
        <f>_xlfn.XLOOKUP(FACT_OPERATIONAL_COST[[#This Row],[COST_TYPE]],DIM_COST_TYPE[COST_TYPE],DIM_COST_TYPE[CATEGORY])</f>
        <v>Labor</v>
      </c>
      <c r="E127">
        <v>3</v>
      </c>
      <c r="F127" s="5" t="s">
        <v>3815</v>
      </c>
      <c r="G127" s="4">
        <v>4800000</v>
      </c>
      <c r="H127" s="4">
        <f>FACT_OPERATIONAL_COST[[#This Row],[QTY]]*FACT_OPERATIONAL_COST[[#This Row],[Price]]</f>
        <v>14400000</v>
      </c>
    </row>
    <row r="128" spans="1:8" x14ac:dyDescent="0.2">
      <c r="A128" t="s">
        <v>3774</v>
      </c>
      <c r="B128" t="str">
        <f t="shared" si="4"/>
        <v>OC00127</v>
      </c>
      <c r="C128" t="s">
        <v>3808</v>
      </c>
      <c r="D128" s="5" t="str">
        <f>_xlfn.XLOOKUP(FACT_OPERATIONAL_COST[[#This Row],[COST_TYPE]],DIM_COST_TYPE[COST_TYPE],DIM_COST_TYPE[CATEGORY])</f>
        <v>Utility</v>
      </c>
      <c r="E128">
        <v>1</v>
      </c>
      <c r="F128" t="s">
        <v>3814</v>
      </c>
      <c r="G128" s="4">
        <v>600000</v>
      </c>
      <c r="H128" s="4">
        <f>FACT_OPERATIONAL_COST[[#This Row],[QTY]]*FACT_OPERATIONAL_COST[[#This Row],[Price]]</f>
        <v>600000</v>
      </c>
    </row>
    <row r="129" spans="1:8" x14ac:dyDescent="0.2">
      <c r="A129" t="s">
        <v>3774</v>
      </c>
      <c r="B129" t="str">
        <f t="shared" si="4"/>
        <v>OC00128</v>
      </c>
      <c r="C129" t="s">
        <v>3809</v>
      </c>
      <c r="D129" s="5" t="str">
        <f>_xlfn.XLOOKUP(FACT_OPERATIONAL_COST[[#This Row],[COST_TYPE]],DIM_COST_TYPE[COST_TYPE],DIM_COST_TYPE[CATEGORY])</f>
        <v>Transport</v>
      </c>
      <c r="E129">
        <v>1</v>
      </c>
      <c r="F129" t="s">
        <v>3810</v>
      </c>
      <c r="G129" s="4">
        <v>500000</v>
      </c>
      <c r="H129" s="4">
        <f>FACT_OPERATIONAL_COST[[#This Row],[QTY]]*FACT_OPERATIONAL_COST[[#This Row],[Price]]</f>
        <v>500000</v>
      </c>
    </row>
    <row r="130" spans="1:8" x14ac:dyDescent="0.2">
      <c r="A130" t="s">
        <v>3775</v>
      </c>
      <c r="B130" t="str">
        <f t="shared" si="4"/>
        <v>OC00129</v>
      </c>
      <c r="C130" t="s">
        <v>3808</v>
      </c>
      <c r="D130" s="5" t="str">
        <f>_xlfn.XLOOKUP(FACT_OPERATIONAL_COST[[#This Row],[COST_TYPE]],DIM_COST_TYPE[COST_TYPE],DIM_COST_TYPE[CATEGORY])</f>
        <v>Utility</v>
      </c>
      <c r="E130">
        <v>1</v>
      </c>
      <c r="F130" t="s">
        <v>3814</v>
      </c>
      <c r="G130" s="4">
        <v>600000</v>
      </c>
      <c r="H130" s="4">
        <f>FACT_OPERATIONAL_COST[[#This Row],[QTY]]*FACT_OPERATIONAL_COST[[#This Row],[Price]]</f>
        <v>600000</v>
      </c>
    </row>
    <row r="131" spans="1:8" x14ac:dyDescent="0.2">
      <c r="A131" t="s">
        <v>3775</v>
      </c>
      <c r="B131" t="str">
        <f t="shared" si="4"/>
        <v>OC00130</v>
      </c>
      <c r="C131" t="s">
        <v>3809</v>
      </c>
      <c r="D131" s="5" t="str">
        <f>_xlfn.XLOOKUP(FACT_OPERATIONAL_COST[[#This Row],[COST_TYPE]],DIM_COST_TYPE[COST_TYPE],DIM_COST_TYPE[CATEGORY])</f>
        <v>Transport</v>
      </c>
      <c r="E131">
        <v>1</v>
      </c>
      <c r="F131" t="s">
        <v>3810</v>
      </c>
      <c r="G131" s="4">
        <v>500000</v>
      </c>
      <c r="H131" s="4">
        <f>FACT_OPERATIONAL_COST[[#This Row],[QTY]]*FACT_OPERATIONAL_COST[[#This Row],[Price]]</f>
        <v>500000</v>
      </c>
    </row>
    <row r="132" spans="1:8" x14ac:dyDescent="0.2">
      <c r="A132" t="s">
        <v>3776</v>
      </c>
      <c r="B132" t="str">
        <f t="shared" si="4"/>
        <v>OC00131</v>
      </c>
      <c r="C132" t="s">
        <v>3718</v>
      </c>
      <c r="D132" s="5" t="str">
        <f>_xlfn.XLOOKUP(FACT_OPERATIONAL_COST[[#This Row],[COST_TYPE]],DIM_COST_TYPE[COST_TYPE],DIM_COST_TYPE[CATEGORY])</f>
        <v>Labor</v>
      </c>
      <c r="E132">
        <v>6</v>
      </c>
      <c r="F132" s="5" t="s">
        <v>3815</v>
      </c>
      <c r="G132" s="4">
        <v>4800000</v>
      </c>
      <c r="H132" s="4">
        <f>FACT_OPERATIONAL_COST[[#This Row],[QTY]]*FACT_OPERATIONAL_COST[[#This Row],[Price]]</f>
        <v>28800000</v>
      </c>
    </row>
    <row r="133" spans="1:8" x14ac:dyDescent="0.2">
      <c r="A133" t="s">
        <v>3776</v>
      </c>
      <c r="B133" t="str">
        <f t="shared" si="4"/>
        <v>OC00132</v>
      </c>
      <c r="C133" s="5" t="s">
        <v>3813</v>
      </c>
      <c r="D133" s="5" t="str">
        <f>_xlfn.XLOOKUP(FACT_OPERATIONAL_COST[[#This Row],[COST_TYPE]],DIM_COST_TYPE[COST_TYPE],DIM_COST_TYPE[CATEGORY])</f>
        <v>Production</v>
      </c>
      <c r="E133">
        <v>6</v>
      </c>
      <c r="F133" s="5" t="s">
        <v>3815</v>
      </c>
      <c r="G133" s="4">
        <v>1000000</v>
      </c>
      <c r="H133" s="4">
        <f>FACT_OPERATIONAL_COST[[#This Row],[QTY]]*FACT_OPERATIONAL_COST[[#This Row],[Price]]</f>
        <v>6000000</v>
      </c>
    </row>
    <row r="134" spans="1:8" x14ac:dyDescent="0.2">
      <c r="A134" t="s">
        <v>3776</v>
      </c>
      <c r="B134" t="str">
        <f t="shared" si="4"/>
        <v>OC00133</v>
      </c>
      <c r="C134" s="5" t="s">
        <v>4024</v>
      </c>
      <c r="D134" s="5" t="str">
        <f>_xlfn.XLOOKUP(FACT_OPERATIONAL_COST[[#This Row],[COST_TYPE]],DIM_COST_TYPE[COST_TYPE],DIM_COST_TYPE[CATEGORY])</f>
        <v>Labor</v>
      </c>
      <c r="E134">
        <v>3</v>
      </c>
      <c r="F134" s="5" t="s">
        <v>3815</v>
      </c>
      <c r="G134" s="4">
        <v>4800000</v>
      </c>
      <c r="H134" s="4">
        <f>FACT_OPERATIONAL_COST[[#This Row],[QTY]]*FACT_OPERATIONAL_COST[[#This Row],[Price]]</f>
        <v>14400000</v>
      </c>
    </row>
    <row r="135" spans="1:8" x14ac:dyDescent="0.2">
      <c r="A135" t="s">
        <v>3777</v>
      </c>
      <c r="B135" t="str">
        <f t="shared" si="4"/>
        <v>OC00134</v>
      </c>
      <c r="C135" t="s">
        <v>3808</v>
      </c>
      <c r="D135" s="5" t="str">
        <f>_xlfn.XLOOKUP(FACT_OPERATIONAL_COST[[#This Row],[COST_TYPE]],DIM_COST_TYPE[COST_TYPE],DIM_COST_TYPE[CATEGORY])</f>
        <v>Utility</v>
      </c>
      <c r="E135">
        <v>1</v>
      </c>
      <c r="F135" t="s">
        <v>3814</v>
      </c>
      <c r="G135" s="4">
        <v>600000</v>
      </c>
      <c r="H135" s="4">
        <f>FACT_OPERATIONAL_COST[[#This Row],[QTY]]*FACT_OPERATIONAL_COST[[#This Row],[Price]]</f>
        <v>600000</v>
      </c>
    </row>
    <row r="136" spans="1:8" x14ac:dyDescent="0.2">
      <c r="A136" t="s">
        <v>3777</v>
      </c>
      <c r="B136" t="str">
        <f t="shared" si="4"/>
        <v>OC00135</v>
      </c>
      <c r="C136" t="s">
        <v>3809</v>
      </c>
      <c r="D136" s="5" t="str">
        <f>_xlfn.XLOOKUP(FACT_OPERATIONAL_COST[[#This Row],[COST_TYPE]],DIM_COST_TYPE[COST_TYPE],DIM_COST_TYPE[CATEGORY])</f>
        <v>Transport</v>
      </c>
      <c r="E136">
        <v>1</v>
      </c>
      <c r="F136" t="s">
        <v>3810</v>
      </c>
      <c r="G136" s="4">
        <v>500000</v>
      </c>
      <c r="H136" s="4">
        <f>FACT_OPERATIONAL_COST[[#This Row],[QTY]]*FACT_OPERATIONAL_COST[[#This Row],[Price]]</f>
        <v>500000</v>
      </c>
    </row>
    <row r="137" spans="1:8" x14ac:dyDescent="0.2">
      <c r="A137" t="s">
        <v>3778</v>
      </c>
      <c r="B137" t="str">
        <f t="shared" ref="B137:B168" si="5">"OC"&amp;TEXT(ROW(B136),"00000")</f>
        <v>OC00136</v>
      </c>
      <c r="C137" t="s">
        <v>3808</v>
      </c>
      <c r="D137" s="5" t="str">
        <f>_xlfn.XLOOKUP(FACT_OPERATIONAL_COST[[#This Row],[COST_TYPE]],DIM_COST_TYPE[COST_TYPE],DIM_COST_TYPE[CATEGORY])</f>
        <v>Utility</v>
      </c>
      <c r="E137">
        <v>1</v>
      </c>
      <c r="F137" t="s">
        <v>3814</v>
      </c>
      <c r="G137" s="4">
        <v>600000</v>
      </c>
      <c r="H137" s="4">
        <f>FACT_OPERATIONAL_COST[[#This Row],[QTY]]*FACT_OPERATIONAL_COST[[#This Row],[Price]]</f>
        <v>600000</v>
      </c>
    </row>
    <row r="138" spans="1:8" x14ac:dyDescent="0.2">
      <c r="A138" t="s">
        <v>3778</v>
      </c>
      <c r="B138" t="str">
        <f t="shared" si="5"/>
        <v>OC00137</v>
      </c>
      <c r="C138" t="s">
        <v>3809</v>
      </c>
      <c r="D138" s="5" t="str">
        <f>_xlfn.XLOOKUP(FACT_OPERATIONAL_COST[[#This Row],[COST_TYPE]],DIM_COST_TYPE[COST_TYPE],DIM_COST_TYPE[CATEGORY])</f>
        <v>Transport</v>
      </c>
      <c r="E138">
        <v>1</v>
      </c>
      <c r="F138" t="s">
        <v>3810</v>
      </c>
      <c r="G138" s="4">
        <v>500000</v>
      </c>
      <c r="H138" s="4">
        <f>FACT_OPERATIONAL_COST[[#This Row],[QTY]]*FACT_OPERATIONAL_COST[[#This Row],[Price]]</f>
        <v>500000</v>
      </c>
    </row>
    <row r="139" spans="1:8" x14ac:dyDescent="0.2">
      <c r="A139" t="s">
        <v>3779</v>
      </c>
      <c r="B139" t="str">
        <f t="shared" si="5"/>
        <v>OC00138</v>
      </c>
      <c r="C139" t="s">
        <v>3718</v>
      </c>
      <c r="D139" s="5" t="str">
        <f>_xlfn.XLOOKUP(FACT_OPERATIONAL_COST[[#This Row],[COST_TYPE]],DIM_COST_TYPE[COST_TYPE],DIM_COST_TYPE[CATEGORY])</f>
        <v>Labor</v>
      </c>
      <c r="E139">
        <v>6</v>
      </c>
      <c r="F139" s="5" t="s">
        <v>3815</v>
      </c>
      <c r="G139" s="4">
        <v>4800000</v>
      </c>
      <c r="H139" s="4">
        <f>FACT_OPERATIONAL_COST[[#This Row],[QTY]]*FACT_OPERATIONAL_COST[[#This Row],[Price]]</f>
        <v>28800000</v>
      </c>
    </row>
    <row r="140" spans="1:8" x14ac:dyDescent="0.2">
      <c r="A140" t="s">
        <v>3779</v>
      </c>
      <c r="B140" t="str">
        <f t="shared" si="5"/>
        <v>OC00139</v>
      </c>
      <c r="C140" s="5" t="s">
        <v>3813</v>
      </c>
      <c r="D140" s="5" t="str">
        <f>_xlfn.XLOOKUP(FACT_OPERATIONAL_COST[[#This Row],[COST_TYPE]],DIM_COST_TYPE[COST_TYPE],DIM_COST_TYPE[CATEGORY])</f>
        <v>Production</v>
      </c>
      <c r="E140">
        <v>6</v>
      </c>
      <c r="F140" s="5" t="s">
        <v>3815</v>
      </c>
      <c r="G140" s="4">
        <v>1000000</v>
      </c>
      <c r="H140" s="4">
        <f>FACT_OPERATIONAL_COST[[#This Row],[QTY]]*FACT_OPERATIONAL_COST[[#This Row],[Price]]</f>
        <v>6000000</v>
      </c>
    </row>
    <row r="141" spans="1:8" x14ac:dyDescent="0.2">
      <c r="A141" t="s">
        <v>3779</v>
      </c>
      <c r="B141" t="str">
        <f t="shared" si="5"/>
        <v>OC00140</v>
      </c>
      <c r="C141" s="5" t="s">
        <v>4024</v>
      </c>
      <c r="D141" s="5" t="str">
        <f>_xlfn.XLOOKUP(FACT_OPERATIONAL_COST[[#This Row],[COST_TYPE]],DIM_COST_TYPE[COST_TYPE],DIM_COST_TYPE[CATEGORY])</f>
        <v>Labor</v>
      </c>
      <c r="E141">
        <v>3</v>
      </c>
      <c r="F141" s="5" t="s">
        <v>3815</v>
      </c>
      <c r="G141" s="4">
        <v>4800000</v>
      </c>
      <c r="H141" s="4">
        <f>FACT_OPERATIONAL_COST[[#This Row],[QTY]]*FACT_OPERATIONAL_COST[[#This Row],[Price]]</f>
        <v>14400000</v>
      </c>
    </row>
    <row r="142" spans="1:8" x14ac:dyDescent="0.2">
      <c r="A142" t="s">
        <v>3780</v>
      </c>
      <c r="B142" t="str">
        <f t="shared" si="5"/>
        <v>OC00141</v>
      </c>
      <c r="C142" t="s">
        <v>3808</v>
      </c>
      <c r="D142" s="5" t="str">
        <f>_xlfn.XLOOKUP(FACT_OPERATIONAL_COST[[#This Row],[COST_TYPE]],DIM_COST_TYPE[COST_TYPE],DIM_COST_TYPE[CATEGORY])</f>
        <v>Utility</v>
      </c>
      <c r="E142">
        <v>1</v>
      </c>
      <c r="F142" t="s">
        <v>3814</v>
      </c>
      <c r="G142" s="4">
        <v>600000</v>
      </c>
      <c r="H142" s="4">
        <f>FACT_OPERATIONAL_COST[[#This Row],[QTY]]*FACT_OPERATIONAL_COST[[#This Row],[Price]]</f>
        <v>600000</v>
      </c>
    </row>
    <row r="143" spans="1:8" x14ac:dyDescent="0.2">
      <c r="A143" t="s">
        <v>3780</v>
      </c>
      <c r="B143" t="str">
        <f t="shared" si="5"/>
        <v>OC00142</v>
      </c>
      <c r="C143" t="s">
        <v>3809</v>
      </c>
      <c r="D143" s="5" t="str">
        <f>_xlfn.XLOOKUP(FACT_OPERATIONAL_COST[[#This Row],[COST_TYPE]],DIM_COST_TYPE[COST_TYPE],DIM_COST_TYPE[CATEGORY])</f>
        <v>Transport</v>
      </c>
      <c r="E143">
        <v>1</v>
      </c>
      <c r="F143" t="s">
        <v>3810</v>
      </c>
      <c r="G143" s="4">
        <v>500000</v>
      </c>
      <c r="H143" s="4">
        <f>FACT_OPERATIONAL_COST[[#This Row],[QTY]]*FACT_OPERATIONAL_COST[[#This Row],[Price]]</f>
        <v>500000</v>
      </c>
    </row>
    <row r="144" spans="1:8" x14ac:dyDescent="0.2">
      <c r="A144" t="s">
        <v>3781</v>
      </c>
      <c r="B144" t="str">
        <f t="shared" si="5"/>
        <v>OC00143</v>
      </c>
      <c r="C144" t="s">
        <v>3808</v>
      </c>
      <c r="D144" s="5" t="str">
        <f>_xlfn.XLOOKUP(FACT_OPERATIONAL_COST[[#This Row],[COST_TYPE]],DIM_COST_TYPE[COST_TYPE],DIM_COST_TYPE[CATEGORY])</f>
        <v>Utility</v>
      </c>
      <c r="E144">
        <v>1</v>
      </c>
      <c r="F144" t="s">
        <v>3814</v>
      </c>
      <c r="G144" s="4">
        <v>600000</v>
      </c>
      <c r="H144" s="4">
        <f>FACT_OPERATIONAL_COST[[#This Row],[QTY]]*FACT_OPERATIONAL_COST[[#This Row],[Price]]</f>
        <v>600000</v>
      </c>
    </row>
    <row r="145" spans="1:8" x14ac:dyDescent="0.2">
      <c r="A145" t="s">
        <v>3781</v>
      </c>
      <c r="B145" t="str">
        <f t="shared" si="5"/>
        <v>OC00144</v>
      </c>
      <c r="C145" t="s">
        <v>3809</v>
      </c>
      <c r="D145" s="5" t="str">
        <f>_xlfn.XLOOKUP(FACT_OPERATIONAL_COST[[#This Row],[COST_TYPE]],DIM_COST_TYPE[COST_TYPE],DIM_COST_TYPE[CATEGORY])</f>
        <v>Transport</v>
      </c>
      <c r="E145">
        <v>1</v>
      </c>
      <c r="F145" t="s">
        <v>3810</v>
      </c>
      <c r="G145" s="4">
        <v>500000</v>
      </c>
      <c r="H145" s="4">
        <f>FACT_OPERATIONAL_COST[[#This Row],[QTY]]*FACT_OPERATIONAL_COST[[#This Row],[Price]]</f>
        <v>500000</v>
      </c>
    </row>
    <row r="146" spans="1:8" x14ac:dyDescent="0.2">
      <c r="A146" t="s">
        <v>3782</v>
      </c>
      <c r="B146" t="str">
        <f t="shared" si="5"/>
        <v>OC00145</v>
      </c>
      <c r="C146" t="s">
        <v>3718</v>
      </c>
      <c r="D146" s="5" t="str">
        <f>_xlfn.XLOOKUP(FACT_OPERATIONAL_COST[[#This Row],[COST_TYPE]],DIM_COST_TYPE[COST_TYPE],DIM_COST_TYPE[CATEGORY])</f>
        <v>Labor</v>
      </c>
      <c r="E146">
        <v>6</v>
      </c>
      <c r="F146" s="5" t="s">
        <v>3815</v>
      </c>
      <c r="G146" s="4">
        <v>4800000</v>
      </c>
      <c r="H146" s="4">
        <f>FACT_OPERATIONAL_COST[[#This Row],[QTY]]*FACT_OPERATIONAL_COST[[#This Row],[Price]]</f>
        <v>28800000</v>
      </c>
    </row>
    <row r="147" spans="1:8" x14ac:dyDescent="0.2">
      <c r="A147" t="s">
        <v>3782</v>
      </c>
      <c r="B147" t="str">
        <f t="shared" si="5"/>
        <v>OC00146</v>
      </c>
      <c r="C147" s="5" t="s">
        <v>3813</v>
      </c>
      <c r="D147" s="5" t="str">
        <f>_xlfn.XLOOKUP(FACT_OPERATIONAL_COST[[#This Row],[COST_TYPE]],DIM_COST_TYPE[COST_TYPE],DIM_COST_TYPE[CATEGORY])</f>
        <v>Production</v>
      </c>
      <c r="E147">
        <v>6</v>
      </c>
      <c r="F147" s="5" t="s">
        <v>3815</v>
      </c>
      <c r="G147" s="4">
        <v>1000000</v>
      </c>
      <c r="H147" s="4">
        <f>FACT_OPERATIONAL_COST[[#This Row],[QTY]]*FACT_OPERATIONAL_COST[[#This Row],[Price]]</f>
        <v>6000000</v>
      </c>
    </row>
    <row r="148" spans="1:8" x14ac:dyDescent="0.2">
      <c r="A148" t="s">
        <v>3782</v>
      </c>
      <c r="B148" t="str">
        <f t="shared" si="5"/>
        <v>OC00147</v>
      </c>
      <c r="C148" s="5" t="s">
        <v>4024</v>
      </c>
      <c r="D148" s="5" t="str">
        <f>_xlfn.XLOOKUP(FACT_OPERATIONAL_COST[[#This Row],[COST_TYPE]],DIM_COST_TYPE[COST_TYPE],DIM_COST_TYPE[CATEGORY])</f>
        <v>Labor</v>
      </c>
      <c r="E148">
        <v>3</v>
      </c>
      <c r="F148" s="5" t="s">
        <v>3815</v>
      </c>
      <c r="G148" s="4">
        <v>4800000</v>
      </c>
      <c r="H148" s="4">
        <f>FACT_OPERATIONAL_COST[[#This Row],[QTY]]*FACT_OPERATIONAL_COST[[#This Row],[Price]]</f>
        <v>14400000</v>
      </c>
    </row>
    <row r="149" spans="1:8" x14ac:dyDescent="0.2">
      <c r="A149" t="s">
        <v>3783</v>
      </c>
      <c r="B149" t="str">
        <f t="shared" si="5"/>
        <v>OC00148</v>
      </c>
      <c r="C149" t="s">
        <v>3808</v>
      </c>
      <c r="D149" s="5" t="str">
        <f>_xlfn.XLOOKUP(FACT_OPERATIONAL_COST[[#This Row],[COST_TYPE]],DIM_COST_TYPE[COST_TYPE],DIM_COST_TYPE[CATEGORY])</f>
        <v>Utility</v>
      </c>
      <c r="E149">
        <v>1</v>
      </c>
      <c r="F149" t="s">
        <v>3814</v>
      </c>
      <c r="G149" s="4">
        <v>600000</v>
      </c>
      <c r="H149" s="4">
        <f>FACT_OPERATIONAL_COST[[#This Row],[QTY]]*FACT_OPERATIONAL_COST[[#This Row],[Price]]</f>
        <v>600000</v>
      </c>
    </row>
    <row r="150" spans="1:8" x14ac:dyDescent="0.2">
      <c r="A150" t="s">
        <v>3783</v>
      </c>
      <c r="B150" t="str">
        <f t="shared" si="5"/>
        <v>OC00149</v>
      </c>
      <c r="C150" t="s">
        <v>3809</v>
      </c>
      <c r="D150" s="5" t="str">
        <f>_xlfn.XLOOKUP(FACT_OPERATIONAL_COST[[#This Row],[COST_TYPE]],DIM_COST_TYPE[COST_TYPE],DIM_COST_TYPE[CATEGORY])</f>
        <v>Transport</v>
      </c>
      <c r="E150">
        <v>1</v>
      </c>
      <c r="F150" t="s">
        <v>3810</v>
      </c>
      <c r="G150" s="4">
        <v>500000</v>
      </c>
      <c r="H150" s="4">
        <f>FACT_OPERATIONAL_COST[[#This Row],[QTY]]*FACT_OPERATIONAL_COST[[#This Row],[Price]]</f>
        <v>500000</v>
      </c>
    </row>
    <row r="151" spans="1:8" x14ac:dyDescent="0.2">
      <c r="A151" t="s">
        <v>3784</v>
      </c>
      <c r="B151" t="str">
        <f t="shared" si="5"/>
        <v>OC00150</v>
      </c>
      <c r="C151" t="s">
        <v>3808</v>
      </c>
      <c r="D151" s="5" t="str">
        <f>_xlfn.XLOOKUP(FACT_OPERATIONAL_COST[[#This Row],[COST_TYPE]],DIM_COST_TYPE[COST_TYPE],DIM_COST_TYPE[CATEGORY])</f>
        <v>Utility</v>
      </c>
      <c r="E151">
        <v>1</v>
      </c>
      <c r="F151" t="s">
        <v>3814</v>
      </c>
      <c r="G151" s="4">
        <v>600000</v>
      </c>
      <c r="H151" s="4">
        <f>FACT_OPERATIONAL_COST[[#This Row],[QTY]]*FACT_OPERATIONAL_COST[[#This Row],[Price]]</f>
        <v>600000</v>
      </c>
    </row>
    <row r="152" spans="1:8" x14ac:dyDescent="0.2">
      <c r="A152" t="s">
        <v>3784</v>
      </c>
      <c r="B152" t="str">
        <f t="shared" si="5"/>
        <v>OC00151</v>
      </c>
      <c r="C152" t="s">
        <v>3809</v>
      </c>
      <c r="D152" s="5" t="str">
        <f>_xlfn.XLOOKUP(FACT_OPERATIONAL_COST[[#This Row],[COST_TYPE]],DIM_COST_TYPE[COST_TYPE],DIM_COST_TYPE[CATEGORY])</f>
        <v>Transport</v>
      </c>
      <c r="E152">
        <v>1</v>
      </c>
      <c r="F152" t="s">
        <v>3810</v>
      </c>
      <c r="G152" s="4">
        <v>500000</v>
      </c>
      <c r="H152" s="4">
        <f>FACT_OPERATIONAL_COST[[#This Row],[QTY]]*FACT_OPERATIONAL_COST[[#This Row],[Price]]</f>
        <v>500000</v>
      </c>
    </row>
    <row r="153" spans="1:8" x14ac:dyDescent="0.2">
      <c r="A153" t="s">
        <v>3785</v>
      </c>
      <c r="B153" t="str">
        <f t="shared" si="5"/>
        <v>OC00152</v>
      </c>
      <c r="C153" t="s">
        <v>3718</v>
      </c>
      <c r="D153" s="5" t="str">
        <f>_xlfn.XLOOKUP(FACT_OPERATIONAL_COST[[#This Row],[COST_TYPE]],DIM_COST_TYPE[COST_TYPE],DIM_COST_TYPE[CATEGORY])</f>
        <v>Labor</v>
      </c>
      <c r="E153">
        <v>6</v>
      </c>
      <c r="F153" s="5" t="s">
        <v>3815</v>
      </c>
      <c r="G153" s="4">
        <v>4800000</v>
      </c>
      <c r="H153" s="4">
        <f>FACT_OPERATIONAL_COST[[#This Row],[QTY]]*FACT_OPERATIONAL_COST[[#This Row],[Price]]</f>
        <v>28800000</v>
      </c>
    </row>
    <row r="154" spans="1:8" x14ac:dyDescent="0.2">
      <c r="A154" t="s">
        <v>3785</v>
      </c>
      <c r="B154" t="str">
        <f t="shared" si="5"/>
        <v>OC00153</v>
      </c>
      <c r="C154" s="5" t="s">
        <v>3813</v>
      </c>
      <c r="D154" s="5" t="str">
        <f>_xlfn.XLOOKUP(FACT_OPERATIONAL_COST[[#This Row],[COST_TYPE]],DIM_COST_TYPE[COST_TYPE],DIM_COST_TYPE[CATEGORY])</f>
        <v>Production</v>
      </c>
      <c r="E154">
        <v>6</v>
      </c>
      <c r="F154" s="5" t="s">
        <v>3815</v>
      </c>
      <c r="G154" s="4">
        <v>1000000</v>
      </c>
      <c r="H154" s="4">
        <f>FACT_OPERATIONAL_COST[[#This Row],[QTY]]*FACT_OPERATIONAL_COST[[#This Row],[Price]]</f>
        <v>6000000</v>
      </c>
    </row>
    <row r="155" spans="1:8" x14ac:dyDescent="0.2">
      <c r="A155" t="s">
        <v>3785</v>
      </c>
      <c r="B155" t="str">
        <f t="shared" si="5"/>
        <v>OC00154</v>
      </c>
      <c r="C155" s="5" t="s">
        <v>4024</v>
      </c>
      <c r="D155" s="5" t="str">
        <f>_xlfn.XLOOKUP(FACT_OPERATIONAL_COST[[#This Row],[COST_TYPE]],DIM_COST_TYPE[COST_TYPE],DIM_COST_TYPE[CATEGORY])</f>
        <v>Labor</v>
      </c>
      <c r="E155">
        <v>3</v>
      </c>
      <c r="F155" s="5" t="s">
        <v>3815</v>
      </c>
      <c r="G155" s="4">
        <v>4800000</v>
      </c>
      <c r="H155" s="4">
        <f>FACT_OPERATIONAL_COST[[#This Row],[QTY]]*FACT_OPERATIONAL_COST[[#This Row],[Price]]</f>
        <v>14400000</v>
      </c>
    </row>
    <row r="156" spans="1:8" x14ac:dyDescent="0.2">
      <c r="A156" t="s">
        <v>3786</v>
      </c>
      <c r="B156" t="str">
        <f t="shared" si="5"/>
        <v>OC00155</v>
      </c>
      <c r="C156" t="s">
        <v>3808</v>
      </c>
      <c r="D156" s="5" t="str">
        <f>_xlfn.XLOOKUP(FACT_OPERATIONAL_COST[[#This Row],[COST_TYPE]],DIM_COST_TYPE[COST_TYPE],DIM_COST_TYPE[CATEGORY])</f>
        <v>Utility</v>
      </c>
      <c r="E156">
        <v>1</v>
      </c>
      <c r="F156" t="s">
        <v>3814</v>
      </c>
      <c r="G156" s="4">
        <v>600000</v>
      </c>
      <c r="H156" s="4">
        <f>FACT_OPERATIONAL_COST[[#This Row],[QTY]]*FACT_OPERATIONAL_COST[[#This Row],[Price]]</f>
        <v>600000</v>
      </c>
    </row>
    <row r="157" spans="1:8" x14ac:dyDescent="0.2">
      <c r="A157" t="s">
        <v>3786</v>
      </c>
      <c r="B157" t="str">
        <f t="shared" si="5"/>
        <v>OC00156</v>
      </c>
      <c r="C157" t="s">
        <v>3809</v>
      </c>
      <c r="D157" s="5" t="str">
        <f>_xlfn.XLOOKUP(FACT_OPERATIONAL_COST[[#This Row],[COST_TYPE]],DIM_COST_TYPE[COST_TYPE],DIM_COST_TYPE[CATEGORY])</f>
        <v>Transport</v>
      </c>
      <c r="E157">
        <v>1</v>
      </c>
      <c r="F157" t="s">
        <v>3810</v>
      </c>
      <c r="G157" s="4">
        <v>500000</v>
      </c>
      <c r="H157" s="4">
        <f>FACT_OPERATIONAL_COST[[#This Row],[QTY]]*FACT_OPERATIONAL_COST[[#This Row],[Price]]</f>
        <v>500000</v>
      </c>
    </row>
    <row r="158" spans="1:8" x14ac:dyDescent="0.2">
      <c r="A158" t="s">
        <v>3787</v>
      </c>
      <c r="B158" t="str">
        <f t="shared" si="5"/>
        <v>OC00157</v>
      </c>
      <c r="C158" t="s">
        <v>3808</v>
      </c>
      <c r="D158" s="5" t="str">
        <f>_xlfn.XLOOKUP(FACT_OPERATIONAL_COST[[#This Row],[COST_TYPE]],DIM_COST_TYPE[COST_TYPE],DIM_COST_TYPE[CATEGORY])</f>
        <v>Utility</v>
      </c>
      <c r="E158">
        <v>1</v>
      </c>
      <c r="F158" t="s">
        <v>3814</v>
      </c>
      <c r="G158" s="4">
        <v>600000</v>
      </c>
      <c r="H158" s="4">
        <f>FACT_OPERATIONAL_COST[[#This Row],[QTY]]*FACT_OPERATIONAL_COST[[#This Row],[Price]]</f>
        <v>600000</v>
      </c>
    </row>
    <row r="159" spans="1:8" x14ac:dyDescent="0.2">
      <c r="A159" t="s">
        <v>3787</v>
      </c>
      <c r="B159" t="str">
        <f t="shared" si="5"/>
        <v>OC00158</v>
      </c>
      <c r="C159" t="s">
        <v>3809</v>
      </c>
      <c r="D159" s="5" t="str">
        <f>_xlfn.XLOOKUP(FACT_OPERATIONAL_COST[[#This Row],[COST_TYPE]],DIM_COST_TYPE[COST_TYPE],DIM_COST_TYPE[CATEGORY])</f>
        <v>Transport</v>
      </c>
      <c r="E159">
        <v>1</v>
      </c>
      <c r="F159" t="s">
        <v>3810</v>
      </c>
      <c r="G159" s="4">
        <v>500000</v>
      </c>
      <c r="H159" s="4">
        <f>FACT_OPERATIONAL_COST[[#This Row],[QTY]]*FACT_OPERATIONAL_COST[[#This Row],[Price]]</f>
        <v>500000</v>
      </c>
    </row>
    <row r="160" spans="1:8" x14ac:dyDescent="0.2">
      <c r="A160" t="s">
        <v>3788</v>
      </c>
      <c r="B160" t="str">
        <f t="shared" si="5"/>
        <v>OC00159</v>
      </c>
      <c r="C160" t="s">
        <v>3718</v>
      </c>
      <c r="D160" s="5" t="str">
        <f>_xlfn.XLOOKUP(FACT_OPERATIONAL_COST[[#This Row],[COST_TYPE]],DIM_COST_TYPE[COST_TYPE],DIM_COST_TYPE[CATEGORY])</f>
        <v>Labor</v>
      </c>
      <c r="E160">
        <v>6</v>
      </c>
      <c r="F160" s="5" t="s">
        <v>3815</v>
      </c>
      <c r="G160" s="4">
        <v>4800000</v>
      </c>
      <c r="H160" s="4">
        <f>FACT_OPERATIONAL_COST[[#This Row],[QTY]]*FACT_OPERATIONAL_COST[[#This Row],[Price]]</f>
        <v>28800000</v>
      </c>
    </row>
    <row r="161" spans="1:8" x14ac:dyDescent="0.2">
      <c r="A161" t="s">
        <v>3788</v>
      </c>
      <c r="B161" t="str">
        <f t="shared" si="5"/>
        <v>OC00160</v>
      </c>
      <c r="C161" s="5" t="s">
        <v>3813</v>
      </c>
      <c r="D161" s="5" t="str">
        <f>_xlfn.XLOOKUP(FACT_OPERATIONAL_COST[[#This Row],[COST_TYPE]],DIM_COST_TYPE[COST_TYPE],DIM_COST_TYPE[CATEGORY])</f>
        <v>Production</v>
      </c>
      <c r="E161">
        <v>6</v>
      </c>
      <c r="F161" s="5" t="s">
        <v>3815</v>
      </c>
      <c r="G161" s="4">
        <v>1000000</v>
      </c>
      <c r="H161" s="4">
        <f>FACT_OPERATIONAL_COST[[#This Row],[QTY]]*FACT_OPERATIONAL_COST[[#This Row],[Price]]</f>
        <v>6000000</v>
      </c>
    </row>
    <row r="162" spans="1:8" x14ac:dyDescent="0.2">
      <c r="A162" t="s">
        <v>3788</v>
      </c>
      <c r="B162" t="str">
        <f t="shared" si="5"/>
        <v>OC00161</v>
      </c>
      <c r="C162" s="5" t="s">
        <v>4024</v>
      </c>
      <c r="D162" s="5" t="str">
        <f>_xlfn.XLOOKUP(FACT_OPERATIONAL_COST[[#This Row],[COST_TYPE]],DIM_COST_TYPE[COST_TYPE],DIM_COST_TYPE[CATEGORY])</f>
        <v>Labor</v>
      </c>
      <c r="E162">
        <v>3</v>
      </c>
      <c r="F162" s="5" t="s">
        <v>3815</v>
      </c>
      <c r="G162" s="4">
        <v>4800000</v>
      </c>
      <c r="H162" s="4">
        <f>FACT_OPERATIONAL_COST[[#This Row],[QTY]]*FACT_OPERATIONAL_COST[[#This Row],[Price]]</f>
        <v>14400000</v>
      </c>
    </row>
    <row r="163" spans="1:8" x14ac:dyDescent="0.2">
      <c r="A163" t="s">
        <v>3789</v>
      </c>
      <c r="B163" t="str">
        <f t="shared" si="5"/>
        <v>OC00162</v>
      </c>
      <c r="C163" t="s">
        <v>3808</v>
      </c>
      <c r="D163" s="5" t="str">
        <f>_xlfn.XLOOKUP(FACT_OPERATIONAL_COST[[#This Row],[COST_TYPE]],DIM_COST_TYPE[COST_TYPE],DIM_COST_TYPE[CATEGORY])</f>
        <v>Utility</v>
      </c>
      <c r="E163">
        <v>1</v>
      </c>
      <c r="F163" t="s">
        <v>3814</v>
      </c>
      <c r="G163" s="4">
        <v>600000</v>
      </c>
      <c r="H163" s="4">
        <f>FACT_OPERATIONAL_COST[[#This Row],[QTY]]*FACT_OPERATIONAL_COST[[#This Row],[Price]]</f>
        <v>600000</v>
      </c>
    </row>
    <row r="164" spans="1:8" x14ac:dyDescent="0.2">
      <c r="A164" t="s">
        <v>3789</v>
      </c>
      <c r="B164" t="str">
        <f t="shared" si="5"/>
        <v>OC00163</v>
      </c>
      <c r="C164" t="s">
        <v>3809</v>
      </c>
      <c r="D164" s="5" t="str">
        <f>_xlfn.XLOOKUP(FACT_OPERATIONAL_COST[[#This Row],[COST_TYPE]],DIM_COST_TYPE[COST_TYPE],DIM_COST_TYPE[CATEGORY])</f>
        <v>Transport</v>
      </c>
      <c r="E164">
        <v>1</v>
      </c>
      <c r="F164" t="s">
        <v>3810</v>
      </c>
      <c r="G164" s="4">
        <v>500000</v>
      </c>
      <c r="H164" s="4">
        <f>FACT_OPERATIONAL_COST[[#This Row],[QTY]]*FACT_OPERATIONAL_COST[[#This Row],[Price]]</f>
        <v>500000</v>
      </c>
    </row>
    <row r="165" spans="1:8" x14ac:dyDescent="0.2">
      <c r="A165" t="s">
        <v>3790</v>
      </c>
      <c r="B165" t="str">
        <f t="shared" si="5"/>
        <v>OC00164</v>
      </c>
      <c r="C165" t="s">
        <v>3808</v>
      </c>
      <c r="D165" s="5" t="str">
        <f>_xlfn.XLOOKUP(FACT_OPERATIONAL_COST[[#This Row],[COST_TYPE]],DIM_COST_TYPE[COST_TYPE],DIM_COST_TYPE[CATEGORY])</f>
        <v>Utility</v>
      </c>
      <c r="E165">
        <v>1</v>
      </c>
      <c r="F165" t="s">
        <v>3814</v>
      </c>
      <c r="G165" s="4">
        <v>600000</v>
      </c>
      <c r="H165" s="4">
        <f>FACT_OPERATIONAL_COST[[#This Row],[QTY]]*FACT_OPERATIONAL_COST[[#This Row],[Price]]</f>
        <v>600000</v>
      </c>
    </row>
    <row r="166" spans="1:8" x14ac:dyDescent="0.2">
      <c r="A166" t="s">
        <v>3790</v>
      </c>
      <c r="B166" t="str">
        <f t="shared" si="5"/>
        <v>OC00165</v>
      </c>
      <c r="C166" t="s">
        <v>3809</v>
      </c>
      <c r="D166" s="5" t="str">
        <f>_xlfn.XLOOKUP(FACT_OPERATIONAL_COST[[#This Row],[COST_TYPE]],DIM_COST_TYPE[COST_TYPE],DIM_COST_TYPE[CATEGORY])</f>
        <v>Transport</v>
      </c>
      <c r="E166">
        <v>1</v>
      </c>
      <c r="F166" t="s">
        <v>3810</v>
      </c>
      <c r="G166" s="4">
        <v>500000</v>
      </c>
      <c r="H166" s="4">
        <f>FACT_OPERATIONAL_COST[[#This Row],[QTY]]*FACT_OPERATIONAL_COST[[#This Row],[Price]]</f>
        <v>500000</v>
      </c>
    </row>
    <row r="167" spans="1:8" x14ac:dyDescent="0.2">
      <c r="A167" t="s">
        <v>3791</v>
      </c>
      <c r="B167" t="str">
        <f t="shared" si="5"/>
        <v>OC00166</v>
      </c>
      <c r="C167" t="s">
        <v>3718</v>
      </c>
      <c r="D167" s="5" t="str">
        <f>_xlfn.XLOOKUP(FACT_OPERATIONAL_COST[[#This Row],[COST_TYPE]],DIM_COST_TYPE[COST_TYPE],DIM_COST_TYPE[CATEGORY])</f>
        <v>Labor</v>
      </c>
      <c r="E167">
        <v>6</v>
      </c>
      <c r="F167" s="5" t="s">
        <v>3815</v>
      </c>
      <c r="G167" s="4">
        <v>4800000</v>
      </c>
      <c r="H167" s="4">
        <f>FACT_OPERATIONAL_COST[[#This Row],[QTY]]*FACT_OPERATIONAL_COST[[#This Row],[Price]]</f>
        <v>28800000</v>
      </c>
    </row>
    <row r="168" spans="1:8" x14ac:dyDescent="0.2">
      <c r="A168" t="s">
        <v>3791</v>
      </c>
      <c r="B168" t="str">
        <f t="shared" si="5"/>
        <v>OC00167</v>
      </c>
      <c r="C168" s="5" t="s">
        <v>3813</v>
      </c>
      <c r="D168" s="5" t="str">
        <f>_xlfn.XLOOKUP(FACT_OPERATIONAL_COST[[#This Row],[COST_TYPE]],DIM_COST_TYPE[COST_TYPE],DIM_COST_TYPE[CATEGORY])</f>
        <v>Production</v>
      </c>
      <c r="E168">
        <v>6</v>
      </c>
      <c r="F168" s="5" t="s">
        <v>3815</v>
      </c>
      <c r="G168" s="4">
        <v>1000000</v>
      </c>
      <c r="H168" s="4">
        <f>FACT_OPERATIONAL_COST[[#This Row],[QTY]]*FACT_OPERATIONAL_COST[[#This Row],[Price]]</f>
        <v>6000000</v>
      </c>
    </row>
    <row r="169" spans="1:8" x14ac:dyDescent="0.2">
      <c r="A169" t="s">
        <v>3791</v>
      </c>
      <c r="B169" t="str">
        <f t="shared" ref="B169:B204" si="6">"OC"&amp;TEXT(ROW(B168),"00000")</f>
        <v>OC00168</v>
      </c>
      <c r="C169" s="5" t="s">
        <v>4024</v>
      </c>
      <c r="D169" s="5" t="str">
        <f>_xlfn.XLOOKUP(FACT_OPERATIONAL_COST[[#This Row],[COST_TYPE]],DIM_COST_TYPE[COST_TYPE],DIM_COST_TYPE[CATEGORY])</f>
        <v>Labor</v>
      </c>
      <c r="E169">
        <v>3</v>
      </c>
      <c r="F169" s="5" t="s">
        <v>3815</v>
      </c>
      <c r="G169" s="4">
        <v>4800000</v>
      </c>
      <c r="H169" s="4">
        <f>FACT_OPERATIONAL_COST[[#This Row],[QTY]]*FACT_OPERATIONAL_COST[[#This Row],[Price]]</f>
        <v>14400000</v>
      </c>
    </row>
    <row r="170" spans="1:8" x14ac:dyDescent="0.2">
      <c r="A170" t="s">
        <v>3792</v>
      </c>
      <c r="B170" t="str">
        <f t="shared" si="6"/>
        <v>OC00169</v>
      </c>
      <c r="C170" t="s">
        <v>3808</v>
      </c>
      <c r="D170" s="5" t="str">
        <f>_xlfn.XLOOKUP(FACT_OPERATIONAL_COST[[#This Row],[COST_TYPE]],DIM_COST_TYPE[COST_TYPE],DIM_COST_TYPE[CATEGORY])</f>
        <v>Utility</v>
      </c>
      <c r="E170">
        <v>1</v>
      </c>
      <c r="F170" t="s">
        <v>3814</v>
      </c>
      <c r="G170" s="4">
        <v>600000</v>
      </c>
      <c r="H170" s="4">
        <f>FACT_OPERATIONAL_COST[[#This Row],[QTY]]*FACT_OPERATIONAL_COST[[#This Row],[Price]]</f>
        <v>600000</v>
      </c>
    </row>
    <row r="171" spans="1:8" x14ac:dyDescent="0.2">
      <c r="A171" t="s">
        <v>3792</v>
      </c>
      <c r="B171" t="str">
        <f t="shared" si="6"/>
        <v>OC00170</v>
      </c>
      <c r="C171" t="s">
        <v>3809</v>
      </c>
      <c r="D171" s="5" t="str">
        <f>_xlfn.XLOOKUP(FACT_OPERATIONAL_COST[[#This Row],[COST_TYPE]],DIM_COST_TYPE[COST_TYPE],DIM_COST_TYPE[CATEGORY])</f>
        <v>Transport</v>
      </c>
      <c r="E171">
        <v>1</v>
      </c>
      <c r="F171" t="s">
        <v>3810</v>
      </c>
      <c r="G171" s="4">
        <v>500000</v>
      </c>
      <c r="H171" s="4">
        <f>FACT_OPERATIONAL_COST[[#This Row],[QTY]]*FACT_OPERATIONAL_COST[[#This Row],[Price]]</f>
        <v>500000</v>
      </c>
    </row>
    <row r="172" spans="1:8" x14ac:dyDescent="0.2">
      <c r="A172" t="s">
        <v>3793</v>
      </c>
      <c r="B172" t="str">
        <f t="shared" si="6"/>
        <v>OC00171</v>
      </c>
      <c r="C172" t="s">
        <v>3808</v>
      </c>
      <c r="D172" s="5" t="str">
        <f>_xlfn.XLOOKUP(FACT_OPERATIONAL_COST[[#This Row],[COST_TYPE]],DIM_COST_TYPE[COST_TYPE],DIM_COST_TYPE[CATEGORY])</f>
        <v>Utility</v>
      </c>
      <c r="E172">
        <v>1</v>
      </c>
      <c r="F172" t="s">
        <v>3814</v>
      </c>
      <c r="G172" s="4">
        <v>600000</v>
      </c>
      <c r="H172" s="4">
        <f>FACT_OPERATIONAL_COST[[#This Row],[QTY]]*FACT_OPERATIONAL_COST[[#This Row],[Price]]</f>
        <v>600000</v>
      </c>
    </row>
    <row r="173" spans="1:8" x14ac:dyDescent="0.2">
      <c r="A173" t="s">
        <v>3793</v>
      </c>
      <c r="B173" t="str">
        <f t="shared" si="6"/>
        <v>OC00172</v>
      </c>
      <c r="C173" t="s">
        <v>3809</v>
      </c>
      <c r="D173" s="5" t="str">
        <f>_xlfn.XLOOKUP(FACT_OPERATIONAL_COST[[#This Row],[COST_TYPE]],DIM_COST_TYPE[COST_TYPE],DIM_COST_TYPE[CATEGORY])</f>
        <v>Transport</v>
      </c>
      <c r="E173">
        <v>1</v>
      </c>
      <c r="F173" t="s">
        <v>3810</v>
      </c>
      <c r="G173" s="4">
        <v>500000</v>
      </c>
      <c r="H173" s="4">
        <f>FACT_OPERATIONAL_COST[[#This Row],[QTY]]*FACT_OPERATIONAL_COST[[#This Row],[Price]]</f>
        <v>500000</v>
      </c>
    </row>
    <row r="174" spans="1:8" x14ac:dyDescent="0.2">
      <c r="A174" t="s">
        <v>3794</v>
      </c>
      <c r="B174" t="str">
        <f t="shared" si="6"/>
        <v>OC00173</v>
      </c>
      <c r="C174" t="s">
        <v>3718</v>
      </c>
      <c r="D174" s="5" t="str">
        <f>_xlfn.XLOOKUP(FACT_OPERATIONAL_COST[[#This Row],[COST_TYPE]],DIM_COST_TYPE[COST_TYPE],DIM_COST_TYPE[CATEGORY])</f>
        <v>Labor</v>
      </c>
      <c r="E174">
        <v>6</v>
      </c>
      <c r="F174" s="5" t="s">
        <v>3815</v>
      </c>
      <c r="G174" s="4">
        <v>4800000</v>
      </c>
      <c r="H174" s="4">
        <f>FACT_OPERATIONAL_COST[[#This Row],[QTY]]*FACT_OPERATIONAL_COST[[#This Row],[Price]]</f>
        <v>28800000</v>
      </c>
    </row>
    <row r="175" spans="1:8" x14ac:dyDescent="0.2">
      <c r="A175" t="s">
        <v>3794</v>
      </c>
      <c r="B175" t="str">
        <f t="shared" si="6"/>
        <v>OC00174</v>
      </c>
      <c r="C175" s="5" t="s">
        <v>3813</v>
      </c>
      <c r="D175" s="5" t="str">
        <f>_xlfn.XLOOKUP(FACT_OPERATIONAL_COST[[#This Row],[COST_TYPE]],DIM_COST_TYPE[COST_TYPE],DIM_COST_TYPE[CATEGORY])</f>
        <v>Production</v>
      </c>
      <c r="E175">
        <v>6</v>
      </c>
      <c r="F175" s="5" t="s">
        <v>3815</v>
      </c>
      <c r="G175" s="4">
        <v>1000000</v>
      </c>
      <c r="H175" s="4">
        <f>FACT_OPERATIONAL_COST[[#This Row],[QTY]]*FACT_OPERATIONAL_COST[[#This Row],[Price]]</f>
        <v>6000000</v>
      </c>
    </row>
    <row r="176" spans="1:8" x14ac:dyDescent="0.2">
      <c r="A176" t="s">
        <v>3794</v>
      </c>
      <c r="B176" t="str">
        <f t="shared" si="6"/>
        <v>OC00175</v>
      </c>
      <c r="C176" s="5" t="s">
        <v>4024</v>
      </c>
      <c r="D176" s="5" t="str">
        <f>_xlfn.XLOOKUP(FACT_OPERATIONAL_COST[[#This Row],[COST_TYPE]],DIM_COST_TYPE[COST_TYPE],DIM_COST_TYPE[CATEGORY])</f>
        <v>Labor</v>
      </c>
      <c r="E176">
        <v>3</v>
      </c>
      <c r="F176" s="5" t="s">
        <v>3815</v>
      </c>
      <c r="G176" s="4">
        <v>4800000</v>
      </c>
      <c r="H176" s="4">
        <f>FACT_OPERATIONAL_COST[[#This Row],[QTY]]*FACT_OPERATIONAL_COST[[#This Row],[Price]]</f>
        <v>14400000</v>
      </c>
    </row>
    <row r="177" spans="1:8" x14ac:dyDescent="0.2">
      <c r="A177" t="s">
        <v>3795</v>
      </c>
      <c r="B177" t="str">
        <f t="shared" si="6"/>
        <v>OC00176</v>
      </c>
      <c r="C177" t="s">
        <v>3808</v>
      </c>
      <c r="D177" s="5" t="str">
        <f>_xlfn.XLOOKUP(FACT_OPERATIONAL_COST[[#This Row],[COST_TYPE]],DIM_COST_TYPE[COST_TYPE],DIM_COST_TYPE[CATEGORY])</f>
        <v>Utility</v>
      </c>
      <c r="E177">
        <v>1</v>
      </c>
      <c r="F177" t="s">
        <v>3814</v>
      </c>
      <c r="G177" s="4">
        <v>600000</v>
      </c>
      <c r="H177" s="4">
        <f>FACT_OPERATIONAL_COST[[#This Row],[QTY]]*FACT_OPERATIONAL_COST[[#This Row],[Price]]</f>
        <v>600000</v>
      </c>
    </row>
    <row r="178" spans="1:8" x14ac:dyDescent="0.2">
      <c r="A178" t="s">
        <v>3795</v>
      </c>
      <c r="B178" t="str">
        <f t="shared" si="6"/>
        <v>OC00177</v>
      </c>
      <c r="C178" t="s">
        <v>3809</v>
      </c>
      <c r="D178" s="5" t="str">
        <f>_xlfn.XLOOKUP(FACT_OPERATIONAL_COST[[#This Row],[COST_TYPE]],DIM_COST_TYPE[COST_TYPE],DIM_COST_TYPE[CATEGORY])</f>
        <v>Transport</v>
      </c>
      <c r="E178">
        <v>1</v>
      </c>
      <c r="F178" t="s">
        <v>3810</v>
      </c>
      <c r="G178" s="4">
        <v>500000</v>
      </c>
      <c r="H178" s="4">
        <f>FACT_OPERATIONAL_COST[[#This Row],[QTY]]*FACT_OPERATIONAL_COST[[#This Row],[Price]]</f>
        <v>500000</v>
      </c>
    </row>
    <row r="179" spans="1:8" x14ac:dyDescent="0.2">
      <c r="A179" t="s">
        <v>3796</v>
      </c>
      <c r="B179" t="str">
        <f t="shared" si="6"/>
        <v>OC00178</v>
      </c>
      <c r="C179" t="s">
        <v>3808</v>
      </c>
      <c r="D179" s="5" t="str">
        <f>_xlfn.XLOOKUP(FACT_OPERATIONAL_COST[[#This Row],[COST_TYPE]],DIM_COST_TYPE[COST_TYPE],DIM_COST_TYPE[CATEGORY])</f>
        <v>Utility</v>
      </c>
      <c r="E179">
        <v>1</v>
      </c>
      <c r="F179" t="s">
        <v>3814</v>
      </c>
      <c r="G179" s="4">
        <v>600000</v>
      </c>
      <c r="H179" s="4">
        <f>FACT_OPERATIONAL_COST[[#This Row],[QTY]]*FACT_OPERATIONAL_COST[[#This Row],[Price]]</f>
        <v>600000</v>
      </c>
    </row>
    <row r="180" spans="1:8" x14ac:dyDescent="0.2">
      <c r="A180" t="s">
        <v>3796</v>
      </c>
      <c r="B180" t="str">
        <f t="shared" si="6"/>
        <v>OC00179</v>
      </c>
      <c r="C180" t="s">
        <v>3809</v>
      </c>
      <c r="D180" s="5" t="str">
        <f>_xlfn.XLOOKUP(FACT_OPERATIONAL_COST[[#This Row],[COST_TYPE]],DIM_COST_TYPE[COST_TYPE],DIM_COST_TYPE[CATEGORY])</f>
        <v>Transport</v>
      </c>
      <c r="E180">
        <v>1</v>
      </c>
      <c r="F180" t="s">
        <v>3810</v>
      </c>
      <c r="G180" s="4">
        <v>500000</v>
      </c>
      <c r="H180" s="4">
        <f>FACT_OPERATIONAL_COST[[#This Row],[QTY]]*FACT_OPERATIONAL_COST[[#This Row],[Price]]</f>
        <v>500000</v>
      </c>
    </row>
    <row r="181" spans="1:8" x14ac:dyDescent="0.2">
      <c r="A181" t="s">
        <v>3797</v>
      </c>
      <c r="B181" t="str">
        <f t="shared" si="6"/>
        <v>OC00180</v>
      </c>
      <c r="C181" t="s">
        <v>3718</v>
      </c>
      <c r="D181" s="5" t="str">
        <f>_xlfn.XLOOKUP(FACT_OPERATIONAL_COST[[#This Row],[COST_TYPE]],DIM_COST_TYPE[COST_TYPE],DIM_COST_TYPE[CATEGORY])</f>
        <v>Labor</v>
      </c>
      <c r="E181">
        <v>6</v>
      </c>
      <c r="F181" s="5" t="s">
        <v>3815</v>
      </c>
      <c r="G181" s="4">
        <v>4800000</v>
      </c>
      <c r="H181" s="4">
        <f>FACT_OPERATIONAL_COST[[#This Row],[QTY]]*FACT_OPERATIONAL_COST[[#This Row],[Price]]</f>
        <v>28800000</v>
      </c>
    </row>
    <row r="182" spans="1:8" x14ac:dyDescent="0.2">
      <c r="A182" t="s">
        <v>3797</v>
      </c>
      <c r="B182" t="str">
        <f t="shared" si="6"/>
        <v>OC00181</v>
      </c>
      <c r="C182" s="5" t="s">
        <v>3813</v>
      </c>
      <c r="D182" s="5" t="str">
        <f>_xlfn.XLOOKUP(FACT_OPERATIONAL_COST[[#This Row],[COST_TYPE]],DIM_COST_TYPE[COST_TYPE],DIM_COST_TYPE[CATEGORY])</f>
        <v>Production</v>
      </c>
      <c r="E182">
        <v>6</v>
      </c>
      <c r="F182" s="5" t="s">
        <v>3815</v>
      </c>
      <c r="G182" s="4">
        <v>1000000</v>
      </c>
      <c r="H182" s="4">
        <f>FACT_OPERATIONAL_COST[[#This Row],[QTY]]*FACT_OPERATIONAL_COST[[#This Row],[Price]]</f>
        <v>6000000</v>
      </c>
    </row>
    <row r="183" spans="1:8" x14ac:dyDescent="0.2">
      <c r="A183" t="s">
        <v>3797</v>
      </c>
      <c r="B183" t="str">
        <f t="shared" si="6"/>
        <v>OC00182</v>
      </c>
      <c r="C183" s="5" t="s">
        <v>4024</v>
      </c>
      <c r="D183" s="5" t="str">
        <f>_xlfn.XLOOKUP(FACT_OPERATIONAL_COST[[#This Row],[COST_TYPE]],DIM_COST_TYPE[COST_TYPE],DIM_COST_TYPE[CATEGORY])</f>
        <v>Labor</v>
      </c>
      <c r="E183">
        <v>3</v>
      </c>
      <c r="F183" s="5" t="s">
        <v>3815</v>
      </c>
      <c r="G183" s="4">
        <v>4800000</v>
      </c>
      <c r="H183" s="4">
        <f>FACT_OPERATIONAL_COST[[#This Row],[QTY]]*FACT_OPERATIONAL_COST[[#This Row],[Price]]</f>
        <v>14400000</v>
      </c>
    </row>
    <row r="184" spans="1:8" x14ac:dyDescent="0.2">
      <c r="A184" t="s">
        <v>3798</v>
      </c>
      <c r="B184" t="str">
        <f t="shared" si="6"/>
        <v>OC00183</v>
      </c>
      <c r="C184" t="s">
        <v>3808</v>
      </c>
      <c r="D184" s="5" t="str">
        <f>_xlfn.XLOOKUP(FACT_OPERATIONAL_COST[[#This Row],[COST_TYPE]],DIM_COST_TYPE[COST_TYPE],DIM_COST_TYPE[CATEGORY])</f>
        <v>Utility</v>
      </c>
      <c r="E184">
        <v>1</v>
      </c>
      <c r="F184" t="s">
        <v>3814</v>
      </c>
      <c r="G184" s="4">
        <v>600000</v>
      </c>
      <c r="H184" s="4">
        <f>FACT_OPERATIONAL_COST[[#This Row],[QTY]]*FACT_OPERATIONAL_COST[[#This Row],[Price]]</f>
        <v>600000</v>
      </c>
    </row>
    <row r="185" spans="1:8" x14ac:dyDescent="0.2">
      <c r="A185" t="s">
        <v>3798</v>
      </c>
      <c r="B185" t="str">
        <f t="shared" si="6"/>
        <v>OC00184</v>
      </c>
      <c r="C185" t="s">
        <v>3809</v>
      </c>
      <c r="D185" s="5" t="str">
        <f>_xlfn.XLOOKUP(FACT_OPERATIONAL_COST[[#This Row],[COST_TYPE]],DIM_COST_TYPE[COST_TYPE],DIM_COST_TYPE[CATEGORY])</f>
        <v>Transport</v>
      </c>
      <c r="E185">
        <v>1</v>
      </c>
      <c r="F185" t="s">
        <v>3810</v>
      </c>
      <c r="G185" s="4">
        <v>500000</v>
      </c>
      <c r="H185" s="4">
        <f>FACT_OPERATIONAL_COST[[#This Row],[QTY]]*FACT_OPERATIONAL_COST[[#This Row],[Price]]</f>
        <v>500000</v>
      </c>
    </row>
    <row r="186" spans="1:8" x14ac:dyDescent="0.2">
      <c r="A186" t="s">
        <v>3799</v>
      </c>
      <c r="B186" t="str">
        <f t="shared" si="6"/>
        <v>OC00185</v>
      </c>
      <c r="C186" t="s">
        <v>3808</v>
      </c>
      <c r="D186" s="5" t="str">
        <f>_xlfn.XLOOKUP(FACT_OPERATIONAL_COST[[#This Row],[COST_TYPE]],DIM_COST_TYPE[COST_TYPE],DIM_COST_TYPE[CATEGORY])</f>
        <v>Utility</v>
      </c>
      <c r="E186">
        <v>1</v>
      </c>
      <c r="F186" t="s">
        <v>3814</v>
      </c>
      <c r="G186" s="4">
        <v>600000</v>
      </c>
      <c r="H186" s="4">
        <f>FACT_OPERATIONAL_COST[[#This Row],[QTY]]*FACT_OPERATIONAL_COST[[#This Row],[Price]]</f>
        <v>600000</v>
      </c>
    </row>
    <row r="187" spans="1:8" x14ac:dyDescent="0.2">
      <c r="A187" t="s">
        <v>3799</v>
      </c>
      <c r="B187" t="str">
        <f t="shared" si="6"/>
        <v>OC00186</v>
      </c>
      <c r="C187" t="s">
        <v>3809</v>
      </c>
      <c r="D187" s="5" t="str">
        <f>_xlfn.XLOOKUP(FACT_OPERATIONAL_COST[[#This Row],[COST_TYPE]],DIM_COST_TYPE[COST_TYPE],DIM_COST_TYPE[CATEGORY])</f>
        <v>Transport</v>
      </c>
      <c r="E187">
        <v>1</v>
      </c>
      <c r="F187" t="s">
        <v>3810</v>
      </c>
      <c r="G187" s="4">
        <v>500000</v>
      </c>
      <c r="H187" s="4">
        <f>FACT_OPERATIONAL_COST[[#This Row],[QTY]]*FACT_OPERATIONAL_COST[[#This Row],[Price]]</f>
        <v>500000</v>
      </c>
    </row>
    <row r="188" spans="1:8" x14ac:dyDescent="0.2">
      <c r="A188" t="s">
        <v>3800</v>
      </c>
      <c r="B188" t="str">
        <f t="shared" si="6"/>
        <v>OC00187</v>
      </c>
      <c r="C188" t="s">
        <v>3718</v>
      </c>
      <c r="D188" s="5" t="str">
        <f>_xlfn.XLOOKUP(FACT_OPERATIONAL_COST[[#This Row],[COST_TYPE]],DIM_COST_TYPE[COST_TYPE],DIM_COST_TYPE[CATEGORY])</f>
        <v>Labor</v>
      </c>
      <c r="E188">
        <v>6</v>
      </c>
      <c r="F188" s="5" t="s">
        <v>3815</v>
      </c>
      <c r="G188" s="4">
        <v>4800000</v>
      </c>
      <c r="H188" s="4">
        <f>FACT_OPERATIONAL_COST[[#This Row],[QTY]]*FACT_OPERATIONAL_COST[[#This Row],[Price]]</f>
        <v>28800000</v>
      </c>
    </row>
    <row r="189" spans="1:8" x14ac:dyDescent="0.2">
      <c r="A189" t="s">
        <v>3800</v>
      </c>
      <c r="B189" t="str">
        <f t="shared" si="6"/>
        <v>OC00188</v>
      </c>
      <c r="C189" s="5" t="s">
        <v>3813</v>
      </c>
      <c r="D189" s="5" t="str">
        <f>_xlfn.XLOOKUP(FACT_OPERATIONAL_COST[[#This Row],[COST_TYPE]],DIM_COST_TYPE[COST_TYPE],DIM_COST_TYPE[CATEGORY])</f>
        <v>Production</v>
      </c>
      <c r="E189">
        <v>6</v>
      </c>
      <c r="F189" s="5" t="s">
        <v>3815</v>
      </c>
      <c r="G189" s="4">
        <v>1000000</v>
      </c>
      <c r="H189" s="4">
        <f>FACT_OPERATIONAL_COST[[#This Row],[QTY]]*FACT_OPERATIONAL_COST[[#This Row],[Price]]</f>
        <v>6000000</v>
      </c>
    </row>
    <row r="190" spans="1:8" x14ac:dyDescent="0.2">
      <c r="A190" t="s">
        <v>3800</v>
      </c>
      <c r="B190" t="str">
        <f t="shared" si="6"/>
        <v>OC00189</v>
      </c>
      <c r="C190" s="5" t="s">
        <v>4024</v>
      </c>
      <c r="D190" s="5" t="str">
        <f>_xlfn.XLOOKUP(FACT_OPERATIONAL_COST[[#This Row],[COST_TYPE]],DIM_COST_TYPE[COST_TYPE],DIM_COST_TYPE[CATEGORY])</f>
        <v>Labor</v>
      </c>
      <c r="E190">
        <v>3</v>
      </c>
      <c r="F190" s="5" t="s">
        <v>3815</v>
      </c>
      <c r="G190" s="4">
        <v>4800000</v>
      </c>
      <c r="H190" s="4">
        <f>FACT_OPERATIONAL_COST[[#This Row],[QTY]]*FACT_OPERATIONAL_COST[[#This Row],[Price]]</f>
        <v>14400000</v>
      </c>
    </row>
    <row r="191" spans="1:8" x14ac:dyDescent="0.2">
      <c r="A191" t="s">
        <v>3801</v>
      </c>
      <c r="B191" t="str">
        <f t="shared" si="6"/>
        <v>OC00190</v>
      </c>
      <c r="C191" t="s">
        <v>3811</v>
      </c>
      <c r="D191" s="5" t="str">
        <f>_xlfn.XLOOKUP(FACT_OPERATIONAL_COST[[#This Row],[COST_TYPE]],DIM_COST_TYPE[COST_TYPE],DIM_COST_TYPE[CATEGORY])</f>
        <v>Logistics</v>
      </c>
      <c r="E191">
        <v>1</v>
      </c>
      <c r="F191" t="s">
        <v>3812</v>
      </c>
      <c r="G191" s="4">
        <v>22500000</v>
      </c>
      <c r="H191" s="4">
        <f>FACT_OPERATIONAL_COST[[#This Row],[QTY]]*FACT_OPERATIONAL_COST[[#This Row],[Price]]</f>
        <v>22500000</v>
      </c>
    </row>
    <row r="192" spans="1:8" x14ac:dyDescent="0.2">
      <c r="A192" t="s">
        <v>3801</v>
      </c>
      <c r="B192" t="str">
        <f t="shared" si="6"/>
        <v>OC00191</v>
      </c>
      <c r="C192" t="s">
        <v>4026</v>
      </c>
      <c r="D192" s="5" t="str">
        <f>_xlfn.XLOOKUP(FACT_OPERATIONAL_COST[[#This Row],[COST_TYPE]],DIM_COST_TYPE[COST_TYPE],DIM_COST_TYPE[CATEGORY])</f>
        <v>Logistics</v>
      </c>
      <c r="E192">
        <v>1</v>
      </c>
      <c r="F192" t="s">
        <v>3810</v>
      </c>
      <c r="G192" s="4">
        <v>1950000</v>
      </c>
      <c r="H192" s="4">
        <f>FACT_OPERATIONAL_COST[[#This Row],[QTY]]*FACT_OPERATIONAL_COST[[#This Row],[Price]]</f>
        <v>1950000</v>
      </c>
    </row>
    <row r="193" spans="1:8" x14ac:dyDescent="0.2">
      <c r="A193" t="s">
        <v>3802</v>
      </c>
      <c r="B193" t="str">
        <f t="shared" si="6"/>
        <v>OC00192</v>
      </c>
      <c r="C193" t="s">
        <v>3811</v>
      </c>
      <c r="D193" s="5" t="str">
        <f>_xlfn.XLOOKUP(FACT_OPERATIONAL_COST[[#This Row],[COST_TYPE]],DIM_COST_TYPE[COST_TYPE],DIM_COST_TYPE[CATEGORY])</f>
        <v>Logistics</v>
      </c>
      <c r="E193">
        <v>1</v>
      </c>
      <c r="F193" t="s">
        <v>3812</v>
      </c>
      <c r="G193" s="4">
        <v>22500000</v>
      </c>
      <c r="H193" s="4">
        <f>FACT_OPERATIONAL_COST[[#This Row],[QTY]]*FACT_OPERATIONAL_COST[[#This Row],[Price]]</f>
        <v>22500000</v>
      </c>
    </row>
    <row r="194" spans="1:8" x14ac:dyDescent="0.2">
      <c r="A194" t="s">
        <v>3802</v>
      </c>
      <c r="B194" t="str">
        <f t="shared" si="6"/>
        <v>OC00193</v>
      </c>
      <c r="C194" t="s">
        <v>4026</v>
      </c>
      <c r="D194" s="5" t="str">
        <f>_xlfn.XLOOKUP(FACT_OPERATIONAL_COST[[#This Row],[COST_TYPE]],DIM_COST_TYPE[COST_TYPE],DIM_COST_TYPE[CATEGORY])</f>
        <v>Logistics</v>
      </c>
      <c r="E194">
        <v>1</v>
      </c>
      <c r="F194" t="s">
        <v>3810</v>
      </c>
      <c r="G194" s="4">
        <v>1950000</v>
      </c>
      <c r="H194" s="4">
        <f>FACT_OPERATIONAL_COST[[#This Row],[QTY]]*FACT_OPERATIONAL_COST[[#This Row],[Price]]</f>
        <v>1950000</v>
      </c>
    </row>
    <row r="195" spans="1:8" x14ac:dyDescent="0.2">
      <c r="A195" t="s">
        <v>3803</v>
      </c>
      <c r="B195" t="str">
        <f t="shared" si="6"/>
        <v>OC00194</v>
      </c>
      <c r="C195" t="s">
        <v>3811</v>
      </c>
      <c r="D195" s="5" t="str">
        <f>_xlfn.XLOOKUP(FACT_OPERATIONAL_COST[[#This Row],[COST_TYPE]],DIM_COST_TYPE[COST_TYPE],DIM_COST_TYPE[CATEGORY])</f>
        <v>Logistics</v>
      </c>
      <c r="E195">
        <v>1</v>
      </c>
      <c r="F195" t="s">
        <v>3812</v>
      </c>
      <c r="G195" s="4">
        <v>22500000</v>
      </c>
      <c r="H195" s="4">
        <f>FACT_OPERATIONAL_COST[[#This Row],[QTY]]*FACT_OPERATIONAL_COST[[#This Row],[Price]]</f>
        <v>22500000</v>
      </c>
    </row>
    <row r="196" spans="1:8" x14ac:dyDescent="0.2">
      <c r="A196" t="s">
        <v>3803</v>
      </c>
      <c r="B196" t="str">
        <f t="shared" si="6"/>
        <v>OC00195</v>
      </c>
      <c r="C196" t="s">
        <v>4026</v>
      </c>
      <c r="D196" s="5" t="str">
        <f>_xlfn.XLOOKUP(FACT_OPERATIONAL_COST[[#This Row],[COST_TYPE]],DIM_COST_TYPE[COST_TYPE],DIM_COST_TYPE[CATEGORY])</f>
        <v>Logistics</v>
      </c>
      <c r="E196">
        <v>1</v>
      </c>
      <c r="F196" t="s">
        <v>3810</v>
      </c>
      <c r="G196" s="4">
        <v>1950000</v>
      </c>
      <c r="H196" s="4">
        <f>FACT_OPERATIONAL_COST[[#This Row],[QTY]]*FACT_OPERATIONAL_COST[[#This Row],[Price]]</f>
        <v>1950000</v>
      </c>
    </row>
    <row r="197" spans="1:8" x14ac:dyDescent="0.2">
      <c r="A197" t="s">
        <v>3804</v>
      </c>
      <c r="B197" t="str">
        <f t="shared" si="6"/>
        <v>OC00196</v>
      </c>
      <c r="C197" t="s">
        <v>3811</v>
      </c>
      <c r="D197" s="5" t="str">
        <f>_xlfn.XLOOKUP(FACT_OPERATIONAL_COST[[#This Row],[COST_TYPE]],DIM_COST_TYPE[COST_TYPE],DIM_COST_TYPE[CATEGORY])</f>
        <v>Logistics</v>
      </c>
      <c r="E197">
        <v>1</v>
      </c>
      <c r="F197" t="s">
        <v>3812</v>
      </c>
      <c r="G197" s="4">
        <v>22500000</v>
      </c>
      <c r="H197" s="4">
        <f>FACT_OPERATIONAL_COST[[#This Row],[QTY]]*FACT_OPERATIONAL_COST[[#This Row],[Price]]</f>
        <v>22500000</v>
      </c>
    </row>
    <row r="198" spans="1:8" x14ac:dyDescent="0.2">
      <c r="A198" t="s">
        <v>3804</v>
      </c>
      <c r="B198" t="str">
        <f t="shared" si="6"/>
        <v>OC00197</v>
      </c>
      <c r="C198" t="s">
        <v>4026</v>
      </c>
      <c r="D198" s="5" t="str">
        <f>_xlfn.XLOOKUP(FACT_OPERATIONAL_COST[[#This Row],[COST_TYPE]],DIM_COST_TYPE[COST_TYPE],DIM_COST_TYPE[CATEGORY])</f>
        <v>Logistics</v>
      </c>
      <c r="E198">
        <v>1</v>
      </c>
      <c r="F198" t="s">
        <v>3810</v>
      </c>
      <c r="G198" s="4">
        <v>1950000</v>
      </c>
      <c r="H198" s="4">
        <f>FACT_OPERATIONAL_COST[[#This Row],[QTY]]*FACT_OPERATIONAL_COST[[#This Row],[Price]]</f>
        <v>1950000</v>
      </c>
    </row>
    <row r="199" spans="1:8" x14ac:dyDescent="0.2">
      <c r="A199" t="s">
        <v>3805</v>
      </c>
      <c r="B199" t="str">
        <f t="shared" si="6"/>
        <v>OC00198</v>
      </c>
      <c r="C199" t="s">
        <v>3811</v>
      </c>
      <c r="D199" s="5" t="str">
        <f>_xlfn.XLOOKUP(FACT_OPERATIONAL_COST[[#This Row],[COST_TYPE]],DIM_COST_TYPE[COST_TYPE],DIM_COST_TYPE[CATEGORY])</f>
        <v>Logistics</v>
      </c>
      <c r="E199">
        <v>1</v>
      </c>
      <c r="F199" t="s">
        <v>3812</v>
      </c>
      <c r="G199" s="4">
        <v>22500000</v>
      </c>
      <c r="H199" s="4">
        <f>FACT_OPERATIONAL_COST[[#This Row],[QTY]]*FACT_OPERATIONAL_COST[[#This Row],[Price]]</f>
        <v>22500000</v>
      </c>
    </row>
    <row r="200" spans="1:8" x14ac:dyDescent="0.2">
      <c r="A200" t="s">
        <v>3805</v>
      </c>
      <c r="B200" t="str">
        <f t="shared" si="6"/>
        <v>OC00199</v>
      </c>
      <c r="C200" t="s">
        <v>4026</v>
      </c>
      <c r="D200" s="5" t="str">
        <f>_xlfn.XLOOKUP(FACT_OPERATIONAL_COST[[#This Row],[COST_TYPE]],DIM_COST_TYPE[COST_TYPE],DIM_COST_TYPE[CATEGORY])</f>
        <v>Logistics</v>
      </c>
      <c r="E200">
        <v>1</v>
      </c>
      <c r="F200" t="s">
        <v>3810</v>
      </c>
      <c r="G200" s="4">
        <v>1950000</v>
      </c>
      <c r="H200" s="4">
        <f>FACT_OPERATIONAL_COST[[#This Row],[QTY]]*FACT_OPERATIONAL_COST[[#This Row],[Price]]</f>
        <v>1950000</v>
      </c>
    </row>
    <row r="201" spans="1:8" x14ac:dyDescent="0.2">
      <c r="A201" t="s">
        <v>3806</v>
      </c>
      <c r="B201" t="str">
        <f t="shared" si="6"/>
        <v>OC00200</v>
      </c>
      <c r="C201" t="s">
        <v>3811</v>
      </c>
      <c r="D201" s="5" t="str">
        <f>_xlfn.XLOOKUP(FACT_OPERATIONAL_COST[[#This Row],[COST_TYPE]],DIM_COST_TYPE[COST_TYPE],DIM_COST_TYPE[CATEGORY])</f>
        <v>Logistics</v>
      </c>
      <c r="E201">
        <v>1</v>
      </c>
      <c r="F201" t="s">
        <v>3812</v>
      </c>
      <c r="G201" s="4">
        <v>22500000</v>
      </c>
      <c r="H201" s="4">
        <f>FACT_OPERATIONAL_COST[[#This Row],[QTY]]*FACT_OPERATIONAL_COST[[#This Row],[Price]]</f>
        <v>22500000</v>
      </c>
    </row>
    <row r="202" spans="1:8" x14ac:dyDescent="0.2">
      <c r="A202" t="s">
        <v>3806</v>
      </c>
      <c r="B202" t="str">
        <f t="shared" si="6"/>
        <v>OC00201</v>
      </c>
      <c r="C202" t="s">
        <v>4026</v>
      </c>
      <c r="D202" s="5" t="str">
        <f>_xlfn.XLOOKUP(FACT_OPERATIONAL_COST[[#This Row],[COST_TYPE]],DIM_COST_TYPE[COST_TYPE],DIM_COST_TYPE[CATEGORY])</f>
        <v>Logistics</v>
      </c>
      <c r="E202">
        <v>1</v>
      </c>
      <c r="F202" t="s">
        <v>3810</v>
      </c>
      <c r="G202" s="4">
        <v>1950000</v>
      </c>
      <c r="H202" s="4">
        <f>FACT_OPERATIONAL_COST[[#This Row],[QTY]]*FACT_OPERATIONAL_COST[[#This Row],[Price]]</f>
        <v>1950000</v>
      </c>
    </row>
    <row r="203" spans="1:8" x14ac:dyDescent="0.2">
      <c r="A203" t="s">
        <v>3807</v>
      </c>
      <c r="B203" t="str">
        <f t="shared" si="6"/>
        <v>OC00202</v>
      </c>
      <c r="C203" t="s">
        <v>3811</v>
      </c>
      <c r="D203" s="5" t="str">
        <f>_xlfn.XLOOKUP(FACT_OPERATIONAL_COST[[#This Row],[COST_TYPE]],DIM_COST_TYPE[COST_TYPE],DIM_COST_TYPE[CATEGORY])</f>
        <v>Logistics</v>
      </c>
      <c r="E203">
        <v>1</v>
      </c>
      <c r="F203" t="s">
        <v>3812</v>
      </c>
      <c r="G203" s="4">
        <v>22500000</v>
      </c>
      <c r="H203" s="4">
        <f>FACT_OPERATIONAL_COST[[#This Row],[QTY]]*FACT_OPERATIONAL_COST[[#This Row],[Price]]</f>
        <v>22500000</v>
      </c>
    </row>
    <row r="204" spans="1:8" x14ac:dyDescent="0.2">
      <c r="A204" t="s">
        <v>3807</v>
      </c>
      <c r="B204" t="str">
        <f t="shared" si="6"/>
        <v>OC00203</v>
      </c>
      <c r="C204" t="s">
        <v>4026</v>
      </c>
      <c r="D204" s="5" t="str">
        <f>_xlfn.XLOOKUP(FACT_OPERATIONAL_COST[[#This Row],[COST_TYPE]],DIM_COST_TYPE[COST_TYPE],DIM_COST_TYPE[CATEGORY])</f>
        <v>Logistics</v>
      </c>
      <c r="E204">
        <v>1</v>
      </c>
      <c r="F204" t="s">
        <v>3810</v>
      </c>
      <c r="G204" s="4">
        <v>1950000</v>
      </c>
      <c r="H204" s="4">
        <f>FACT_OPERATIONAL_COST[[#This Row],[QTY]]*FACT_OPERATIONAL_COST[[#This Row],[Price]]</f>
        <v>1950000</v>
      </c>
    </row>
  </sheetData>
  <phoneticPr fontId="4" type="noConversion"/>
  <pageMargins left="0.7" right="0.7" top="0.75" bottom="0.75" header="0.3" footer="0.3"/>
  <ignoredErrors>
    <ignoredError sqref="B2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3DB3-1DD8-4780-8F83-765847224C72}">
  <sheetPr>
    <tabColor rgb="FF92D050"/>
  </sheetPr>
  <dimension ref="A1:G3102"/>
  <sheetViews>
    <sheetView workbookViewId="0">
      <selection activeCell="D13" sqref="D13"/>
    </sheetView>
  </sheetViews>
  <sheetFormatPr defaultRowHeight="14.25" x14ac:dyDescent="0.2"/>
  <cols>
    <col min="1" max="1" width="18.25" bestFit="1" customWidth="1"/>
    <col min="2" max="2" width="18.75" bestFit="1" customWidth="1"/>
    <col min="3" max="3" width="15.25" bestFit="1" customWidth="1"/>
    <col min="4" max="4" width="18.375" bestFit="1" customWidth="1"/>
    <col min="5" max="5" width="6.875" bestFit="1" customWidth="1"/>
    <col min="6" max="6" width="7.375" bestFit="1" customWidth="1"/>
    <col min="7" max="7" width="14.25" customWidth="1"/>
  </cols>
  <sheetData>
    <row r="1" spans="1:7" x14ac:dyDescent="0.2">
      <c r="A1" t="s">
        <v>585</v>
      </c>
      <c r="B1" t="s">
        <v>3703</v>
      </c>
      <c r="C1" t="s">
        <v>0</v>
      </c>
      <c r="D1" t="s">
        <v>586</v>
      </c>
      <c r="E1" t="s">
        <v>3716</v>
      </c>
      <c r="F1" t="s">
        <v>588</v>
      </c>
      <c r="G1" t="s">
        <v>583</v>
      </c>
    </row>
    <row r="2" spans="1:7" x14ac:dyDescent="0.2">
      <c r="A2" s="2">
        <v>45566</v>
      </c>
      <c r="B2" t="s">
        <v>582</v>
      </c>
      <c r="C2" t="s">
        <v>1</v>
      </c>
      <c r="D2" t="s">
        <v>3</v>
      </c>
      <c r="E2">
        <v>1</v>
      </c>
      <c r="F2" t="s">
        <v>4027</v>
      </c>
      <c r="G2">
        <v>77</v>
      </c>
    </row>
    <row r="3" spans="1:7" x14ac:dyDescent="0.2">
      <c r="A3" s="2">
        <v>45566</v>
      </c>
      <c r="B3" t="s">
        <v>603</v>
      </c>
      <c r="C3" t="s">
        <v>1</v>
      </c>
      <c r="D3" t="s">
        <v>3</v>
      </c>
      <c r="E3">
        <v>1</v>
      </c>
      <c r="F3" t="s">
        <v>4027</v>
      </c>
      <c r="G3">
        <v>89</v>
      </c>
    </row>
    <row r="4" spans="1:7" x14ac:dyDescent="0.2">
      <c r="A4" s="2">
        <v>45566</v>
      </c>
      <c r="B4" t="s">
        <v>604</v>
      </c>
      <c r="C4" t="s">
        <v>1</v>
      </c>
      <c r="D4" t="s">
        <v>3</v>
      </c>
      <c r="E4">
        <v>1</v>
      </c>
      <c r="F4" t="s">
        <v>4027</v>
      </c>
      <c r="G4">
        <v>72</v>
      </c>
    </row>
    <row r="5" spans="1:7" x14ac:dyDescent="0.2">
      <c r="A5" s="2">
        <v>45566</v>
      </c>
      <c r="B5" t="s">
        <v>607</v>
      </c>
      <c r="C5" t="s">
        <v>1</v>
      </c>
      <c r="D5" t="s">
        <v>3</v>
      </c>
      <c r="E5">
        <v>1</v>
      </c>
      <c r="F5" t="s">
        <v>4027</v>
      </c>
      <c r="G5">
        <v>83</v>
      </c>
    </row>
    <row r="6" spans="1:7" x14ac:dyDescent="0.2">
      <c r="A6" s="2">
        <v>45566</v>
      </c>
      <c r="B6" t="s">
        <v>608</v>
      </c>
      <c r="C6" t="s">
        <v>1</v>
      </c>
      <c r="D6" t="s">
        <v>3</v>
      </c>
      <c r="E6">
        <v>1</v>
      </c>
      <c r="F6" t="s">
        <v>4027</v>
      </c>
      <c r="G6">
        <v>75</v>
      </c>
    </row>
    <row r="7" spans="1:7" x14ac:dyDescent="0.2">
      <c r="A7" s="2">
        <v>45566</v>
      </c>
      <c r="B7" t="s">
        <v>611</v>
      </c>
      <c r="C7" t="s">
        <v>1</v>
      </c>
      <c r="D7" t="s">
        <v>3</v>
      </c>
      <c r="E7">
        <v>1</v>
      </c>
      <c r="F7" t="s">
        <v>4027</v>
      </c>
      <c r="G7">
        <v>80</v>
      </c>
    </row>
    <row r="8" spans="1:7" x14ac:dyDescent="0.2">
      <c r="A8" s="2">
        <v>45567</v>
      </c>
      <c r="B8" t="s">
        <v>612</v>
      </c>
      <c r="C8" t="s">
        <v>1</v>
      </c>
      <c r="D8" t="s">
        <v>3</v>
      </c>
      <c r="E8">
        <v>1</v>
      </c>
      <c r="F8" t="s">
        <v>4027</v>
      </c>
      <c r="G8">
        <v>74</v>
      </c>
    </row>
    <row r="9" spans="1:7" x14ac:dyDescent="0.2">
      <c r="A9" s="2">
        <v>45567</v>
      </c>
      <c r="B9" t="s">
        <v>613</v>
      </c>
      <c r="C9" t="s">
        <v>1</v>
      </c>
      <c r="D9" t="s">
        <v>3</v>
      </c>
      <c r="E9">
        <v>1</v>
      </c>
      <c r="F9" t="s">
        <v>4027</v>
      </c>
      <c r="G9">
        <v>86</v>
      </c>
    </row>
    <row r="10" spans="1:7" x14ac:dyDescent="0.2">
      <c r="A10" s="2">
        <v>45567</v>
      </c>
      <c r="B10" t="s">
        <v>614</v>
      </c>
      <c r="C10" t="s">
        <v>1</v>
      </c>
      <c r="D10" t="s">
        <v>3</v>
      </c>
      <c r="E10">
        <v>1</v>
      </c>
      <c r="F10" t="s">
        <v>4027</v>
      </c>
      <c r="G10">
        <v>60</v>
      </c>
    </row>
    <row r="11" spans="1:7" x14ac:dyDescent="0.2">
      <c r="A11" s="2">
        <v>45567</v>
      </c>
      <c r="B11" t="s">
        <v>615</v>
      </c>
      <c r="C11" t="s">
        <v>1</v>
      </c>
      <c r="D11" t="s">
        <v>3</v>
      </c>
      <c r="E11">
        <v>1</v>
      </c>
      <c r="F11" t="s">
        <v>4027</v>
      </c>
      <c r="G11">
        <v>71</v>
      </c>
    </row>
    <row r="12" spans="1:7" x14ac:dyDescent="0.2">
      <c r="A12" s="2">
        <v>45569</v>
      </c>
      <c r="B12" t="s">
        <v>625</v>
      </c>
      <c r="C12" t="s">
        <v>1</v>
      </c>
      <c r="D12" t="s">
        <v>3</v>
      </c>
      <c r="E12">
        <v>1</v>
      </c>
      <c r="F12" t="s">
        <v>4027</v>
      </c>
      <c r="G12">
        <v>62</v>
      </c>
    </row>
    <row r="13" spans="1:7" x14ac:dyDescent="0.2">
      <c r="A13" s="2">
        <v>45569</v>
      </c>
      <c r="B13" t="s">
        <v>622</v>
      </c>
      <c r="C13" t="s">
        <v>1</v>
      </c>
      <c r="D13" t="s">
        <v>3</v>
      </c>
      <c r="E13">
        <v>1</v>
      </c>
      <c r="F13" t="s">
        <v>4027</v>
      </c>
      <c r="G13">
        <v>61</v>
      </c>
    </row>
    <row r="14" spans="1:7" x14ac:dyDescent="0.2">
      <c r="A14" s="2">
        <v>45569</v>
      </c>
      <c r="B14" t="s">
        <v>618</v>
      </c>
      <c r="C14" t="s">
        <v>1</v>
      </c>
      <c r="D14" t="s">
        <v>3</v>
      </c>
      <c r="E14">
        <v>1</v>
      </c>
      <c r="F14" t="s">
        <v>4027</v>
      </c>
      <c r="G14">
        <v>83</v>
      </c>
    </row>
    <row r="15" spans="1:7" x14ac:dyDescent="0.2">
      <c r="A15" s="2">
        <v>45569</v>
      </c>
      <c r="B15" t="s">
        <v>621</v>
      </c>
      <c r="C15" t="s">
        <v>1</v>
      </c>
      <c r="D15" t="s">
        <v>3</v>
      </c>
      <c r="E15">
        <v>1</v>
      </c>
      <c r="F15" t="s">
        <v>4027</v>
      </c>
      <c r="G15">
        <v>73</v>
      </c>
    </row>
    <row r="16" spans="1:7" x14ac:dyDescent="0.2">
      <c r="A16" s="2">
        <v>45574</v>
      </c>
      <c r="B16" t="s">
        <v>626</v>
      </c>
      <c r="C16" t="s">
        <v>1</v>
      </c>
      <c r="D16" t="s">
        <v>3</v>
      </c>
      <c r="E16">
        <v>1</v>
      </c>
      <c r="F16" t="s">
        <v>4027</v>
      </c>
      <c r="G16">
        <v>82</v>
      </c>
    </row>
    <row r="17" spans="1:7" x14ac:dyDescent="0.2">
      <c r="A17" s="2">
        <v>45574</v>
      </c>
      <c r="B17" t="s">
        <v>627</v>
      </c>
      <c r="C17" t="s">
        <v>1</v>
      </c>
      <c r="D17" t="s">
        <v>3</v>
      </c>
      <c r="E17">
        <v>1</v>
      </c>
      <c r="F17" t="s">
        <v>4027</v>
      </c>
      <c r="G17">
        <v>75</v>
      </c>
    </row>
    <row r="18" spans="1:7" x14ac:dyDescent="0.2">
      <c r="A18" s="2">
        <v>45574</v>
      </c>
      <c r="B18" t="s">
        <v>628</v>
      </c>
      <c r="C18" t="s">
        <v>1</v>
      </c>
      <c r="D18" t="s">
        <v>3</v>
      </c>
      <c r="E18">
        <v>1</v>
      </c>
      <c r="F18" t="s">
        <v>4027</v>
      </c>
      <c r="G18">
        <v>66</v>
      </c>
    </row>
    <row r="19" spans="1:7" x14ac:dyDescent="0.2">
      <c r="A19" s="2">
        <v>45574</v>
      </c>
      <c r="B19" t="s">
        <v>629</v>
      </c>
      <c r="C19" t="s">
        <v>1</v>
      </c>
      <c r="D19" t="s">
        <v>3</v>
      </c>
      <c r="E19">
        <v>1</v>
      </c>
      <c r="F19" t="s">
        <v>4027</v>
      </c>
      <c r="G19">
        <v>71</v>
      </c>
    </row>
    <row r="20" spans="1:7" x14ac:dyDescent="0.2">
      <c r="A20" s="2">
        <v>45581</v>
      </c>
      <c r="B20" t="s">
        <v>638</v>
      </c>
      <c r="C20" t="s">
        <v>1</v>
      </c>
      <c r="D20" t="s">
        <v>3</v>
      </c>
      <c r="E20">
        <v>1</v>
      </c>
      <c r="F20" t="s">
        <v>4027</v>
      </c>
      <c r="G20">
        <v>73</v>
      </c>
    </row>
    <row r="21" spans="1:7" x14ac:dyDescent="0.2">
      <c r="A21" s="2">
        <v>45581</v>
      </c>
      <c r="B21" t="s">
        <v>639</v>
      </c>
      <c r="C21" t="s">
        <v>1</v>
      </c>
      <c r="D21" t="s">
        <v>3</v>
      </c>
      <c r="E21">
        <v>1</v>
      </c>
      <c r="F21" t="s">
        <v>4027</v>
      </c>
      <c r="G21">
        <v>69</v>
      </c>
    </row>
    <row r="22" spans="1:7" x14ac:dyDescent="0.2">
      <c r="A22" s="2">
        <v>45581</v>
      </c>
      <c r="B22" t="s">
        <v>637</v>
      </c>
      <c r="C22" t="s">
        <v>1</v>
      </c>
      <c r="D22" t="s">
        <v>3</v>
      </c>
      <c r="E22">
        <v>1</v>
      </c>
      <c r="F22" t="s">
        <v>4027</v>
      </c>
      <c r="G22">
        <v>61</v>
      </c>
    </row>
    <row r="23" spans="1:7" x14ac:dyDescent="0.2">
      <c r="A23" s="2">
        <v>45581</v>
      </c>
      <c r="B23" t="s">
        <v>605</v>
      </c>
      <c r="C23" t="s">
        <v>2</v>
      </c>
      <c r="D23" t="s">
        <v>4</v>
      </c>
      <c r="E23">
        <v>1</v>
      </c>
      <c r="F23" t="s">
        <v>600</v>
      </c>
      <c r="G23">
        <v>22</v>
      </c>
    </row>
    <row r="24" spans="1:7" x14ac:dyDescent="0.2">
      <c r="A24" s="2">
        <v>45581</v>
      </c>
      <c r="B24" t="s">
        <v>633</v>
      </c>
      <c r="C24" t="s">
        <v>1</v>
      </c>
      <c r="D24" t="s">
        <v>3</v>
      </c>
      <c r="E24">
        <v>1</v>
      </c>
      <c r="F24" t="s">
        <v>4027</v>
      </c>
      <c r="G24">
        <v>77</v>
      </c>
    </row>
    <row r="25" spans="1:7" x14ac:dyDescent="0.2">
      <c r="A25" s="2">
        <v>45581</v>
      </c>
      <c r="B25" t="s">
        <v>632</v>
      </c>
      <c r="C25" t="s">
        <v>1</v>
      </c>
      <c r="D25" t="s">
        <v>3</v>
      </c>
      <c r="E25">
        <v>1</v>
      </c>
      <c r="F25" t="s">
        <v>4027</v>
      </c>
      <c r="G25">
        <v>79</v>
      </c>
    </row>
    <row r="26" spans="1:7" x14ac:dyDescent="0.2">
      <c r="A26" s="2">
        <v>45581</v>
      </c>
      <c r="B26" t="s">
        <v>636</v>
      </c>
      <c r="C26" t="s">
        <v>1</v>
      </c>
      <c r="D26" t="s">
        <v>3</v>
      </c>
      <c r="E26">
        <v>1</v>
      </c>
      <c r="F26" t="s">
        <v>4027</v>
      </c>
      <c r="G26">
        <v>87</v>
      </c>
    </row>
    <row r="27" spans="1:7" x14ac:dyDescent="0.2">
      <c r="A27" s="2">
        <v>45582</v>
      </c>
      <c r="B27" t="s">
        <v>672</v>
      </c>
      <c r="C27" t="s">
        <v>1</v>
      </c>
      <c r="D27" t="s">
        <v>3</v>
      </c>
      <c r="E27">
        <v>1</v>
      </c>
      <c r="F27" t="s">
        <v>4027</v>
      </c>
      <c r="G27">
        <v>85</v>
      </c>
    </row>
    <row r="28" spans="1:7" x14ac:dyDescent="0.2">
      <c r="A28" s="2">
        <v>45582</v>
      </c>
      <c r="B28" t="s">
        <v>668</v>
      </c>
      <c r="C28" t="s">
        <v>1</v>
      </c>
      <c r="D28" t="s">
        <v>3</v>
      </c>
      <c r="E28">
        <v>1</v>
      </c>
      <c r="F28" t="s">
        <v>4027</v>
      </c>
      <c r="G28">
        <v>78</v>
      </c>
    </row>
    <row r="29" spans="1:7" x14ac:dyDescent="0.2">
      <c r="A29" s="2">
        <v>45582</v>
      </c>
      <c r="B29" t="s">
        <v>665</v>
      </c>
      <c r="C29" t="s">
        <v>1</v>
      </c>
      <c r="D29" t="s">
        <v>3</v>
      </c>
      <c r="E29">
        <v>1</v>
      </c>
      <c r="F29" t="s">
        <v>4027</v>
      </c>
      <c r="G29">
        <v>62</v>
      </c>
    </row>
    <row r="30" spans="1:7" x14ac:dyDescent="0.2">
      <c r="A30" s="2">
        <v>45582</v>
      </c>
      <c r="B30" t="s">
        <v>664</v>
      </c>
      <c r="C30" t="s">
        <v>1</v>
      </c>
      <c r="D30" t="s">
        <v>3</v>
      </c>
      <c r="E30">
        <v>1</v>
      </c>
      <c r="F30" t="s">
        <v>4027</v>
      </c>
      <c r="G30">
        <v>79</v>
      </c>
    </row>
    <row r="31" spans="1:7" x14ac:dyDescent="0.2">
      <c r="A31" s="2">
        <v>45582</v>
      </c>
      <c r="B31" t="s">
        <v>663</v>
      </c>
      <c r="C31" t="s">
        <v>1</v>
      </c>
      <c r="D31" t="s">
        <v>3</v>
      </c>
      <c r="E31">
        <v>1</v>
      </c>
      <c r="F31" t="s">
        <v>4027</v>
      </c>
      <c r="G31">
        <v>87</v>
      </c>
    </row>
    <row r="32" spans="1:7" x14ac:dyDescent="0.2">
      <c r="A32" s="2">
        <v>45582</v>
      </c>
      <c r="B32" t="s">
        <v>660</v>
      </c>
      <c r="C32" t="s">
        <v>1</v>
      </c>
      <c r="D32" t="s">
        <v>3</v>
      </c>
      <c r="E32">
        <v>1</v>
      </c>
      <c r="F32" t="s">
        <v>4027</v>
      </c>
      <c r="G32">
        <v>65</v>
      </c>
    </row>
    <row r="33" spans="1:7" x14ac:dyDescent="0.2">
      <c r="A33" s="2">
        <v>45582</v>
      </c>
      <c r="B33" t="s">
        <v>659</v>
      </c>
      <c r="C33" t="s">
        <v>1</v>
      </c>
      <c r="D33" t="s">
        <v>3</v>
      </c>
      <c r="E33">
        <v>1</v>
      </c>
      <c r="F33" t="s">
        <v>4027</v>
      </c>
      <c r="G33">
        <v>69</v>
      </c>
    </row>
    <row r="34" spans="1:7" x14ac:dyDescent="0.2">
      <c r="A34" s="2">
        <v>45582</v>
      </c>
      <c r="B34" t="s">
        <v>658</v>
      </c>
      <c r="C34" t="s">
        <v>1</v>
      </c>
      <c r="D34" t="s">
        <v>3</v>
      </c>
      <c r="E34">
        <v>1</v>
      </c>
      <c r="F34" t="s">
        <v>4027</v>
      </c>
      <c r="G34">
        <v>76</v>
      </c>
    </row>
    <row r="35" spans="1:7" x14ac:dyDescent="0.2">
      <c r="A35" s="2">
        <v>45582</v>
      </c>
      <c r="B35" t="s">
        <v>671</v>
      </c>
      <c r="C35" t="s">
        <v>1</v>
      </c>
      <c r="D35" t="s">
        <v>3</v>
      </c>
      <c r="E35">
        <v>1</v>
      </c>
      <c r="F35" t="s">
        <v>4027</v>
      </c>
      <c r="G35">
        <v>80</v>
      </c>
    </row>
    <row r="36" spans="1:7" x14ac:dyDescent="0.2">
      <c r="A36" s="2">
        <v>45582</v>
      </c>
      <c r="B36" t="s">
        <v>656</v>
      </c>
      <c r="C36" t="s">
        <v>1</v>
      </c>
      <c r="D36" t="s">
        <v>3</v>
      </c>
      <c r="E36">
        <v>1</v>
      </c>
      <c r="F36" t="s">
        <v>4027</v>
      </c>
      <c r="G36">
        <v>75</v>
      </c>
    </row>
    <row r="37" spans="1:7" x14ac:dyDescent="0.2">
      <c r="A37" s="2">
        <v>45582</v>
      </c>
      <c r="B37" t="s">
        <v>655</v>
      </c>
      <c r="C37" t="s">
        <v>1</v>
      </c>
      <c r="D37" t="s">
        <v>3</v>
      </c>
      <c r="E37">
        <v>1</v>
      </c>
      <c r="F37" t="s">
        <v>4027</v>
      </c>
      <c r="G37">
        <v>67</v>
      </c>
    </row>
    <row r="38" spans="1:7" x14ac:dyDescent="0.2">
      <c r="A38" s="2">
        <v>45582</v>
      </c>
      <c r="B38" t="s">
        <v>652</v>
      </c>
      <c r="C38" t="s">
        <v>1</v>
      </c>
      <c r="D38" t="s">
        <v>3</v>
      </c>
      <c r="E38">
        <v>1</v>
      </c>
      <c r="F38" t="s">
        <v>4027</v>
      </c>
      <c r="G38">
        <v>82</v>
      </c>
    </row>
    <row r="39" spans="1:7" x14ac:dyDescent="0.2">
      <c r="A39" s="2">
        <v>45582</v>
      </c>
      <c r="B39" t="s">
        <v>649</v>
      </c>
      <c r="C39" t="s">
        <v>1</v>
      </c>
      <c r="D39" t="s">
        <v>3</v>
      </c>
      <c r="E39">
        <v>1</v>
      </c>
      <c r="F39" t="s">
        <v>4027</v>
      </c>
      <c r="G39">
        <v>77</v>
      </c>
    </row>
    <row r="40" spans="1:7" x14ac:dyDescent="0.2">
      <c r="A40" s="2">
        <v>45582</v>
      </c>
      <c r="B40" t="s">
        <v>648</v>
      </c>
      <c r="C40" t="s">
        <v>1</v>
      </c>
      <c r="D40" t="s">
        <v>3</v>
      </c>
      <c r="E40">
        <v>1</v>
      </c>
      <c r="F40" t="s">
        <v>4027</v>
      </c>
      <c r="G40">
        <v>85</v>
      </c>
    </row>
    <row r="41" spans="1:7" x14ac:dyDescent="0.2">
      <c r="A41" s="2">
        <v>45582</v>
      </c>
      <c r="B41" t="s">
        <v>645</v>
      </c>
      <c r="C41" t="s">
        <v>1</v>
      </c>
      <c r="D41" t="s">
        <v>3</v>
      </c>
      <c r="E41">
        <v>1</v>
      </c>
      <c r="F41" t="s">
        <v>4027</v>
      </c>
      <c r="G41">
        <v>75</v>
      </c>
    </row>
    <row r="42" spans="1:7" x14ac:dyDescent="0.2">
      <c r="A42" s="2">
        <v>45582</v>
      </c>
      <c r="B42" t="s">
        <v>644</v>
      </c>
      <c r="C42" t="s">
        <v>1</v>
      </c>
      <c r="D42" t="s">
        <v>3</v>
      </c>
      <c r="E42">
        <v>1</v>
      </c>
      <c r="F42" t="s">
        <v>4027</v>
      </c>
      <c r="G42">
        <v>70</v>
      </c>
    </row>
    <row r="43" spans="1:7" x14ac:dyDescent="0.2">
      <c r="A43" s="2">
        <v>45582</v>
      </c>
      <c r="B43" t="s">
        <v>642</v>
      </c>
      <c r="C43" t="s">
        <v>1</v>
      </c>
      <c r="D43" t="s">
        <v>3</v>
      </c>
      <c r="E43">
        <v>1</v>
      </c>
      <c r="F43" t="s">
        <v>4027</v>
      </c>
      <c r="G43">
        <v>61</v>
      </c>
    </row>
    <row r="44" spans="1:7" x14ac:dyDescent="0.2">
      <c r="A44" s="2">
        <v>45582</v>
      </c>
      <c r="B44" t="s">
        <v>643</v>
      </c>
      <c r="C44" t="s">
        <v>1</v>
      </c>
      <c r="D44" t="s">
        <v>3</v>
      </c>
      <c r="E44">
        <v>1</v>
      </c>
      <c r="F44" t="s">
        <v>4027</v>
      </c>
      <c r="G44">
        <v>82</v>
      </c>
    </row>
    <row r="45" spans="1:7" x14ac:dyDescent="0.2">
      <c r="A45" s="2">
        <v>45582</v>
      </c>
      <c r="B45" t="s">
        <v>657</v>
      </c>
      <c r="C45" t="s">
        <v>1</v>
      </c>
      <c r="D45" t="s">
        <v>3</v>
      </c>
      <c r="E45">
        <v>1</v>
      </c>
      <c r="F45" t="s">
        <v>4027</v>
      </c>
      <c r="G45">
        <v>68</v>
      </c>
    </row>
    <row r="46" spans="1:7" x14ac:dyDescent="0.2">
      <c r="A46" s="2">
        <v>45583</v>
      </c>
      <c r="B46" t="s">
        <v>692</v>
      </c>
      <c r="C46" t="s">
        <v>1</v>
      </c>
      <c r="D46" t="s">
        <v>3</v>
      </c>
      <c r="E46">
        <v>1</v>
      </c>
      <c r="F46" t="s">
        <v>4027</v>
      </c>
      <c r="G46">
        <v>78</v>
      </c>
    </row>
    <row r="47" spans="1:7" x14ac:dyDescent="0.2">
      <c r="A47" s="2">
        <v>45583</v>
      </c>
      <c r="B47" t="s">
        <v>691</v>
      </c>
      <c r="C47" t="s">
        <v>1</v>
      </c>
      <c r="D47" t="s">
        <v>3</v>
      </c>
      <c r="E47">
        <v>1</v>
      </c>
      <c r="F47" t="s">
        <v>4027</v>
      </c>
      <c r="G47">
        <v>64</v>
      </c>
    </row>
    <row r="48" spans="1:7" x14ac:dyDescent="0.2">
      <c r="A48" s="2">
        <v>45583</v>
      </c>
      <c r="B48" t="s">
        <v>688</v>
      </c>
      <c r="C48" t="s">
        <v>1</v>
      </c>
      <c r="D48" t="s">
        <v>3</v>
      </c>
      <c r="E48">
        <v>1</v>
      </c>
      <c r="F48" t="s">
        <v>4027</v>
      </c>
      <c r="G48">
        <v>80</v>
      </c>
    </row>
    <row r="49" spans="1:7" x14ac:dyDescent="0.2">
      <c r="A49" s="2">
        <v>45583</v>
      </c>
      <c r="B49" t="s">
        <v>687</v>
      </c>
      <c r="C49" t="s">
        <v>1</v>
      </c>
      <c r="D49" t="s">
        <v>3</v>
      </c>
      <c r="E49">
        <v>1</v>
      </c>
      <c r="F49" t="s">
        <v>4027</v>
      </c>
      <c r="G49">
        <v>87</v>
      </c>
    </row>
    <row r="50" spans="1:7" x14ac:dyDescent="0.2">
      <c r="A50" s="2">
        <v>45583</v>
      </c>
      <c r="B50" t="s">
        <v>683</v>
      </c>
      <c r="C50" t="s">
        <v>1</v>
      </c>
      <c r="D50" t="s">
        <v>3</v>
      </c>
      <c r="E50">
        <v>1</v>
      </c>
      <c r="F50" t="s">
        <v>4027</v>
      </c>
      <c r="G50">
        <v>83</v>
      </c>
    </row>
    <row r="51" spans="1:7" x14ac:dyDescent="0.2">
      <c r="A51" s="2">
        <v>45583</v>
      </c>
      <c r="B51" t="s">
        <v>682</v>
      </c>
      <c r="C51" t="s">
        <v>1</v>
      </c>
      <c r="D51" t="s">
        <v>3</v>
      </c>
      <c r="E51">
        <v>1</v>
      </c>
      <c r="F51" t="s">
        <v>4027</v>
      </c>
      <c r="G51">
        <v>87</v>
      </c>
    </row>
    <row r="52" spans="1:7" x14ac:dyDescent="0.2">
      <c r="A52" s="2">
        <v>45583</v>
      </c>
      <c r="B52" t="s">
        <v>679</v>
      </c>
      <c r="C52" t="s">
        <v>1</v>
      </c>
      <c r="D52" t="s">
        <v>3</v>
      </c>
      <c r="E52">
        <v>1</v>
      </c>
      <c r="F52" t="s">
        <v>4027</v>
      </c>
      <c r="G52">
        <v>70</v>
      </c>
    </row>
    <row r="53" spans="1:7" x14ac:dyDescent="0.2">
      <c r="A53" s="2">
        <v>45583</v>
      </c>
      <c r="B53" t="s">
        <v>676</v>
      </c>
      <c r="C53" t="s">
        <v>1</v>
      </c>
      <c r="D53" t="s">
        <v>3</v>
      </c>
      <c r="E53">
        <v>1</v>
      </c>
      <c r="F53" t="s">
        <v>4027</v>
      </c>
      <c r="G53">
        <v>62</v>
      </c>
    </row>
    <row r="54" spans="1:7" x14ac:dyDescent="0.2">
      <c r="A54" s="2">
        <v>45583</v>
      </c>
      <c r="B54" t="s">
        <v>675</v>
      </c>
      <c r="C54" t="s">
        <v>1</v>
      </c>
      <c r="D54" t="s">
        <v>3</v>
      </c>
      <c r="E54">
        <v>1</v>
      </c>
      <c r="F54" t="s">
        <v>4027</v>
      </c>
      <c r="G54">
        <v>71</v>
      </c>
    </row>
    <row r="55" spans="1:7" x14ac:dyDescent="0.2">
      <c r="A55" s="2">
        <v>45583</v>
      </c>
      <c r="B55" t="s">
        <v>684</v>
      </c>
      <c r="C55" t="s">
        <v>1</v>
      </c>
      <c r="D55" t="s">
        <v>3</v>
      </c>
      <c r="E55">
        <v>1</v>
      </c>
      <c r="F55" t="s">
        <v>4027</v>
      </c>
      <c r="G55">
        <v>69</v>
      </c>
    </row>
    <row r="56" spans="1:7" x14ac:dyDescent="0.2">
      <c r="A56" s="2">
        <v>45584</v>
      </c>
      <c r="B56" t="s">
        <v>693</v>
      </c>
      <c r="C56" t="s">
        <v>1</v>
      </c>
      <c r="D56" t="s">
        <v>3</v>
      </c>
      <c r="E56">
        <v>1</v>
      </c>
      <c r="F56" t="s">
        <v>4027</v>
      </c>
      <c r="G56">
        <v>65</v>
      </c>
    </row>
    <row r="57" spans="1:7" x14ac:dyDescent="0.2">
      <c r="A57" s="2">
        <v>45584</v>
      </c>
      <c r="B57" t="s">
        <v>694</v>
      </c>
      <c r="C57" t="s">
        <v>1</v>
      </c>
      <c r="D57" t="s">
        <v>3</v>
      </c>
      <c r="E57">
        <v>1</v>
      </c>
      <c r="F57" t="s">
        <v>4027</v>
      </c>
      <c r="G57">
        <v>87</v>
      </c>
    </row>
    <row r="58" spans="1:7" x14ac:dyDescent="0.2">
      <c r="A58" s="2">
        <v>45584</v>
      </c>
      <c r="B58" t="s">
        <v>697</v>
      </c>
      <c r="C58" t="s">
        <v>1</v>
      </c>
      <c r="D58" t="s">
        <v>3</v>
      </c>
      <c r="E58">
        <v>1</v>
      </c>
      <c r="F58" t="s">
        <v>4027</v>
      </c>
      <c r="G58">
        <v>67</v>
      </c>
    </row>
    <row r="59" spans="1:7" x14ac:dyDescent="0.2">
      <c r="A59" s="2">
        <v>45586</v>
      </c>
      <c r="B59" t="s">
        <v>619</v>
      </c>
      <c r="C59" t="s">
        <v>2</v>
      </c>
      <c r="D59" t="s">
        <v>4</v>
      </c>
      <c r="E59">
        <v>1</v>
      </c>
      <c r="F59" t="s">
        <v>600</v>
      </c>
      <c r="G59">
        <v>22</v>
      </c>
    </row>
    <row r="60" spans="1:7" x14ac:dyDescent="0.2">
      <c r="A60" s="2">
        <v>45586</v>
      </c>
      <c r="B60" t="s">
        <v>623</v>
      </c>
      <c r="C60" t="s">
        <v>2</v>
      </c>
      <c r="D60" t="s">
        <v>4</v>
      </c>
      <c r="E60">
        <v>1</v>
      </c>
      <c r="F60" t="s">
        <v>600</v>
      </c>
      <c r="G60">
        <v>22</v>
      </c>
    </row>
    <row r="61" spans="1:7" x14ac:dyDescent="0.2">
      <c r="A61" s="2">
        <v>45586</v>
      </c>
      <c r="B61" t="s">
        <v>630</v>
      </c>
      <c r="C61" t="s">
        <v>2</v>
      </c>
      <c r="D61" t="s">
        <v>4</v>
      </c>
      <c r="E61">
        <v>1</v>
      </c>
      <c r="F61" t="s">
        <v>600</v>
      </c>
      <c r="G61">
        <v>22</v>
      </c>
    </row>
    <row r="62" spans="1:7" x14ac:dyDescent="0.2">
      <c r="A62" s="2">
        <v>45586</v>
      </c>
      <c r="B62" t="s">
        <v>616</v>
      </c>
      <c r="C62" t="s">
        <v>2</v>
      </c>
      <c r="D62" t="s">
        <v>4</v>
      </c>
      <c r="E62">
        <v>1</v>
      </c>
      <c r="F62" t="s">
        <v>600</v>
      </c>
      <c r="G62">
        <v>22</v>
      </c>
    </row>
    <row r="63" spans="1:7" x14ac:dyDescent="0.2">
      <c r="A63" s="2">
        <v>45586</v>
      </c>
      <c r="B63" t="s">
        <v>708</v>
      </c>
      <c r="C63" t="s">
        <v>1</v>
      </c>
      <c r="D63" t="s">
        <v>3</v>
      </c>
      <c r="E63">
        <v>1</v>
      </c>
      <c r="F63" t="s">
        <v>4027</v>
      </c>
      <c r="G63">
        <v>67</v>
      </c>
    </row>
    <row r="64" spans="1:7" x14ac:dyDescent="0.2">
      <c r="A64" s="2">
        <v>45586</v>
      </c>
      <c r="B64" t="s">
        <v>609</v>
      </c>
      <c r="C64" t="s">
        <v>2</v>
      </c>
      <c r="D64" t="s">
        <v>4</v>
      </c>
      <c r="E64">
        <v>1</v>
      </c>
      <c r="F64" t="s">
        <v>600</v>
      </c>
      <c r="G64">
        <v>22</v>
      </c>
    </row>
    <row r="65" spans="1:7" x14ac:dyDescent="0.2">
      <c r="A65" s="2">
        <v>45586</v>
      </c>
      <c r="B65" t="s">
        <v>707</v>
      </c>
      <c r="C65" t="s">
        <v>1</v>
      </c>
      <c r="D65" t="s">
        <v>3</v>
      </c>
      <c r="E65">
        <v>1</v>
      </c>
      <c r="F65" t="s">
        <v>4027</v>
      </c>
      <c r="G65">
        <v>89</v>
      </c>
    </row>
    <row r="66" spans="1:7" x14ac:dyDescent="0.2">
      <c r="A66" s="2">
        <v>45586</v>
      </c>
      <c r="B66" t="s">
        <v>705</v>
      </c>
      <c r="C66" t="s">
        <v>1</v>
      </c>
      <c r="D66" t="s">
        <v>3</v>
      </c>
      <c r="E66">
        <v>1</v>
      </c>
      <c r="F66" t="s">
        <v>4027</v>
      </c>
      <c r="G66">
        <v>82</v>
      </c>
    </row>
    <row r="67" spans="1:7" x14ac:dyDescent="0.2">
      <c r="A67" s="2">
        <v>45586</v>
      </c>
      <c r="B67" t="s">
        <v>706</v>
      </c>
      <c r="C67" t="s">
        <v>1</v>
      </c>
      <c r="D67" t="s">
        <v>3</v>
      </c>
      <c r="E67">
        <v>1</v>
      </c>
      <c r="F67" t="s">
        <v>4027</v>
      </c>
      <c r="G67">
        <v>81</v>
      </c>
    </row>
    <row r="68" spans="1:7" x14ac:dyDescent="0.2">
      <c r="A68" s="2">
        <v>45586</v>
      </c>
      <c r="B68" t="s">
        <v>702</v>
      </c>
      <c r="C68" t="s">
        <v>1</v>
      </c>
      <c r="D68" t="s">
        <v>3</v>
      </c>
      <c r="E68">
        <v>1</v>
      </c>
      <c r="F68" t="s">
        <v>4027</v>
      </c>
      <c r="G68">
        <v>65</v>
      </c>
    </row>
    <row r="69" spans="1:7" x14ac:dyDescent="0.2">
      <c r="A69" s="2">
        <v>45586</v>
      </c>
      <c r="B69" t="s">
        <v>699</v>
      </c>
      <c r="C69" t="s">
        <v>1</v>
      </c>
      <c r="D69" t="s">
        <v>3</v>
      </c>
      <c r="E69">
        <v>1</v>
      </c>
      <c r="F69" t="s">
        <v>4027</v>
      </c>
      <c r="G69">
        <v>80</v>
      </c>
    </row>
    <row r="70" spans="1:7" x14ac:dyDescent="0.2">
      <c r="A70" s="2">
        <v>45586</v>
      </c>
      <c r="B70" t="s">
        <v>698</v>
      </c>
      <c r="C70" t="s">
        <v>1</v>
      </c>
      <c r="D70" t="s">
        <v>3</v>
      </c>
      <c r="E70">
        <v>1</v>
      </c>
      <c r="F70" t="s">
        <v>4027</v>
      </c>
      <c r="G70">
        <v>78</v>
      </c>
    </row>
    <row r="71" spans="1:7" x14ac:dyDescent="0.2">
      <c r="A71" s="2">
        <v>45587</v>
      </c>
      <c r="B71" t="s">
        <v>634</v>
      </c>
      <c r="C71" t="s">
        <v>2</v>
      </c>
      <c r="D71" t="s">
        <v>4</v>
      </c>
      <c r="E71">
        <v>1</v>
      </c>
      <c r="F71" t="s">
        <v>600</v>
      </c>
      <c r="G71">
        <v>22</v>
      </c>
    </row>
    <row r="72" spans="1:7" x14ac:dyDescent="0.2">
      <c r="A72" s="2">
        <v>45587</v>
      </c>
      <c r="B72" t="s">
        <v>730</v>
      </c>
      <c r="C72" t="s">
        <v>1</v>
      </c>
      <c r="D72" t="s">
        <v>3</v>
      </c>
      <c r="E72">
        <v>1</v>
      </c>
      <c r="F72" t="s">
        <v>4027</v>
      </c>
      <c r="G72">
        <v>63</v>
      </c>
    </row>
    <row r="73" spans="1:7" x14ac:dyDescent="0.2">
      <c r="A73" s="2">
        <v>45587</v>
      </c>
      <c r="B73" t="s">
        <v>729</v>
      </c>
      <c r="C73" t="s">
        <v>1</v>
      </c>
      <c r="D73" t="s">
        <v>3</v>
      </c>
      <c r="E73">
        <v>1</v>
      </c>
      <c r="F73" t="s">
        <v>4027</v>
      </c>
      <c r="G73">
        <v>81</v>
      </c>
    </row>
    <row r="74" spans="1:7" x14ac:dyDescent="0.2">
      <c r="A74" s="2">
        <v>45587</v>
      </c>
      <c r="B74" t="s">
        <v>727</v>
      </c>
      <c r="C74" t="s">
        <v>1</v>
      </c>
      <c r="D74" t="s">
        <v>3</v>
      </c>
      <c r="E74">
        <v>1</v>
      </c>
      <c r="F74" t="s">
        <v>4027</v>
      </c>
      <c r="G74">
        <v>79</v>
      </c>
    </row>
    <row r="75" spans="1:7" x14ac:dyDescent="0.2">
      <c r="A75" s="2">
        <v>45587</v>
      </c>
      <c r="B75" t="s">
        <v>711</v>
      </c>
      <c r="C75" t="s">
        <v>1</v>
      </c>
      <c r="D75" t="s">
        <v>3</v>
      </c>
      <c r="E75">
        <v>1</v>
      </c>
      <c r="F75" t="s">
        <v>4027</v>
      </c>
      <c r="G75">
        <v>77</v>
      </c>
    </row>
    <row r="76" spans="1:7" x14ac:dyDescent="0.2">
      <c r="A76" s="2">
        <v>45587</v>
      </c>
      <c r="B76" t="s">
        <v>723</v>
      </c>
      <c r="C76" t="s">
        <v>1</v>
      </c>
      <c r="D76" t="s">
        <v>3</v>
      </c>
      <c r="E76">
        <v>1</v>
      </c>
      <c r="F76" t="s">
        <v>4027</v>
      </c>
      <c r="G76">
        <v>63</v>
      </c>
    </row>
    <row r="77" spans="1:7" x14ac:dyDescent="0.2">
      <c r="A77" s="2">
        <v>45587</v>
      </c>
      <c r="B77" t="s">
        <v>718</v>
      </c>
      <c r="C77" t="s">
        <v>1</v>
      </c>
      <c r="D77" t="s">
        <v>3</v>
      </c>
      <c r="E77">
        <v>1</v>
      </c>
      <c r="F77" t="s">
        <v>4027</v>
      </c>
      <c r="G77">
        <v>73</v>
      </c>
    </row>
    <row r="78" spans="1:7" x14ac:dyDescent="0.2">
      <c r="A78" s="2">
        <v>45587</v>
      </c>
      <c r="B78" t="s">
        <v>717</v>
      </c>
      <c r="C78" t="s">
        <v>1</v>
      </c>
      <c r="D78" t="s">
        <v>3</v>
      </c>
      <c r="E78">
        <v>1</v>
      </c>
      <c r="F78" t="s">
        <v>4027</v>
      </c>
      <c r="G78">
        <v>73</v>
      </c>
    </row>
    <row r="79" spans="1:7" x14ac:dyDescent="0.2">
      <c r="A79" s="2">
        <v>45587</v>
      </c>
      <c r="B79" t="s">
        <v>714</v>
      </c>
      <c r="C79" t="s">
        <v>1</v>
      </c>
      <c r="D79" t="s">
        <v>3</v>
      </c>
      <c r="E79">
        <v>1</v>
      </c>
      <c r="F79" t="s">
        <v>4027</v>
      </c>
      <c r="G79">
        <v>75</v>
      </c>
    </row>
    <row r="80" spans="1:7" x14ac:dyDescent="0.2">
      <c r="A80" s="2">
        <v>45587</v>
      </c>
      <c r="B80" t="s">
        <v>713</v>
      </c>
      <c r="C80" t="s">
        <v>1</v>
      </c>
      <c r="D80" t="s">
        <v>3</v>
      </c>
      <c r="E80">
        <v>1</v>
      </c>
      <c r="F80" t="s">
        <v>4027</v>
      </c>
      <c r="G80">
        <v>75</v>
      </c>
    </row>
    <row r="81" spans="1:7" x14ac:dyDescent="0.2">
      <c r="A81" s="2">
        <v>45587</v>
      </c>
      <c r="B81" t="s">
        <v>712</v>
      </c>
      <c r="C81" t="s">
        <v>1</v>
      </c>
      <c r="D81" t="s">
        <v>3</v>
      </c>
      <c r="E81">
        <v>1</v>
      </c>
      <c r="F81" t="s">
        <v>4027</v>
      </c>
      <c r="G81">
        <v>83</v>
      </c>
    </row>
    <row r="82" spans="1:7" x14ac:dyDescent="0.2">
      <c r="A82" s="2">
        <v>45587</v>
      </c>
      <c r="B82" t="s">
        <v>721</v>
      </c>
      <c r="C82" t="s">
        <v>1</v>
      </c>
      <c r="D82" t="s">
        <v>3</v>
      </c>
      <c r="E82">
        <v>1</v>
      </c>
      <c r="F82" t="s">
        <v>4027</v>
      </c>
      <c r="G82">
        <v>71</v>
      </c>
    </row>
    <row r="83" spans="1:7" x14ac:dyDescent="0.2">
      <c r="A83" s="2">
        <v>45587</v>
      </c>
      <c r="B83" t="s">
        <v>725</v>
      </c>
      <c r="C83" t="s">
        <v>1</v>
      </c>
      <c r="D83" t="s">
        <v>3</v>
      </c>
      <c r="E83">
        <v>1</v>
      </c>
      <c r="F83" t="s">
        <v>4027</v>
      </c>
      <c r="G83">
        <v>73</v>
      </c>
    </row>
    <row r="84" spans="1:7" x14ac:dyDescent="0.2">
      <c r="A84" s="2">
        <v>45587</v>
      </c>
      <c r="B84" t="s">
        <v>722</v>
      </c>
      <c r="C84" t="s">
        <v>1</v>
      </c>
      <c r="D84" t="s">
        <v>3</v>
      </c>
      <c r="E84">
        <v>1</v>
      </c>
      <c r="F84" t="s">
        <v>4027</v>
      </c>
      <c r="G84">
        <v>76</v>
      </c>
    </row>
    <row r="85" spans="1:7" x14ac:dyDescent="0.2">
      <c r="A85" s="2">
        <v>45588</v>
      </c>
      <c r="B85" t="s">
        <v>740</v>
      </c>
      <c r="C85" t="s">
        <v>1</v>
      </c>
      <c r="D85" t="s">
        <v>3</v>
      </c>
      <c r="E85">
        <v>1</v>
      </c>
      <c r="F85" t="s">
        <v>4027</v>
      </c>
      <c r="G85">
        <v>79</v>
      </c>
    </row>
    <row r="86" spans="1:7" x14ac:dyDescent="0.2">
      <c r="A86" s="2">
        <v>45588</v>
      </c>
      <c r="B86" t="s">
        <v>736</v>
      </c>
      <c r="C86" t="s">
        <v>1</v>
      </c>
      <c r="D86" t="s">
        <v>3</v>
      </c>
      <c r="E86">
        <v>1</v>
      </c>
      <c r="F86" t="s">
        <v>4027</v>
      </c>
      <c r="G86">
        <v>81</v>
      </c>
    </row>
    <row r="87" spans="1:7" x14ac:dyDescent="0.2">
      <c r="A87" s="2">
        <v>45588</v>
      </c>
      <c r="B87" t="s">
        <v>735</v>
      </c>
      <c r="C87" t="s">
        <v>1</v>
      </c>
      <c r="D87" t="s">
        <v>3</v>
      </c>
      <c r="E87">
        <v>1</v>
      </c>
      <c r="F87" t="s">
        <v>4027</v>
      </c>
      <c r="G87">
        <v>63</v>
      </c>
    </row>
    <row r="88" spans="1:7" x14ac:dyDescent="0.2">
      <c r="A88" s="2">
        <v>45588</v>
      </c>
      <c r="B88" t="s">
        <v>739</v>
      </c>
      <c r="C88" t="s">
        <v>1</v>
      </c>
      <c r="D88" t="s">
        <v>3</v>
      </c>
      <c r="E88">
        <v>1</v>
      </c>
      <c r="F88" t="s">
        <v>4027</v>
      </c>
      <c r="G88">
        <v>88</v>
      </c>
    </row>
    <row r="89" spans="1:7" x14ac:dyDescent="0.2">
      <c r="A89" s="2">
        <v>45588</v>
      </c>
      <c r="B89" t="s">
        <v>733</v>
      </c>
      <c r="C89" t="s">
        <v>1</v>
      </c>
      <c r="D89" t="s">
        <v>3</v>
      </c>
      <c r="E89">
        <v>1</v>
      </c>
      <c r="F89" t="s">
        <v>4027</v>
      </c>
      <c r="G89">
        <v>89</v>
      </c>
    </row>
    <row r="90" spans="1:7" x14ac:dyDescent="0.2">
      <c r="A90" s="2">
        <v>45588</v>
      </c>
      <c r="B90" t="s">
        <v>732</v>
      </c>
      <c r="C90" t="s">
        <v>1</v>
      </c>
      <c r="D90" t="s">
        <v>3</v>
      </c>
      <c r="E90">
        <v>1</v>
      </c>
      <c r="F90" t="s">
        <v>4027</v>
      </c>
      <c r="G90">
        <v>73</v>
      </c>
    </row>
    <row r="91" spans="1:7" x14ac:dyDescent="0.2">
      <c r="A91" s="2">
        <v>45588</v>
      </c>
      <c r="B91" t="s">
        <v>737</v>
      </c>
      <c r="C91" t="s">
        <v>1</v>
      </c>
      <c r="D91" t="s">
        <v>3</v>
      </c>
      <c r="E91">
        <v>1</v>
      </c>
      <c r="F91" t="s">
        <v>4027</v>
      </c>
      <c r="G91">
        <v>83</v>
      </c>
    </row>
    <row r="92" spans="1:7" x14ac:dyDescent="0.2">
      <c r="A92" s="2">
        <v>45588</v>
      </c>
      <c r="B92" t="s">
        <v>752</v>
      </c>
      <c r="C92" t="s">
        <v>1</v>
      </c>
      <c r="D92" t="s">
        <v>3</v>
      </c>
      <c r="E92">
        <v>1</v>
      </c>
      <c r="F92" t="s">
        <v>4027</v>
      </c>
      <c r="G92">
        <v>64</v>
      </c>
    </row>
    <row r="93" spans="1:7" x14ac:dyDescent="0.2">
      <c r="A93" s="2">
        <v>45588</v>
      </c>
      <c r="B93" t="s">
        <v>751</v>
      </c>
      <c r="C93" t="s">
        <v>1</v>
      </c>
      <c r="D93" t="s">
        <v>3</v>
      </c>
      <c r="E93">
        <v>1</v>
      </c>
      <c r="F93" t="s">
        <v>4027</v>
      </c>
      <c r="G93">
        <v>75</v>
      </c>
    </row>
    <row r="94" spans="1:7" x14ac:dyDescent="0.2">
      <c r="A94" s="2">
        <v>45588</v>
      </c>
      <c r="B94" t="s">
        <v>750</v>
      </c>
      <c r="C94" t="s">
        <v>1</v>
      </c>
      <c r="D94" t="s">
        <v>3</v>
      </c>
      <c r="E94">
        <v>1</v>
      </c>
      <c r="F94" t="s">
        <v>4027</v>
      </c>
      <c r="G94">
        <v>64</v>
      </c>
    </row>
    <row r="95" spans="1:7" x14ac:dyDescent="0.2">
      <c r="A95" s="2">
        <v>45588</v>
      </c>
      <c r="B95" t="s">
        <v>749</v>
      </c>
      <c r="C95" t="s">
        <v>1</v>
      </c>
      <c r="D95" t="s">
        <v>3</v>
      </c>
      <c r="E95">
        <v>1</v>
      </c>
      <c r="F95" t="s">
        <v>4027</v>
      </c>
      <c r="G95">
        <v>81</v>
      </c>
    </row>
    <row r="96" spans="1:7" x14ac:dyDescent="0.2">
      <c r="A96" s="2">
        <v>45588</v>
      </c>
      <c r="B96" t="s">
        <v>748</v>
      </c>
      <c r="C96" t="s">
        <v>1</v>
      </c>
      <c r="D96" t="s">
        <v>3</v>
      </c>
      <c r="E96">
        <v>1</v>
      </c>
      <c r="F96" t="s">
        <v>4027</v>
      </c>
      <c r="G96">
        <v>61</v>
      </c>
    </row>
    <row r="97" spans="1:7" x14ac:dyDescent="0.2">
      <c r="A97" s="2">
        <v>45588</v>
      </c>
      <c r="B97" t="s">
        <v>747</v>
      </c>
      <c r="C97" t="s">
        <v>1</v>
      </c>
      <c r="D97" t="s">
        <v>3</v>
      </c>
      <c r="E97">
        <v>1</v>
      </c>
      <c r="F97" t="s">
        <v>4027</v>
      </c>
      <c r="G97">
        <v>89</v>
      </c>
    </row>
    <row r="98" spans="1:7" x14ac:dyDescent="0.2">
      <c r="A98" s="2">
        <v>45588</v>
      </c>
      <c r="B98" t="s">
        <v>746</v>
      </c>
      <c r="C98" t="s">
        <v>1</v>
      </c>
      <c r="D98" t="s">
        <v>3</v>
      </c>
      <c r="E98">
        <v>1</v>
      </c>
      <c r="F98" t="s">
        <v>4027</v>
      </c>
      <c r="G98">
        <v>83</v>
      </c>
    </row>
    <row r="99" spans="1:7" x14ac:dyDescent="0.2">
      <c r="A99" s="2">
        <v>45588</v>
      </c>
      <c r="B99" t="s">
        <v>744</v>
      </c>
      <c r="C99" t="s">
        <v>1</v>
      </c>
      <c r="D99" t="s">
        <v>3</v>
      </c>
      <c r="E99">
        <v>1</v>
      </c>
      <c r="F99" t="s">
        <v>4027</v>
      </c>
      <c r="G99">
        <v>74</v>
      </c>
    </row>
    <row r="100" spans="1:7" x14ac:dyDescent="0.2">
      <c r="A100" s="2">
        <v>45588</v>
      </c>
      <c r="B100" t="s">
        <v>743</v>
      </c>
      <c r="C100" t="s">
        <v>1</v>
      </c>
      <c r="D100" t="s">
        <v>3</v>
      </c>
      <c r="E100">
        <v>1</v>
      </c>
      <c r="F100" t="s">
        <v>4027</v>
      </c>
      <c r="G100">
        <v>88</v>
      </c>
    </row>
    <row r="101" spans="1:7" x14ac:dyDescent="0.2">
      <c r="A101" s="2">
        <v>45588</v>
      </c>
      <c r="B101" t="s">
        <v>742</v>
      </c>
      <c r="C101" t="s">
        <v>1</v>
      </c>
      <c r="D101" t="s">
        <v>3</v>
      </c>
      <c r="E101">
        <v>1</v>
      </c>
      <c r="F101" t="s">
        <v>4027</v>
      </c>
      <c r="G101">
        <v>72</v>
      </c>
    </row>
    <row r="102" spans="1:7" x14ac:dyDescent="0.2">
      <c r="A102" s="2">
        <v>45589</v>
      </c>
      <c r="B102" t="s">
        <v>766</v>
      </c>
      <c r="C102" t="s">
        <v>1</v>
      </c>
      <c r="D102" t="s">
        <v>3</v>
      </c>
      <c r="E102">
        <v>1</v>
      </c>
      <c r="F102" t="s">
        <v>4027</v>
      </c>
      <c r="G102">
        <v>79</v>
      </c>
    </row>
    <row r="103" spans="1:7" x14ac:dyDescent="0.2">
      <c r="A103" s="2">
        <v>45589</v>
      </c>
      <c r="B103" t="s">
        <v>765</v>
      </c>
      <c r="C103" t="s">
        <v>1</v>
      </c>
      <c r="D103" t="s">
        <v>3</v>
      </c>
      <c r="E103">
        <v>1</v>
      </c>
      <c r="F103" t="s">
        <v>4027</v>
      </c>
      <c r="G103">
        <v>80</v>
      </c>
    </row>
    <row r="104" spans="1:7" x14ac:dyDescent="0.2">
      <c r="A104" s="2">
        <v>45589</v>
      </c>
      <c r="B104" t="s">
        <v>758</v>
      </c>
      <c r="C104" t="s">
        <v>1</v>
      </c>
      <c r="D104" t="s">
        <v>3</v>
      </c>
      <c r="E104">
        <v>1</v>
      </c>
      <c r="F104" t="s">
        <v>4027</v>
      </c>
      <c r="G104">
        <v>72</v>
      </c>
    </row>
    <row r="105" spans="1:7" x14ac:dyDescent="0.2">
      <c r="A105" s="2">
        <v>45589</v>
      </c>
      <c r="B105" t="s">
        <v>762</v>
      </c>
      <c r="C105" t="s">
        <v>1</v>
      </c>
      <c r="D105" t="s">
        <v>3</v>
      </c>
      <c r="E105">
        <v>1</v>
      </c>
      <c r="F105" t="s">
        <v>4027</v>
      </c>
      <c r="G105">
        <v>77</v>
      </c>
    </row>
    <row r="106" spans="1:7" x14ac:dyDescent="0.2">
      <c r="A106" s="2">
        <v>45589</v>
      </c>
      <c r="B106" t="s">
        <v>761</v>
      </c>
      <c r="C106" t="s">
        <v>1</v>
      </c>
      <c r="D106" t="s">
        <v>3</v>
      </c>
      <c r="E106">
        <v>1</v>
      </c>
      <c r="F106" t="s">
        <v>4027</v>
      </c>
      <c r="G106">
        <v>81</v>
      </c>
    </row>
    <row r="107" spans="1:7" x14ac:dyDescent="0.2">
      <c r="A107" s="2">
        <v>45589</v>
      </c>
      <c r="B107" t="s">
        <v>760</v>
      </c>
      <c r="C107" t="s">
        <v>1</v>
      </c>
      <c r="D107" t="s">
        <v>3</v>
      </c>
      <c r="E107">
        <v>1</v>
      </c>
      <c r="F107" t="s">
        <v>4027</v>
      </c>
      <c r="G107">
        <v>82</v>
      </c>
    </row>
    <row r="108" spans="1:7" x14ac:dyDescent="0.2">
      <c r="A108" s="2">
        <v>45589</v>
      </c>
      <c r="B108" t="s">
        <v>757</v>
      </c>
      <c r="C108" t="s">
        <v>1</v>
      </c>
      <c r="D108" t="s">
        <v>3</v>
      </c>
      <c r="E108">
        <v>1</v>
      </c>
      <c r="F108" t="s">
        <v>4027</v>
      </c>
      <c r="G108">
        <v>84</v>
      </c>
    </row>
    <row r="109" spans="1:7" x14ac:dyDescent="0.2">
      <c r="A109" s="2">
        <v>45589</v>
      </c>
      <c r="B109" t="s">
        <v>756</v>
      </c>
      <c r="C109" t="s">
        <v>1</v>
      </c>
      <c r="D109" t="s">
        <v>3</v>
      </c>
      <c r="E109">
        <v>1</v>
      </c>
      <c r="F109" t="s">
        <v>4027</v>
      </c>
      <c r="G109">
        <v>67</v>
      </c>
    </row>
    <row r="110" spans="1:7" x14ac:dyDescent="0.2">
      <c r="A110" s="2">
        <v>45589</v>
      </c>
      <c r="B110" t="s">
        <v>754</v>
      </c>
      <c r="C110" t="s">
        <v>1</v>
      </c>
      <c r="D110" t="s">
        <v>3</v>
      </c>
      <c r="E110">
        <v>1</v>
      </c>
      <c r="F110" t="s">
        <v>4027</v>
      </c>
      <c r="G110">
        <v>74</v>
      </c>
    </row>
    <row r="111" spans="1:7" x14ac:dyDescent="0.2">
      <c r="A111" s="2">
        <v>45589</v>
      </c>
      <c r="B111" t="s">
        <v>753</v>
      </c>
      <c r="C111" t="s">
        <v>1</v>
      </c>
      <c r="D111" t="s">
        <v>3</v>
      </c>
      <c r="E111">
        <v>1</v>
      </c>
      <c r="F111" t="s">
        <v>4027</v>
      </c>
      <c r="G111">
        <v>68</v>
      </c>
    </row>
    <row r="112" spans="1:7" x14ac:dyDescent="0.2">
      <c r="A112" s="2">
        <v>45589</v>
      </c>
      <c r="B112" t="s">
        <v>763</v>
      </c>
      <c r="C112" t="s">
        <v>1</v>
      </c>
      <c r="D112" t="s">
        <v>3</v>
      </c>
      <c r="E112">
        <v>1</v>
      </c>
      <c r="F112" t="s">
        <v>4027</v>
      </c>
      <c r="G112">
        <v>76</v>
      </c>
    </row>
    <row r="113" spans="1:7" x14ac:dyDescent="0.2">
      <c r="A113" s="2">
        <v>45590</v>
      </c>
      <c r="B113" t="s">
        <v>784</v>
      </c>
      <c r="C113" t="s">
        <v>1</v>
      </c>
      <c r="D113" t="s">
        <v>3</v>
      </c>
      <c r="E113">
        <v>1</v>
      </c>
      <c r="F113" t="s">
        <v>4027</v>
      </c>
      <c r="G113">
        <v>77</v>
      </c>
    </row>
    <row r="114" spans="1:7" x14ac:dyDescent="0.2">
      <c r="A114" s="2">
        <v>45590</v>
      </c>
      <c r="B114" t="s">
        <v>785</v>
      </c>
      <c r="C114" t="s">
        <v>1</v>
      </c>
      <c r="D114" t="s">
        <v>3</v>
      </c>
      <c r="E114">
        <v>1</v>
      </c>
      <c r="F114" t="s">
        <v>4027</v>
      </c>
      <c r="G114">
        <v>65</v>
      </c>
    </row>
    <row r="115" spans="1:7" x14ac:dyDescent="0.2">
      <c r="A115" s="2">
        <v>45590</v>
      </c>
      <c r="B115" t="s">
        <v>782</v>
      </c>
      <c r="C115" t="s">
        <v>1</v>
      </c>
      <c r="D115" t="s">
        <v>3</v>
      </c>
      <c r="E115">
        <v>1</v>
      </c>
      <c r="F115" t="s">
        <v>4027</v>
      </c>
      <c r="G115">
        <v>75</v>
      </c>
    </row>
    <row r="116" spans="1:7" x14ac:dyDescent="0.2">
      <c r="A116" s="2">
        <v>45590</v>
      </c>
      <c r="B116" t="s">
        <v>774</v>
      </c>
      <c r="C116" t="s">
        <v>1</v>
      </c>
      <c r="D116" t="s">
        <v>3</v>
      </c>
      <c r="E116">
        <v>1</v>
      </c>
      <c r="F116" t="s">
        <v>4027</v>
      </c>
      <c r="G116">
        <v>81</v>
      </c>
    </row>
    <row r="117" spans="1:7" x14ac:dyDescent="0.2">
      <c r="A117" s="2">
        <v>45590</v>
      </c>
      <c r="B117" t="s">
        <v>779</v>
      </c>
      <c r="C117" t="s">
        <v>1</v>
      </c>
      <c r="D117" t="s">
        <v>3</v>
      </c>
      <c r="E117">
        <v>1</v>
      </c>
      <c r="F117" t="s">
        <v>4027</v>
      </c>
      <c r="G117">
        <v>64</v>
      </c>
    </row>
    <row r="118" spans="1:7" x14ac:dyDescent="0.2">
      <c r="A118" s="2">
        <v>45590</v>
      </c>
      <c r="B118" t="s">
        <v>768</v>
      </c>
      <c r="C118" t="s">
        <v>1</v>
      </c>
      <c r="D118" t="s">
        <v>3</v>
      </c>
      <c r="E118">
        <v>1</v>
      </c>
      <c r="F118" t="s">
        <v>4027</v>
      </c>
      <c r="G118">
        <v>69</v>
      </c>
    </row>
    <row r="119" spans="1:7" x14ac:dyDescent="0.2">
      <c r="A119" s="2">
        <v>45590</v>
      </c>
      <c r="B119" t="s">
        <v>769</v>
      </c>
      <c r="C119" t="s">
        <v>1</v>
      </c>
      <c r="D119" t="s">
        <v>3</v>
      </c>
      <c r="E119">
        <v>1</v>
      </c>
      <c r="F119" t="s">
        <v>4027</v>
      </c>
      <c r="G119">
        <v>60</v>
      </c>
    </row>
    <row r="120" spans="1:7" x14ac:dyDescent="0.2">
      <c r="A120" s="2">
        <v>45590</v>
      </c>
      <c r="B120" t="s">
        <v>771</v>
      </c>
      <c r="C120" t="s">
        <v>1</v>
      </c>
      <c r="D120" t="s">
        <v>3</v>
      </c>
      <c r="E120">
        <v>1</v>
      </c>
      <c r="F120" t="s">
        <v>4027</v>
      </c>
      <c r="G120">
        <v>68</v>
      </c>
    </row>
    <row r="121" spans="1:7" x14ac:dyDescent="0.2">
      <c r="A121" s="2">
        <v>45590</v>
      </c>
      <c r="B121" t="s">
        <v>772</v>
      </c>
      <c r="C121" t="s">
        <v>1</v>
      </c>
      <c r="D121" t="s">
        <v>3</v>
      </c>
      <c r="E121">
        <v>1</v>
      </c>
      <c r="F121" t="s">
        <v>4027</v>
      </c>
      <c r="G121">
        <v>63</v>
      </c>
    </row>
    <row r="122" spans="1:7" x14ac:dyDescent="0.2">
      <c r="A122" s="2">
        <v>45590</v>
      </c>
      <c r="B122" t="s">
        <v>773</v>
      </c>
      <c r="C122" t="s">
        <v>1</v>
      </c>
      <c r="D122" t="s">
        <v>3</v>
      </c>
      <c r="E122">
        <v>1</v>
      </c>
      <c r="F122" t="s">
        <v>4027</v>
      </c>
      <c r="G122">
        <v>60</v>
      </c>
    </row>
    <row r="123" spans="1:7" x14ac:dyDescent="0.2">
      <c r="A123" s="2">
        <v>45590</v>
      </c>
      <c r="B123" t="s">
        <v>781</v>
      </c>
      <c r="C123" t="s">
        <v>1</v>
      </c>
      <c r="D123" t="s">
        <v>3</v>
      </c>
      <c r="E123">
        <v>1</v>
      </c>
      <c r="F123" t="s">
        <v>4027</v>
      </c>
      <c r="G123">
        <v>71</v>
      </c>
    </row>
    <row r="124" spans="1:7" x14ac:dyDescent="0.2">
      <c r="A124" s="2">
        <v>45590</v>
      </c>
      <c r="B124" t="s">
        <v>776</v>
      </c>
      <c r="C124" t="s">
        <v>1</v>
      </c>
      <c r="D124" t="s">
        <v>3</v>
      </c>
      <c r="E124">
        <v>1</v>
      </c>
      <c r="F124" t="s">
        <v>4027</v>
      </c>
      <c r="G124">
        <v>61</v>
      </c>
    </row>
    <row r="125" spans="1:7" x14ac:dyDescent="0.2">
      <c r="A125" s="2">
        <v>45590</v>
      </c>
      <c r="B125" t="s">
        <v>778</v>
      </c>
      <c r="C125" t="s">
        <v>1</v>
      </c>
      <c r="D125" t="s">
        <v>3</v>
      </c>
      <c r="E125">
        <v>1</v>
      </c>
      <c r="F125" t="s">
        <v>4027</v>
      </c>
      <c r="G125">
        <v>78</v>
      </c>
    </row>
    <row r="126" spans="1:7" x14ac:dyDescent="0.2">
      <c r="A126" s="2">
        <v>45593</v>
      </c>
      <c r="B126" t="s">
        <v>795</v>
      </c>
      <c r="C126" t="s">
        <v>1</v>
      </c>
      <c r="D126" t="s">
        <v>3</v>
      </c>
      <c r="E126">
        <v>1</v>
      </c>
      <c r="F126" t="s">
        <v>4027</v>
      </c>
      <c r="G126">
        <v>89</v>
      </c>
    </row>
    <row r="127" spans="1:7" x14ac:dyDescent="0.2">
      <c r="A127" s="2">
        <v>45593</v>
      </c>
      <c r="B127" t="s">
        <v>797</v>
      </c>
      <c r="C127" t="s">
        <v>1</v>
      </c>
      <c r="D127" t="s">
        <v>3</v>
      </c>
      <c r="E127">
        <v>1</v>
      </c>
      <c r="F127" t="s">
        <v>4027</v>
      </c>
      <c r="G127">
        <v>77</v>
      </c>
    </row>
    <row r="128" spans="1:7" x14ac:dyDescent="0.2">
      <c r="A128" s="2">
        <v>45593</v>
      </c>
      <c r="B128" t="s">
        <v>798</v>
      </c>
      <c r="C128" t="s">
        <v>1</v>
      </c>
      <c r="D128" t="s">
        <v>3</v>
      </c>
      <c r="E128">
        <v>1</v>
      </c>
      <c r="F128" t="s">
        <v>4027</v>
      </c>
      <c r="G128">
        <v>74</v>
      </c>
    </row>
    <row r="129" spans="1:7" x14ac:dyDescent="0.2">
      <c r="A129" s="2">
        <v>45593</v>
      </c>
      <c r="B129" t="s">
        <v>792</v>
      </c>
      <c r="C129" t="s">
        <v>1</v>
      </c>
      <c r="D129" t="s">
        <v>3</v>
      </c>
      <c r="E129">
        <v>1</v>
      </c>
      <c r="F129" t="s">
        <v>4027</v>
      </c>
      <c r="G129">
        <v>71</v>
      </c>
    </row>
    <row r="130" spans="1:7" x14ac:dyDescent="0.2">
      <c r="A130" s="2">
        <v>45593</v>
      </c>
      <c r="B130" t="s">
        <v>791</v>
      </c>
      <c r="C130" t="s">
        <v>1</v>
      </c>
      <c r="D130" t="s">
        <v>3</v>
      </c>
      <c r="E130">
        <v>1</v>
      </c>
      <c r="F130" t="s">
        <v>4027</v>
      </c>
      <c r="G130">
        <v>60</v>
      </c>
    </row>
    <row r="131" spans="1:7" x14ac:dyDescent="0.2">
      <c r="A131" s="2">
        <v>45593</v>
      </c>
      <c r="B131" t="s">
        <v>790</v>
      </c>
      <c r="C131" t="s">
        <v>1</v>
      </c>
      <c r="D131" t="s">
        <v>3</v>
      </c>
      <c r="E131">
        <v>1</v>
      </c>
      <c r="F131" t="s">
        <v>4027</v>
      </c>
      <c r="G131">
        <v>82</v>
      </c>
    </row>
    <row r="132" spans="1:7" x14ac:dyDescent="0.2">
      <c r="A132" s="2">
        <v>45593</v>
      </c>
      <c r="B132" t="s">
        <v>788</v>
      </c>
      <c r="C132" t="s">
        <v>1</v>
      </c>
      <c r="D132" t="s">
        <v>3</v>
      </c>
      <c r="E132">
        <v>1</v>
      </c>
      <c r="F132" t="s">
        <v>4027</v>
      </c>
      <c r="G132">
        <v>63</v>
      </c>
    </row>
    <row r="133" spans="1:7" x14ac:dyDescent="0.2">
      <c r="A133" s="2">
        <v>45593</v>
      </c>
      <c r="B133" t="s">
        <v>640</v>
      </c>
      <c r="C133" t="s">
        <v>2</v>
      </c>
      <c r="D133" t="s">
        <v>4</v>
      </c>
      <c r="E133">
        <v>1</v>
      </c>
      <c r="F133" t="s">
        <v>600</v>
      </c>
      <c r="G133">
        <v>22</v>
      </c>
    </row>
    <row r="134" spans="1:7" x14ac:dyDescent="0.2">
      <c r="A134" s="2">
        <v>45593</v>
      </c>
      <c r="B134" t="s">
        <v>786</v>
      </c>
      <c r="C134" t="s">
        <v>1</v>
      </c>
      <c r="D134" t="s">
        <v>3</v>
      </c>
      <c r="E134">
        <v>1</v>
      </c>
      <c r="F134" t="s">
        <v>4027</v>
      </c>
      <c r="G134">
        <v>73</v>
      </c>
    </row>
    <row r="135" spans="1:7" x14ac:dyDescent="0.2">
      <c r="A135" s="2">
        <v>45593</v>
      </c>
      <c r="B135" t="s">
        <v>794</v>
      </c>
      <c r="C135" t="s">
        <v>1</v>
      </c>
      <c r="D135" t="s">
        <v>3</v>
      </c>
      <c r="E135">
        <v>1</v>
      </c>
      <c r="F135" t="s">
        <v>4027</v>
      </c>
      <c r="G135">
        <v>72</v>
      </c>
    </row>
    <row r="136" spans="1:7" x14ac:dyDescent="0.2">
      <c r="A136" s="2">
        <v>45594</v>
      </c>
      <c r="B136" t="s">
        <v>815</v>
      </c>
      <c r="C136" t="s">
        <v>1</v>
      </c>
      <c r="D136" t="s">
        <v>3</v>
      </c>
      <c r="E136">
        <v>1</v>
      </c>
      <c r="F136" t="s">
        <v>4027</v>
      </c>
      <c r="G136">
        <v>61</v>
      </c>
    </row>
    <row r="137" spans="1:7" x14ac:dyDescent="0.2">
      <c r="A137" s="2">
        <v>45594</v>
      </c>
      <c r="B137" t="s">
        <v>817</v>
      </c>
      <c r="C137" t="s">
        <v>1</v>
      </c>
      <c r="D137" t="s">
        <v>3</v>
      </c>
      <c r="E137">
        <v>1</v>
      </c>
      <c r="F137" t="s">
        <v>4027</v>
      </c>
      <c r="G137">
        <v>83</v>
      </c>
    </row>
    <row r="138" spans="1:7" x14ac:dyDescent="0.2">
      <c r="A138" s="2">
        <v>45594</v>
      </c>
      <c r="B138" t="s">
        <v>816</v>
      </c>
      <c r="C138" t="s">
        <v>1</v>
      </c>
      <c r="D138" t="s">
        <v>3</v>
      </c>
      <c r="E138">
        <v>1</v>
      </c>
      <c r="F138" t="s">
        <v>4027</v>
      </c>
      <c r="G138">
        <v>76</v>
      </c>
    </row>
    <row r="139" spans="1:7" x14ac:dyDescent="0.2">
      <c r="A139" s="2">
        <v>45594</v>
      </c>
      <c r="B139" t="s">
        <v>814</v>
      </c>
      <c r="C139" t="s">
        <v>1</v>
      </c>
      <c r="D139" t="s">
        <v>3</v>
      </c>
      <c r="E139">
        <v>1</v>
      </c>
      <c r="F139" t="s">
        <v>4027</v>
      </c>
      <c r="G139">
        <v>75</v>
      </c>
    </row>
    <row r="140" spans="1:7" x14ac:dyDescent="0.2">
      <c r="A140" s="2">
        <v>45594</v>
      </c>
      <c r="B140" t="s">
        <v>805</v>
      </c>
      <c r="C140" t="s">
        <v>1</v>
      </c>
      <c r="D140" t="s">
        <v>3</v>
      </c>
      <c r="E140">
        <v>1</v>
      </c>
      <c r="F140" t="s">
        <v>4027</v>
      </c>
      <c r="G140">
        <v>75</v>
      </c>
    </row>
    <row r="141" spans="1:7" x14ac:dyDescent="0.2">
      <c r="A141" s="2">
        <v>45594</v>
      </c>
      <c r="B141" t="s">
        <v>812</v>
      </c>
      <c r="C141" t="s">
        <v>1</v>
      </c>
      <c r="D141" t="s">
        <v>3</v>
      </c>
      <c r="E141">
        <v>1</v>
      </c>
      <c r="F141" t="s">
        <v>4027</v>
      </c>
      <c r="G141">
        <v>80</v>
      </c>
    </row>
    <row r="142" spans="1:7" x14ac:dyDescent="0.2">
      <c r="A142" s="2">
        <v>45594</v>
      </c>
      <c r="B142" t="s">
        <v>800</v>
      </c>
      <c r="C142" t="s">
        <v>1</v>
      </c>
      <c r="D142" t="s">
        <v>3</v>
      </c>
      <c r="E142">
        <v>1</v>
      </c>
      <c r="F142" t="s">
        <v>4027</v>
      </c>
      <c r="G142">
        <v>76</v>
      </c>
    </row>
    <row r="143" spans="1:7" x14ac:dyDescent="0.2">
      <c r="A143" s="2">
        <v>45594</v>
      </c>
      <c r="B143" t="s">
        <v>801</v>
      </c>
      <c r="C143" t="s">
        <v>1</v>
      </c>
      <c r="D143" t="s">
        <v>3</v>
      </c>
      <c r="E143">
        <v>1</v>
      </c>
      <c r="F143" t="s">
        <v>4027</v>
      </c>
      <c r="G143">
        <v>68</v>
      </c>
    </row>
    <row r="144" spans="1:7" x14ac:dyDescent="0.2">
      <c r="A144" s="2">
        <v>45594</v>
      </c>
      <c r="B144" t="s">
        <v>803</v>
      </c>
      <c r="C144" t="s">
        <v>1</v>
      </c>
      <c r="D144" t="s">
        <v>3</v>
      </c>
      <c r="E144">
        <v>1</v>
      </c>
      <c r="F144" t="s">
        <v>4027</v>
      </c>
      <c r="G144">
        <v>70</v>
      </c>
    </row>
    <row r="145" spans="1:7" x14ac:dyDescent="0.2">
      <c r="A145" s="2">
        <v>45594</v>
      </c>
      <c r="B145" t="s">
        <v>807</v>
      </c>
      <c r="C145" t="s">
        <v>1</v>
      </c>
      <c r="D145" t="s">
        <v>3</v>
      </c>
      <c r="E145">
        <v>1</v>
      </c>
      <c r="F145" t="s">
        <v>4027</v>
      </c>
      <c r="G145">
        <v>80</v>
      </c>
    </row>
    <row r="146" spans="1:7" x14ac:dyDescent="0.2">
      <c r="A146" s="2">
        <v>45594</v>
      </c>
      <c r="B146" t="s">
        <v>808</v>
      </c>
      <c r="C146" t="s">
        <v>1</v>
      </c>
      <c r="D146" t="s">
        <v>3</v>
      </c>
      <c r="E146">
        <v>1</v>
      </c>
      <c r="F146" t="s">
        <v>4027</v>
      </c>
      <c r="G146">
        <v>81</v>
      </c>
    </row>
    <row r="147" spans="1:7" x14ac:dyDescent="0.2">
      <c r="A147" s="2">
        <v>45594</v>
      </c>
      <c r="B147" t="s">
        <v>809</v>
      </c>
      <c r="C147" t="s">
        <v>1</v>
      </c>
      <c r="D147" t="s">
        <v>3</v>
      </c>
      <c r="E147">
        <v>1</v>
      </c>
      <c r="F147" t="s">
        <v>4027</v>
      </c>
      <c r="G147">
        <v>64</v>
      </c>
    </row>
    <row r="148" spans="1:7" x14ac:dyDescent="0.2">
      <c r="A148" s="2">
        <v>45594</v>
      </c>
      <c r="B148" t="s">
        <v>813</v>
      </c>
      <c r="C148" t="s">
        <v>1</v>
      </c>
      <c r="D148" t="s">
        <v>3</v>
      </c>
      <c r="E148">
        <v>1</v>
      </c>
      <c r="F148" t="s">
        <v>4027</v>
      </c>
      <c r="G148">
        <v>74</v>
      </c>
    </row>
    <row r="149" spans="1:7" x14ac:dyDescent="0.2">
      <c r="A149" s="2">
        <v>45594</v>
      </c>
      <c r="B149" t="s">
        <v>799</v>
      </c>
      <c r="C149" t="s">
        <v>1</v>
      </c>
      <c r="D149" t="s">
        <v>3</v>
      </c>
      <c r="E149">
        <v>1</v>
      </c>
      <c r="F149" t="s">
        <v>4027</v>
      </c>
      <c r="G149">
        <v>74</v>
      </c>
    </row>
    <row r="150" spans="1:7" x14ac:dyDescent="0.2">
      <c r="A150" s="2">
        <v>45594</v>
      </c>
      <c r="B150" t="s">
        <v>811</v>
      </c>
      <c r="C150" t="s">
        <v>1</v>
      </c>
      <c r="D150" t="s">
        <v>3</v>
      </c>
      <c r="E150">
        <v>1</v>
      </c>
      <c r="F150" t="s">
        <v>4027</v>
      </c>
      <c r="G150">
        <v>76</v>
      </c>
    </row>
    <row r="151" spans="1:7" x14ac:dyDescent="0.2">
      <c r="A151" s="2">
        <v>45594</v>
      </c>
      <c r="B151" t="s">
        <v>810</v>
      </c>
      <c r="C151" t="s">
        <v>1</v>
      </c>
      <c r="D151" t="s">
        <v>3</v>
      </c>
      <c r="E151">
        <v>1</v>
      </c>
      <c r="F151" t="s">
        <v>4027</v>
      </c>
      <c r="G151">
        <v>67</v>
      </c>
    </row>
    <row r="152" spans="1:7" x14ac:dyDescent="0.2">
      <c r="A152" s="2">
        <v>45595</v>
      </c>
      <c r="B152" t="s">
        <v>828</v>
      </c>
      <c r="C152" t="s">
        <v>1</v>
      </c>
      <c r="D152" t="s">
        <v>3</v>
      </c>
      <c r="E152">
        <v>1</v>
      </c>
      <c r="F152" t="s">
        <v>4027</v>
      </c>
      <c r="G152">
        <v>72</v>
      </c>
    </row>
    <row r="153" spans="1:7" x14ac:dyDescent="0.2">
      <c r="A153" s="2">
        <v>45595</v>
      </c>
      <c r="B153" t="s">
        <v>827</v>
      </c>
      <c r="C153" t="s">
        <v>1</v>
      </c>
      <c r="D153" t="s">
        <v>3</v>
      </c>
      <c r="E153">
        <v>1</v>
      </c>
      <c r="F153" t="s">
        <v>4027</v>
      </c>
      <c r="G153">
        <v>86</v>
      </c>
    </row>
    <row r="154" spans="1:7" x14ac:dyDescent="0.2">
      <c r="A154" s="2">
        <v>45595</v>
      </c>
      <c r="B154" t="s">
        <v>824</v>
      </c>
      <c r="C154" t="s">
        <v>1</v>
      </c>
      <c r="D154" t="s">
        <v>3</v>
      </c>
      <c r="E154">
        <v>1</v>
      </c>
      <c r="F154" t="s">
        <v>4027</v>
      </c>
      <c r="G154">
        <v>72</v>
      </c>
    </row>
    <row r="155" spans="1:7" x14ac:dyDescent="0.2">
      <c r="A155" s="2">
        <v>45595</v>
      </c>
      <c r="B155" t="s">
        <v>822</v>
      </c>
      <c r="C155" t="s">
        <v>1</v>
      </c>
      <c r="D155" t="s">
        <v>3</v>
      </c>
      <c r="E155">
        <v>1</v>
      </c>
      <c r="F155" t="s">
        <v>4027</v>
      </c>
      <c r="G155">
        <v>76</v>
      </c>
    </row>
    <row r="156" spans="1:7" x14ac:dyDescent="0.2">
      <c r="A156" s="2">
        <v>45595</v>
      </c>
      <c r="B156" t="s">
        <v>825</v>
      </c>
      <c r="C156" t="s">
        <v>1</v>
      </c>
      <c r="D156" t="s">
        <v>3</v>
      </c>
      <c r="E156">
        <v>1</v>
      </c>
      <c r="F156" t="s">
        <v>4027</v>
      </c>
      <c r="G156">
        <v>73</v>
      </c>
    </row>
    <row r="157" spans="1:7" x14ac:dyDescent="0.2">
      <c r="A157" s="2">
        <v>45595</v>
      </c>
      <c r="B157" t="s">
        <v>818</v>
      </c>
      <c r="C157" t="s">
        <v>1</v>
      </c>
      <c r="D157" t="s">
        <v>3</v>
      </c>
      <c r="E157">
        <v>1</v>
      </c>
      <c r="F157" t="s">
        <v>4027</v>
      </c>
      <c r="G157">
        <v>62</v>
      </c>
    </row>
    <row r="158" spans="1:7" x14ac:dyDescent="0.2">
      <c r="A158" s="2">
        <v>45595</v>
      </c>
      <c r="B158" t="s">
        <v>819</v>
      </c>
      <c r="C158" t="s">
        <v>1</v>
      </c>
      <c r="D158" t="s">
        <v>3</v>
      </c>
      <c r="E158">
        <v>1</v>
      </c>
      <c r="F158" t="s">
        <v>4027</v>
      </c>
      <c r="G158">
        <v>83</v>
      </c>
    </row>
    <row r="159" spans="1:7" x14ac:dyDescent="0.2">
      <c r="A159" s="2">
        <v>45595</v>
      </c>
      <c r="B159" t="s">
        <v>832</v>
      </c>
      <c r="C159" t="s">
        <v>1</v>
      </c>
      <c r="D159" t="s">
        <v>3</v>
      </c>
      <c r="E159">
        <v>1</v>
      </c>
      <c r="F159" t="s">
        <v>4027</v>
      </c>
      <c r="G159">
        <v>71</v>
      </c>
    </row>
    <row r="160" spans="1:7" x14ac:dyDescent="0.2">
      <c r="A160" s="2">
        <v>45595</v>
      </c>
      <c r="B160" t="s">
        <v>831</v>
      </c>
      <c r="C160" t="s">
        <v>1</v>
      </c>
      <c r="D160" t="s">
        <v>3</v>
      </c>
      <c r="E160">
        <v>1</v>
      </c>
      <c r="F160" t="s">
        <v>4027</v>
      </c>
      <c r="G160">
        <v>67</v>
      </c>
    </row>
    <row r="161" spans="1:7" x14ac:dyDescent="0.2">
      <c r="A161" s="2">
        <v>45595</v>
      </c>
      <c r="B161" t="s">
        <v>830</v>
      </c>
      <c r="C161" t="s">
        <v>1</v>
      </c>
      <c r="D161" t="s">
        <v>3</v>
      </c>
      <c r="E161">
        <v>1</v>
      </c>
      <c r="F161" t="s">
        <v>4027</v>
      </c>
      <c r="G161">
        <v>73</v>
      </c>
    </row>
    <row r="162" spans="1:7" x14ac:dyDescent="0.2">
      <c r="A162" s="2">
        <v>45595</v>
      </c>
      <c r="B162" t="s">
        <v>829</v>
      </c>
      <c r="C162" t="s">
        <v>1</v>
      </c>
      <c r="D162" t="s">
        <v>3</v>
      </c>
      <c r="E162">
        <v>1</v>
      </c>
      <c r="F162" t="s">
        <v>4027</v>
      </c>
      <c r="G162">
        <v>74</v>
      </c>
    </row>
    <row r="163" spans="1:7" x14ac:dyDescent="0.2">
      <c r="A163" s="2">
        <v>45595</v>
      </c>
      <c r="B163" t="s">
        <v>833</v>
      </c>
      <c r="C163" t="s">
        <v>1</v>
      </c>
      <c r="D163" t="s">
        <v>3</v>
      </c>
      <c r="E163">
        <v>1</v>
      </c>
      <c r="F163" t="s">
        <v>4027</v>
      </c>
      <c r="G163">
        <v>79</v>
      </c>
    </row>
    <row r="164" spans="1:7" x14ac:dyDescent="0.2">
      <c r="A164" s="2">
        <v>45596</v>
      </c>
      <c r="B164" t="s">
        <v>851</v>
      </c>
      <c r="C164" t="s">
        <v>1</v>
      </c>
      <c r="D164" t="s">
        <v>3</v>
      </c>
      <c r="E164">
        <v>1</v>
      </c>
      <c r="F164" t="s">
        <v>4027</v>
      </c>
      <c r="G164">
        <v>80</v>
      </c>
    </row>
    <row r="165" spans="1:7" x14ac:dyDescent="0.2">
      <c r="A165" s="2">
        <v>45596</v>
      </c>
      <c r="B165" t="s">
        <v>646</v>
      </c>
      <c r="C165" t="s">
        <v>2</v>
      </c>
      <c r="D165" t="s">
        <v>4</v>
      </c>
      <c r="E165">
        <v>1</v>
      </c>
      <c r="F165" t="s">
        <v>600</v>
      </c>
      <c r="G165">
        <v>22</v>
      </c>
    </row>
    <row r="166" spans="1:7" x14ac:dyDescent="0.2">
      <c r="A166" s="2">
        <v>45596</v>
      </c>
      <c r="B166" t="s">
        <v>853</v>
      </c>
      <c r="C166" t="s">
        <v>1</v>
      </c>
      <c r="D166" t="s">
        <v>3</v>
      </c>
      <c r="E166">
        <v>1</v>
      </c>
      <c r="F166" t="s">
        <v>4027</v>
      </c>
      <c r="G166">
        <v>66</v>
      </c>
    </row>
    <row r="167" spans="1:7" x14ac:dyDescent="0.2">
      <c r="A167" s="2">
        <v>45596</v>
      </c>
      <c r="B167" t="s">
        <v>852</v>
      </c>
      <c r="C167" t="s">
        <v>1</v>
      </c>
      <c r="D167" t="s">
        <v>3</v>
      </c>
      <c r="E167">
        <v>1</v>
      </c>
      <c r="F167" t="s">
        <v>4027</v>
      </c>
      <c r="G167">
        <v>75</v>
      </c>
    </row>
    <row r="168" spans="1:7" x14ac:dyDescent="0.2">
      <c r="A168" s="2">
        <v>45596</v>
      </c>
      <c r="B168" t="s">
        <v>850</v>
      </c>
      <c r="C168" t="s">
        <v>1</v>
      </c>
      <c r="D168" t="s">
        <v>3</v>
      </c>
      <c r="E168">
        <v>1</v>
      </c>
      <c r="F168" t="s">
        <v>4027</v>
      </c>
      <c r="G168">
        <v>77</v>
      </c>
    </row>
    <row r="169" spans="1:7" x14ac:dyDescent="0.2">
      <c r="A169" s="2">
        <v>45596</v>
      </c>
      <c r="B169" t="s">
        <v>845</v>
      </c>
      <c r="C169" t="s">
        <v>1</v>
      </c>
      <c r="D169" t="s">
        <v>3</v>
      </c>
      <c r="E169">
        <v>1</v>
      </c>
      <c r="F169" t="s">
        <v>4027</v>
      </c>
      <c r="G169">
        <v>68</v>
      </c>
    </row>
    <row r="170" spans="1:7" x14ac:dyDescent="0.2">
      <c r="A170" s="2">
        <v>45596</v>
      </c>
      <c r="B170" t="s">
        <v>847</v>
      </c>
      <c r="C170" t="s">
        <v>1</v>
      </c>
      <c r="D170" t="s">
        <v>3</v>
      </c>
      <c r="E170">
        <v>1</v>
      </c>
      <c r="F170" t="s">
        <v>4027</v>
      </c>
      <c r="G170">
        <v>69</v>
      </c>
    </row>
    <row r="171" spans="1:7" x14ac:dyDescent="0.2">
      <c r="A171" s="2">
        <v>45596</v>
      </c>
      <c r="B171" t="s">
        <v>846</v>
      </c>
      <c r="C171" t="s">
        <v>1</v>
      </c>
      <c r="D171" t="s">
        <v>3</v>
      </c>
      <c r="E171">
        <v>1</v>
      </c>
      <c r="F171" t="s">
        <v>4027</v>
      </c>
      <c r="G171">
        <v>66</v>
      </c>
    </row>
    <row r="172" spans="1:7" x14ac:dyDescent="0.2">
      <c r="A172" s="2">
        <v>45596</v>
      </c>
      <c r="B172" t="s">
        <v>844</v>
      </c>
      <c r="C172" t="s">
        <v>1</v>
      </c>
      <c r="D172" t="s">
        <v>3</v>
      </c>
      <c r="E172">
        <v>1</v>
      </c>
      <c r="F172" t="s">
        <v>4027</v>
      </c>
      <c r="G172">
        <v>80</v>
      </c>
    </row>
    <row r="173" spans="1:7" x14ac:dyDescent="0.2">
      <c r="A173" s="2">
        <v>45596</v>
      </c>
      <c r="B173" t="s">
        <v>843</v>
      </c>
      <c r="C173" t="s">
        <v>1</v>
      </c>
      <c r="D173" t="s">
        <v>3</v>
      </c>
      <c r="E173">
        <v>1</v>
      </c>
      <c r="F173" t="s">
        <v>4027</v>
      </c>
      <c r="G173">
        <v>65</v>
      </c>
    </row>
    <row r="174" spans="1:7" x14ac:dyDescent="0.2">
      <c r="A174" s="2">
        <v>45596</v>
      </c>
      <c r="B174" t="s">
        <v>842</v>
      </c>
      <c r="C174" t="s">
        <v>1</v>
      </c>
      <c r="D174" t="s">
        <v>3</v>
      </c>
      <c r="E174">
        <v>1</v>
      </c>
      <c r="F174" t="s">
        <v>4027</v>
      </c>
      <c r="G174">
        <v>77</v>
      </c>
    </row>
    <row r="175" spans="1:7" x14ac:dyDescent="0.2">
      <c r="A175" s="2">
        <v>45596</v>
      </c>
      <c r="B175" t="s">
        <v>839</v>
      </c>
      <c r="C175" t="s">
        <v>1</v>
      </c>
      <c r="D175" t="s">
        <v>3</v>
      </c>
      <c r="E175">
        <v>1</v>
      </c>
      <c r="F175" t="s">
        <v>4027</v>
      </c>
      <c r="G175">
        <v>84</v>
      </c>
    </row>
    <row r="176" spans="1:7" x14ac:dyDescent="0.2">
      <c r="A176" s="2">
        <v>45596</v>
      </c>
      <c r="B176" t="s">
        <v>838</v>
      </c>
      <c r="C176" t="s">
        <v>1</v>
      </c>
      <c r="D176" t="s">
        <v>3</v>
      </c>
      <c r="E176">
        <v>1</v>
      </c>
      <c r="F176" t="s">
        <v>4027</v>
      </c>
      <c r="G176">
        <v>84</v>
      </c>
    </row>
    <row r="177" spans="1:7" x14ac:dyDescent="0.2">
      <c r="A177" s="2">
        <v>45596</v>
      </c>
      <c r="B177" t="s">
        <v>837</v>
      </c>
      <c r="C177" t="s">
        <v>1</v>
      </c>
      <c r="D177" t="s">
        <v>3</v>
      </c>
      <c r="E177">
        <v>1</v>
      </c>
      <c r="F177" t="s">
        <v>4027</v>
      </c>
      <c r="G177">
        <v>64</v>
      </c>
    </row>
    <row r="178" spans="1:7" x14ac:dyDescent="0.2">
      <c r="A178" s="2">
        <v>45596</v>
      </c>
      <c r="B178" t="s">
        <v>836</v>
      </c>
      <c r="C178" t="s">
        <v>1</v>
      </c>
      <c r="D178" t="s">
        <v>3</v>
      </c>
      <c r="E178">
        <v>1</v>
      </c>
      <c r="F178" t="s">
        <v>4027</v>
      </c>
      <c r="G178">
        <v>89</v>
      </c>
    </row>
    <row r="179" spans="1:7" x14ac:dyDescent="0.2">
      <c r="A179" s="2">
        <v>45596</v>
      </c>
      <c r="B179" t="s">
        <v>835</v>
      </c>
      <c r="C179" t="s">
        <v>1</v>
      </c>
      <c r="D179" t="s">
        <v>3</v>
      </c>
      <c r="E179">
        <v>1</v>
      </c>
      <c r="F179" t="s">
        <v>4027</v>
      </c>
      <c r="G179">
        <v>86</v>
      </c>
    </row>
    <row r="180" spans="1:7" x14ac:dyDescent="0.2">
      <c r="A180" s="2">
        <v>45596</v>
      </c>
      <c r="B180" t="s">
        <v>849</v>
      </c>
      <c r="C180" t="s">
        <v>1</v>
      </c>
      <c r="D180" t="s">
        <v>3</v>
      </c>
      <c r="E180">
        <v>1</v>
      </c>
      <c r="F180" t="s">
        <v>4027</v>
      </c>
      <c r="G180">
        <v>71</v>
      </c>
    </row>
    <row r="181" spans="1:7" x14ac:dyDescent="0.2">
      <c r="A181" s="2">
        <v>45596</v>
      </c>
      <c r="B181" t="s">
        <v>840</v>
      </c>
      <c r="C181" t="s">
        <v>1</v>
      </c>
      <c r="D181" t="s">
        <v>3</v>
      </c>
      <c r="E181">
        <v>1</v>
      </c>
      <c r="F181" t="s">
        <v>4027</v>
      </c>
      <c r="G181">
        <v>64</v>
      </c>
    </row>
    <row r="182" spans="1:7" x14ac:dyDescent="0.2">
      <c r="A182" s="2">
        <v>45597</v>
      </c>
      <c r="B182" t="s">
        <v>863</v>
      </c>
      <c r="C182" t="s">
        <v>1</v>
      </c>
      <c r="D182" t="s">
        <v>3</v>
      </c>
      <c r="E182">
        <v>1</v>
      </c>
      <c r="F182" t="s">
        <v>4027</v>
      </c>
      <c r="G182">
        <v>84</v>
      </c>
    </row>
    <row r="183" spans="1:7" x14ac:dyDescent="0.2">
      <c r="A183" s="2">
        <v>45597</v>
      </c>
      <c r="B183" t="s">
        <v>866</v>
      </c>
      <c r="C183" t="s">
        <v>1</v>
      </c>
      <c r="D183" t="s">
        <v>3</v>
      </c>
      <c r="E183">
        <v>1</v>
      </c>
      <c r="F183" t="s">
        <v>4027</v>
      </c>
      <c r="G183">
        <v>67</v>
      </c>
    </row>
    <row r="184" spans="1:7" x14ac:dyDescent="0.2">
      <c r="A184" s="2">
        <v>45597</v>
      </c>
      <c r="B184" t="s">
        <v>854</v>
      </c>
      <c r="C184" t="s">
        <v>1</v>
      </c>
      <c r="D184" t="s">
        <v>3</v>
      </c>
      <c r="E184">
        <v>1</v>
      </c>
      <c r="F184" t="s">
        <v>4027</v>
      </c>
      <c r="G184">
        <v>78</v>
      </c>
    </row>
    <row r="185" spans="1:7" x14ac:dyDescent="0.2">
      <c r="A185" s="2">
        <v>45597</v>
      </c>
      <c r="B185" t="s">
        <v>856</v>
      </c>
      <c r="C185" t="s">
        <v>1</v>
      </c>
      <c r="D185" t="s">
        <v>3</v>
      </c>
      <c r="E185">
        <v>1</v>
      </c>
      <c r="F185" t="s">
        <v>4027</v>
      </c>
      <c r="G185">
        <v>67</v>
      </c>
    </row>
    <row r="186" spans="1:7" x14ac:dyDescent="0.2">
      <c r="A186" s="2">
        <v>45597</v>
      </c>
      <c r="B186" t="s">
        <v>857</v>
      </c>
      <c r="C186" t="s">
        <v>1</v>
      </c>
      <c r="D186" t="s">
        <v>3</v>
      </c>
      <c r="E186">
        <v>1</v>
      </c>
      <c r="F186" t="s">
        <v>4027</v>
      </c>
      <c r="G186">
        <v>88</v>
      </c>
    </row>
    <row r="187" spans="1:7" x14ac:dyDescent="0.2">
      <c r="A187" s="2">
        <v>45597</v>
      </c>
      <c r="B187" t="s">
        <v>859</v>
      </c>
      <c r="C187" t="s">
        <v>1</v>
      </c>
      <c r="D187" t="s">
        <v>3</v>
      </c>
      <c r="E187">
        <v>1</v>
      </c>
      <c r="F187" t="s">
        <v>4027</v>
      </c>
      <c r="G187">
        <v>71</v>
      </c>
    </row>
    <row r="188" spans="1:7" x14ac:dyDescent="0.2">
      <c r="A188" s="2">
        <v>45597</v>
      </c>
      <c r="B188" t="s">
        <v>860</v>
      </c>
      <c r="C188" t="s">
        <v>1</v>
      </c>
      <c r="D188" t="s">
        <v>3</v>
      </c>
      <c r="E188">
        <v>1</v>
      </c>
      <c r="F188" t="s">
        <v>4027</v>
      </c>
      <c r="G188">
        <v>82</v>
      </c>
    </row>
    <row r="189" spans="1:7" x14ac:dyDescent="0.2">
      <c r="A189" s="2">
        <v>45597</v>
      </c>
      <c r="B189" t="s">
        <v>861</v>
      </c>
      <c r="C189" t="s">
        <v>1</v>
      </c>
      <c r="D189" t="s">
        <v>3</v>
      </c>
      <c r="E189">
        <v>1</v>
      </c>
      <c r="F189" t="s">
        <v>4027</v>
      </c>
      <c r="G189">
        <v>84</v>
      </c>
    </row>
    <row r="190" spans="1:7" x14ac:dyDescent="0.2">
      <c r="A190" s="2">
        <v>45597</v>
      </c>
      <c r="B190" t="s">
        <v>864</v>
      </c>
      <c r="C190" t="s">
        <v>1</v>
      </c>
      <c r="D190" t="s">
        <v>3</v>
      </c>
      <c r="E190">
        <v>1</v>
      </c>
      <c r="F190" t="s">
        <v>4027</v>
      </c>
      <c r="G190">
        <v>74</v>
      </c>
    </row>
    <row r="191" spans="1:7" x14ac:dyDescent="0.2">
      <c r="A191" s="2">
        <v>45597</v>
      </c>
      <c r="B191" t="s">
        <v>868</v>
      </c>
      <c r="C191" t="s">
        <v>1</v>
      </c>
      <c r="D191" t="s">
        <v>3</v>
      </c>
      <c r="E191">
        <v>1</v>
      </c>
      <c r="F191" t="s">
        <v>4027</v>
      </c>
      <c r="G191">
        <v>83</v>
      </c>
    </row>
    <row r="192" spans="1:7" x14ac:dyDescent="0.2">
      <c r="A192" s="2">
        <v>45598</v>
      </c>
      <c r="B192" t="s">
        <v>869</v>
      </c>
      <c r="C192" t="s">
        <v>1</v>
      </c>
      <c r="D192" t="s">
        <v>3</v>
      </c>
      <c r="E192">
        <v>1</v>
      </c>
      <c r="F192" t="s">
        <v>4027</v>
      </c>
      <c r="G192">
        <v>75</v>
      </c>
    </row>
    <row r="193" spans="1:7" x14ac:dyDescent="0.2">
      <c r="A193" s="2">
        <v>45598</v>
      </c>
      <c r="B193" t="s">
        <v>871</v>
      </c>
      <c r="C193" t="s">
        <v>1</v>
      </c>
      <c r="D193" t="s">
        <v>3</v>
      </c>
      <c r="E193">
        <v>1</v>
      </c>
      <c r="F193" t="s">
        <v>4027</v>
      </c>
      <c r="G193">
        <v>83</v>
      </c>
    </row>
    <row r="194" spans="1:7" x14ac:dyDescent="0.2">
      <c r="A194" s="2">
        <v>45598</v>
      </c>
      <c r="B194" t="s">
        <v>872</v>
      </c>
      <c r="C194" t="s">
        <v>1</v>
      </c>
      <c r="D194" t="s">
        <v>3</v>
      </c>
      <c r="E194">
        <v>1</v>
      </c>
      <c r="F194" t="s">
        <v>4027</v>
      </c>
      <c r="G194">
        <v>69</v>
      </c>
    </row>
    <row r="195" spans="1:7" x14ac:dyDescent="0.2">
      <c r="A195" s="2">
        <v>45600</v>
      </c>
      <c r="B195" t="s">
        <v>685</v>
      </c>
      <c r="C195" t="s">
        <v>2</v>
      </c>
      <c r="D195" t="s">
        <v>4</v>
      </c>
      <c r="E195">
        <v>1</v>
      </c>
      <c r="F195" t="s">
        <v>600</v>
      </c>
      <c r="G195">
        <v>22</v>
      </c>
    </row>
    <row r="196" spans="1:7" x14ac:dyDescent="0.2">
      <c r="A196" s="2">
        <v>45600</v>
      </c>
      <c r="B196" t="s">
        <v>680</v>
      </c>
      <c r="C196" t="s">
        <v>2</v>
      </c>
      <c r="D196" t="s">
        <v>4</v>
      </c>
      <c r="E196">
        <v>1</v>
      </c>
      <c r="F196" t="s">
        <v>600</v>
      </c>
      <c r="G196">
        <v>22</v>
      </c>
    </row>
    <row r="197" spans="1:7" x14ac:dyDescent="0.2">
      <c r="A197" s="2">
        <v>45600</v>
      </c>
      <c r="B197" t="s">
        <v>677</v>
      </c>
      <c r="C197" t="s">
        <v>2</v>
      </c>
      <c r="D197" t="s">
        <v>4</v>
      </c>
      <c r="E197">
        <v>1</v>
      </c>
      <c r="F197" t="s">
        <v>600</v>
      </c>
      <c r="G197">
        <v>22</v>
      </c>
    </row>
    <row r="198" spans="1:7" x14ac:dyDescent="0.2">
      <c r="A198" s="2">
        <v>45600</v>
      </c>
      <c r="B198" t="s">
        <v>673</v>
      </c>
      <c r="C198" t="s">
        <v>2</v>
      </c>
      <c r="D198" t="s">
        <v>4</v>
      </c>
      <c r="E198">
        <v>1</v>
      </c>
      <c r="F198" t="s">
        <v>600</v>
      </c>
      <c r="G198">
        <v>22</v>
      </c>
    </row>
    <row r="199" spans="1:7" x14ac:dyDescent="0.2">
      <c r="A199" s="2">
        <v>45600</v>
      </c>
      <c r="B199" t="s">
        <v>669</v>
      </c>
      <c r="C199" t="s">
        <v>2</v>
      </c>
      <c r="D199" t="s">
        <v>4</v>
      </c>
      <c r="E199">
        <v>1</v>
      </c>
      <c r="F199" t="s">
        <v>600</v>
      </c>
      <c r="G199">
        <v>22</v>
      </c>
    </row>
    <row r="200" spans="1:7" x14ac:dyDescent="0.2">
      <c r="A200" s="2">
        <v>45600</v>
      </c>
      <c r="B200" t="s">
        <v>666</v>
      </c>
      <c r="C200" t="s">
        <v>2</v>
      </c>
      <c r="D200" t="s">
        <v>4</v>
      </c>
      <c r="E200">
        <v>1</v>
      </c>
      <c r="F200" t="s">
        <v>600</v>
      </c>
      <c r="G200">
        <v>22</v>
      </c>
    </row>
    <row r="201" spans="1:7" x14ac:dyDescent="0.2">
      <c r="A201" s="2">
        <v>45600</v>
      </c>
      <c r="B201" t="s">
        <v>661</v>
      </c>
      <c r="C201" t="s">
        <v>2</v>
      </c>
      <c r="D201" t="s">
        <v>4</v>
      </c>
      <c r="E201">
        <v>1</v>
      </c>
      <c r="F201" t="s">
        <v>600</v>
      </c>
      <c r="G201">
        <v>22</v>
      </c>
    </row>
    <row r="202" spans="1:7" x14ac:dyDescent="0.2">
      <c r="A202" s="2">
        <v>45600</v>
      </c>
      <c r="B202" t="s">
        <v>879</v>
      </c>
      <c r="C202" t="s">
        <v>1</v>
      </c>
      <c r="D202" t="s">
        <v>3</v>
      </c>
      <c r="E202">
        <v>1</v>
      </c>
      <c r="F202" t="s">
        <v>4027</v>
      </c>
      <c r="G202">
        <v>60</v>
      </c>
    </row>
    <row r="203" spans="1:7" x14ac:dyDescent="0.2">
      <c r="A203" s="2">
        <v>45600</v>
      </c>
      <c r="B203" t="s">
        <v>874</v>
      </c>
      <c r="C203" t="s">
        <v>1</v>
      </c>
      <c r="D203" t="s">
        <v>3</v>
      </c>
      <c r="E203">
        <v>1</v>
      </c>
      <c r="F203" t="s">
        <v>4027</v>
      </c>
      <c r="G203">
        <v>81</v>
      </c>
    </row>
    <row r="204" spans="1:7" x14ac:dyDescent="0.2">
      <c r="A204" s="2">
        <v>45600</v>
      </c>
      <c r="B204" t="s">
        <v>653</v>
      </c>
      <c r="C204" t="s">
        <v>2</v>
      </c>
      <c r="D204" t="s">
        <v>4</v>
      </c>
      <c r="E204">
        <v>1</v>
      </c>
      <c r="F204" t="s">
        <v>600</v>
      </c>
      <c r="G204">
        <v>22</v>
      </c>
    </row>
    <row r="205" spans="1:7" x14ac:dyDescent="0.2">
      <c r="A205" s="2">
        <v>45600</v>
      </c>
      <c r="B205" t="s">
        <v>650</v>
      </c>
      <c r="C205" t="s">
        <v>2</v>
      </c>
      <c r="D205" t="s">
        <v>4</v>
      </c>
      <c r="E205">
        <v>1</v>
      </c>
      <c r="F205" t="s">
        <v>600</v>
      </c>
      <c r="G205">
        <v>22</v>
      </c>
    </row>
    <row r="206" spans="1:7" x14ac:dyDescent="0.2">
      <c r="A206" s="2">
        <v>45600</v>
      </c>
      <c r="B206" t="s">
        <v>876</v>
      </c>
      <c r="C206" t="s">
        <v>1</v>
      </c>
      <c r="D206" t="s">
        <v>3</v>
      </c>
      <c r="E206">
        <v>1</v>
      </c>
      <c r="F206" t="s">
        <v>4027</v>
      </c>
      <c r="G206">
        <v>81</v>
      </c>
    </row>
    <row r="207" spans="1:7" x14ac:dyDescent="0.2">
      <c r="A207" s="2">
        <v>45600</v>
      </c>
      <c r="B207" t="s">
        <v>877</v>
      </c>
      <c r="C207" t="s">
        <v>1</v>
      </c>
      <c r="D207" t="s">
        <v>3</v>
      </c>
      <c r="E207">
        <v>1</v>
      </c>
      <c r="F207" t="s">
        <v>4027</v>
      </c>
      <c r="G207">
        <v>73</v>
      </c>
    </row>
    <row r="208" spans="1:7" x14ac:dyDescent="0.2">
      <c r="A208" s="2">
        <v>45600</v>
      </c>
      <c r="B208" t="s">
        <v>878</v>
      </c>
      <c r="C208" t="s">
        <v>1</v>
      </c>
      <c r="D208" t="s">
        <v>3</v>
      </c>
      <c r="E208">
        <v>1</v>
      </c>
      <c r="F208" t="s">
        <v>4027</v>
      </c>
      <c r="G208">
        <v>68</v>
      </c>
    </row>
    <row r="209" spans="1:7" x14ac:dyDescent="0.2">
      <c r="A209" s="2">
        <v>45601</v>
      </c>
      <c r="B209" t="s">
        <v>689</v>
      </c>
      <c r="C209" t="s">
        <v>2</v>
      </c>
      <c r="D209" t="s">
        <v>4</v>
      </c>
      <c r="E209">
        <v>1</v>
      </c>
      <c r="F209" t="s">
        <v>600</v>
      </c>
      <c r="G209">
        <v>22</v>
      </c>
    </row>
    <row r="210" spans="1:7" x14ac:dyDescent="0.2">
      <c r="A210" s="2">
        <v>45601</v>
      </c>
      <c r="B210" t="s">
        <v>882</v>
      </c>
      <c r="C210" t="s">
        <v>1</v>
      </c>
      <c r="D210" t="s">
        <v>3</v>
      </c>
      <c r="E210">
        <v>1</v>
      </c>
      <c r="F210" t="s">
        <v>4027</v>
      </c>
      <c r="G210">
        <v>85</v>
      </c>
    </row>
    <row r="211" spans="1:7" x14ac:dyDescent="0.2">
      <c r="A211" s="2">
        <v>45601</v>
      </c>
      <c r="B211" t="s">
        <v>883</v>
      </c>
      <c r="C211" t="s">
        <v>1</v>
      </c>
      <c r="D211" t="s">
        <v>3</v>
      </c>
      <c r="E211">
        <v>1</v>
      </c>
      <c r="F211" t="s">
        <v>4027</v>
      </c>
      <c r="G211">
        <v>75</v>
      </c>
    </row>
    <row r="212" spans="1:7" x14ac:dyDescent="0.2">
      <c r="A212" s="2">
        <v>45601</v>
      </c>
      <c r="B212" t="s">
        <v>885</v>
      </c>
      <c r="C212" t="s">
        <v>1</v>
      </c>
      <c r="D212" t="s">
        <v>3</v>
      </c>
      <c r="E212">
        <v>1</v>
      </c>
      <c r="F212" t="s">
        <v>4027</v>
      </c>
      <c r="G212">
        <v>84</v>
      </c>
    </row>
    <row r="213" spans="1:7" x14ac:dyDescent="0.2">
      <c r="A213" s="2">
        <v>45601</v>
      </c>
      <c r="B213" t="s">
        <v>881</v>
      </c>
      <c r="C213" t="s">
        <v>1</v>
      </c>
      <c r="D213" t="s">
        <v>3</v>
      </c>
      <c r="E213">
        <v>1</v>
      </c>
      <c r="F213" t="s">
        <v>4027</v>
      </c>
      <c r="G213">
        <v>80</v>
      </c>
    </row>
    <row r="214" spans="1:7" x14ac:dyDescent="0.2">
      <c r="A214" s="2">
        <v>45601</v>
      </c>
      <c r="B214" t="s">
        <v>886</v>
      </c>
      <c r="C214" t="s">
        <v>1</v>
      </c>
      <c r="D214" t="s">
        <v>3</v>
      </c>
      <c r="E214">
        <v>1</v>
      </c>
      <c r="F214" t="s">
        <v>4027</v>
      </c>
      <c r="G214">
        <v>63</v>
      </c>
    </row>
    <row r="215" spans="1:7" x14ac:dyDescent="0.2">
      <c r="A215" s="2">
        <v>45601</v>
      </c>
      <c r="B215" t="s">
        <v>887</v>
      </c>
      <c r="C215" t="s">
        <v>1</v>
      </c>
      <c r="D215" t="s">
        <v>3</v>
      </c>
      <c r="E215">
        <v>1</v>
      </c>
      <c r="F215" t="s">
        <v>4027</v>
      </c>
      <c r="G215">
        <v>75</v>
      </c>
    </row>
    <row r="216" spans="1:7" x14ac:dyDescent="0.2">
      <c r="A216" s="2">
        <v>45601</v>
      </c>
      <c r="B216" t="s">
        <v>889</v>
      </c>
      <c r="C216" t="s">
        <v>1</v>
      </c>
      <c r="D216" t="s">
        <v>3</v>
      </c>
      <c r="E216">
        <v>1</v>
      </c>
      <c r="F216" t="s">
        <v>4027</v>
      </c>
      <c r="G216">
        <v>70</v>
      </c>
    </row>
    <row r="217" spans="1:7" x14ac:dyDescent="0.2">
      <c r="A217" s="2">
        <v>45601</v>
      </c>
      <c r="B217" t="s">
        <v>890</v>
      </c>
      <c r="C217" t="s">
        <v>1</v>
      </c>
      <c r="D217" t="s">
        <v>3</v>
      </c>
      <c r="E217">
        <v>1</v>
      </c>
      <c r="F217" t="s">
        <v>4027</v>
      </c>
      <c r="G217">
        <v>65</v>
      </c>
    </row>
    <row r="218" spans="1:7" x14ac:dyDescent="0.2">
      <c r="A218" s="2">
        <v>45601</v>
      </c>
      <c r="B218" t="s">
        <v>891</v>
      </c>
      <c r="C218" t="s">
        <v>1</v>
      </c>
      <c r="D218" t="s">
        <v>3</v>
      </c>
      <c r="E218">
        <v>1</v>
      </c>
      <c r="F218" t="s">
        <v>4027</v>
      </c>
      <c r="G218">
        <v>73</v>
      </c>
    </row>
    <row r="219" spans="1:7" x14ac:dyDescent="0.2">
      <c r="A219" s="2">
        <v>45602</v>
      </c>
      <c r="B219" t="s">
        <v>911</v>
      </c>
      <c r="C219" t="s">
        <v>1</v>
      </c>
      <c r="D219" t="s">
        <v>3</v>
      </c>
      <c r="E219">
        <v>1</v>
      </c>
      <c r="F219" t="s">
        <v>4027</v>
      </c>
      <c r="G219">
        <v>70</v>
      </c>
    </row>
    <row r="220" spans="1:7" x14ac:dyDescent="0.2">
      <c r="A220" s="2">
        <v>45602</v>
      </c>
      <c r="B220" t="s">
        <v>905</v>
      </c>
      <c r="C220" t="s">
        <v>1</v>
      </c>
      <c r="D220" t="s">
        <v>3</v>
      </c>
      <c r="E220">
        <v>1</v>
      </c>
      <c r="F220" t="s">
        <v>4027</v>
      </c>
      <c r="G220">
        <v>84</v>
      </c>
    </row>
    <row r="221" spans="1:7" x14ac:dyDescent="0.2">
      <c r="A221" s="2">
        <v>45602</v>
      </c>
      <c r="B221" t="s">
        <v>904</v>
      </c>
      <c r="C221" t="s">
        <v>1</v>
      </c>
      <c r="D221" t="s">
        <v>3</v>
      </c>
      <c r="E221">
        <v>1</v>
      </c>
      <c r="F221" t="s">
        <v>4027</v>
      </c>
      <c r="G221">
        <v>88</v>
      </c>
    </row>
    <row r="222" spans="1:7" x14ac:dyDescent="0.2">
      <c r="A222" s="2">
        <v>45602</v>
      </c>
      <c r="B222" t="s">
        <v>902</v>
      </c>
      <c r="C222" t="s">
        <v>1</v>
      </c>
      <c r="D222" t="s">
        <v>3</v>
      </c>
      <c r="E222">
        <v>1</v>
      </c>
      <c r="F222" t="s">
        <v>4027</v>
      </c>
      <c r="G222">
        <v>85</v>
      </c>
    </row>
    <row r="223" spans="1:7" x14ac:dyDescent="0.2">
      <c r="A223" s="2">
        <v>45602</v>
      </c>
      <c r="B223" t="s">
        <v>900</v>
      </c>
      <c r="C223" t="s">
        <v>1</v>
      </c>
      <c r="D223" t="s">
        <v>3</v>
      </c>
      <c r="E223">
        <v>1</v>
      </c>
      <c r="F223" t="s">
        <v>4027</v>
      </c>
      <c r="G223">
        <v>70</v>
      </c>
    </row>
    <row r="224" spans="1:7" x14ac:dyDescent="0.2">
      <c r="A224" s="2">
        <v>45602</v>
      </c>
      <c r="B224" t="s">
        <v>899</v>
      </c>
      <c r="C224" t="s">
        <v>1</v>
      </c>
      <c r="D224" t="s">
        <v>3</v>
      </c>
      <c r="E224">
        <v>1</v>
      </c>
      <c r="F224" t="s">
        <v>4027</v>
      </c>
      <c r="G224">
        <v>68</v>
      </c>
    </row>
    <row r="225" spans="1:7" x14ac:dyDescent="0.2">
      <c r="A225" s="2">
        <v>45602</v>
      </c>
      <c r="B225" t="s">
        <v>894</v>
      </c>
      <c r="C225" t="s">
        <v>1</v>
      </c>
      <c r="D225" t="s">
        <v>3</v>
      </c>
      <c r="E225">
        <v>1</v>
      </c>
      <c r="F225" t="s">
        <v>4027</v>
      </c>
      <c r="G225">
        <v>67</v>
      </c>
    </row>
    <row r="226" spans="1:7" x14ac:dyDescent="0.2">
      <c r="A226" s="2">
        <v>45602</v>
      </c>
      <c r="B226" t="s">
        <v>896</v>
      </c>
      <c r="C226" t="s">
        <v>1</v>
      </c>
      <c r="D226" t="s">
        <v>3</v>
      </c>
      <c r="E226">
        <v>1</v>
      </c>
      <c r="F226" t="s">
        <v>4027</v>
      </c>
      <c r="G226">
        <v>75</v>
      </c>
    </row>
    <row r="227" spans="1:7" x14ac:dyDescent="0.2">
      <c r="A227" s="2">
        <v>45602</v>
      </c>
      <c r="B227" t="s">
        <v>906</v>
      </c>
      <c r="C227" t="s">
        <v>1</v>
      </c>
      <c r="D227" t="s">
        <v>3</v>
      </c>
      <c r="E227">
        <v>1</v>
      </c>
      <c r="F227" t="s">
        <v>4027</v>
      </c>
      <c r="G227">
        <v>71</v>
      </c>
    </row>
    <row r="228" spans="1:7" x14ac:dyDescent="0.2">
      <c r="A228" s="2">
        <v>45602</v>
      </c>
      <c r="B228" t="s">
        <v>893</v>
      </c>
      <c r="C228" t="s">
        <v>1</v>
      </c>
      <c r="D228" t="s">
        <v>3</v>
      </c>
      <c r="E228">
        <v>1</v>
      </c>
      <c r="F228" t="s">
        <v>4027</v>
      </c>
      <c r="G228">
        <v>85</v>
      </c>
    </row>
    <row r="229" spans="1:7" x14ac:dyDescent="0.2">
      <c r="A229" s="2">
        <v>45602</v>
      </c>
      <c r="B229" t="s">
        <v>892</v>
      </c>
      <c r="C229" t="s">
        <v>1</v>
      </c>
      <c r="D229" t="s">
        <v>3</v>
      </c>
      <c r="E229">
        <v>1</v>
      </c>
      <c r="F229" t="s">
        <v>4027</v>
      </c>
      <c r="G229">
        <v>77</v>
      </c>
    </row>
    <row r="230" spans="1:7" x14ac:dyDescent="0.2">
      <c r="A230" s="2">
        <v>45602</v>
      </c>
      <c r="B230" t="s">
        <v>898</v>
      </c>
      <c r="C230" t="s">
        <v>1</v>
      </c>
      <c r="D230" t="s">
        <v>3</v>
      </c>
      <c r="E230">
        <v>1</v>
      </c>
      <c r="F230" t="s">
        <v>4027</v>
      </c>
      <c r="G230">
        <v>65</v>
      </c>
    </row>
    <row r="231" spans="1:7" x14ac:dyDescent="0.2">
      <c r="A231" s="2">
        <v>45602</v>
      </c>
      <c r="B231" t="s">
        <v>907</v>
      </c>
      <c r="C231" t="s">
        <v>1</v>
      </c>
      <c r="D231" t="s">
        <v>3</v>
      </c>
      <c r="E231">
        <v>1</v>
      </c>
      <c r="F231" t="s">
        <v>4027</v>
      </c>
      <c r="G231">
        <v>69</v>
      </c>
    </row>
    <row r="232" spans="1:7" x14ac:dyDescent="0.2">
      <c r="A232" s="2">
        <v>45602</v>
      </c>
      <c r="B232" t="s">
        <v>695</v>
      </c>
      <c r="C232" t="s">
        <v>2</v>
      </c>
      <c r="D232" t="s">
        <v>4</v>
      </c>
      <c r="E232">
        <v>1</v>
      </c>
      <c r="F232" t="s">
        <v>600</v>
      </c>
      <c r="G232">
        <v>22</v>
      </c>
    </row>
    <row r="233" spans="1:7" x14ac:dyDescent="0.2">
      <c r="A233" s="2">
        <v>45602</v>
      </c>
      <c r="B233" t="s">
        <v>909</v>
      </c>
      <c r="C233" t="s">
        <v>1</v>
      </c>
      <c r="D233" t="s">
        <v>3</v>
      </c>
      <c r="E233">
        <v>1</v>
      </c>
      <c r="F233" t="s">
        <v>4027</v>
      </c>
      <c r="G233">
        <v>73</v>
      </c>
    </row>
    <row r="234" spans="1:7" x14ac:dyDescent="0.2">
      <c r="A234" s="2">
        <v>45602</v>
      </c>
      <c r="B234" t="s">
        <v>913</v>
      </c>
      <c r="C234" t="s">
        <v>1</v>
      </c>
      <c r="D234" t="s">
        <v>3</v>
      </c>
      <c r="E234">
        <v>1</v>
      </c>
      <c r="F234" t="s">
        <v>4027</v>
      </c>
      <c r="G234">
        <v>77</v>
      </c>
    </row>
    <row r="235" spans="1:7" x14ac:dyDescent="0.2">
      <c r="A235" s="2">
        <v>45602</v>
      </c>
      <c r="B235" t="s">
        <v>914</v>
      </c>
      <c r="C235" t="s">
        <v>1</v>
      </c>
      <c r="D235" t="s">
        <v>3</v>
      </c>
      <c r="E235">
        <v>1</v>
      </c>
      <c r="F235" t="s">
        <v>4027</v>
      </c>
      <c r="G235">
        <v>87</v>
      </c>
    </row>
    <row r="236" spans="1:7" x14ac:dyDescent="0.2">
      <c r="A236" s="2">
        <v>45602</v>
      </c>
      <c r="B236" t="s">
        <v>915</v>
      </c>
      <c r="C236" t="s">
        <v>1</v>
      </c>
      <c r="D236" t="s">
        <v>3</v>
      </c>
      <c r="E236">
        <v>1</v>
      </c>
      <c r="F236" t="s">
        <v>4027</v>
      </c>
      <c r="G236">
        <v>69</v>
      </c>
    </row>
    <row r="237" spans="1:7" x14ac:dyDescent="0.2">
      <c r="A237" s="2">
        <v>45602</v>
      </c>
      <c r="B237" t="s">
        <v>910</v>
      </c>
      <c r="C237" t="s">
        <v>1</v>
      </c>
      <c r="D237" t="s">
        <v>3</v>
      </c>
      <c r="E237">
        <v>1</v>
      </c>
      <c r="F237" t="s">
        <v>4027</v>
      </c>
      <c r="G237">
        <v>74</v>
      </c>
    </row>
    <row r="238" spans="1:7" x14ac:dyDescent="0.2">
      <c r="A238" s="2">
        <v>45603</v>
      </c>
      <c r="B238" t="s">
        <v>916</v>
      </c>
      <c r="C238" t="s">
        <v>1</v>
      </c>
      <c r="D238" t="s">
        <v>3</v>
      </c>
      <c r="E238">
        <v>1</v>
      </c>
      <c r="F238" t="s">
        <v>4027</v>
      </c>
      <c r="G238">
        <v>61</v>
      </c>
    </row>
    <row r="239" spans="1:7" x14ac:dyDescent="0.2">
      <c r="A239" s="2">
        <v>45603</v>
      </c>
      <c r="B239" t="s">
        <v>917</v>
      </c>
      <c r="C239" t="s">
        <v>1</v>
      </c>
      <c r="D239" t="s">
        <v>3</v>
      </c>
      <c r="E239">
        <v>1</v>
      </c>
      <c r="F239" t="s">
        <v>4027</v>
      </c>
      <c r="G239">
        <v>86</v>
      </c>
    </row>
    <row r="240" spans="1:7" x14ac:dyDescent="0.2">
      <c r="A240" s="2">
        <v>45603</v>
      </c>
      <c r="B240" t="s">
        <v>919</v>
      </c>
      <c r="C240" t="s">
        <v>1</v>
      </c>
      <c r="D240" t="s">
        <v>3</v>
      </c>
      <c r="E240">
        <v>1</v>
      </c>
      <c r="F240" t="s">
        <v>4027</v>
      </c>
      <c r="G240">
        <v>82</v>
      </c>
    </row>
    <row r="241" spans="1:7" x14ac:dyDescent="0.2">
      <c r="A241" s="2">
        <v>45603</v>
      </c>
      <c r="B241" t="s">
        <v>920</v>
      </c>
      <c r="C241" t="s">
        <v>1</v>
      </c>
      <c r="D241" t="s">
        <v>3</v>
      </c>
      <c r="E241">
        <v>1</v>
      </c>
      <c r="F241" t="s">
        <v>4027</v>
      </c>
      <c r="G241">
        <v>75</v>
      </c>
    </row>
    <row r="242" spans="1:7" x14ac:dyDescent="0.2">
      <c r="A242" s="2">
        <v>45603</v>
      </c>
      <c r="B242" t="s">
        <v>932</v>
      </c>
      <c r="C242" t="s">
        <v>1</v>
      </c>
      <c r="D242" t="s">
        <v>3</v>
      </c>
      <c r="E242">
        <v>1</v>
      </c>
      <c r="F242" t="s">
        <v>4027</v>
      </c>
      <c r="G242">
        <v>85</v>
      </c>
    </row>
    <row r="243" spans="1:7" x14ac:dyDescent="0.2">
      <c r="A243" s="2">
        <v>45603</v>
      </c>
      <c r="B243" t="s">
        <v>923</v>
      </c>
      <c r="C243" t="s">
        <v>1</v>
      </c>
      <c r="D243" t="s">
        <v>3</v>
      </c>
      <c r="E243">
        <v>1</v>
      </c>
      <c r="F243" t="s">
        <v>4027</v>
      </c>
      <c r="G243">
        <v>86</v>
      </c>
    </row>
    <row r="244" spans="1:7" x14ac:dyDescent="0.2">
      <c r="A244" s="2">
        <v>45603</v>
      </c>
      <c r="B244" t="s">
        <v>925</v>
      </c>
      <c r="C244" t="s">
        <v>1</v>
      </c>
      <c r="D244" t="s">
        <v>3</v>
      </c>
      <c r="E244">
        <v>1</v>
      </c>
      <c r="F244" t="s">
        <v>4027</v>
      </c>
      <c r="G244">
        <v>80</v>
      </c>
    </row>
    <row r="245" spans="1:7" x14ac:dyDescent="0.2">
      <c r="A245" s="2">
        <v>45603</v>
      </c>
      <c r="B245" t="s">
        <v>926</v>
      </c>
      <c r="C245" t="s">
        <v>1</v>
      </c>
      <c r="D245" t="s">
        <v>3</v>
      </c>
      <c r="E245">
        <v>1</v>
      </c>
      <c r="F245" t="s">
        <v>4027</v>
      </c>
      <c r="G245">
        <v>80</v>
      </c>
    </row>
    <row r="246" spans="1:7" x14ac:dyDescent="0.2">
      <c r="A246" s="2">
        <v>45603</v>
      </c>
      <c r="B246" t="s">
        <v>927</v>
      </c>
      <c r="C246" t="s">
        <v>1</v>
      </c>
      <c r="D246" t="s">
        <v>3</v>
      </c>
      <c r="E246">
        <v>1</v>
      </c>
      <c r="F246" t="s">
        <v>4027</v>
      </c>
      <c r="G246">
        <v>85</v>
      </c>
    </row>
    <row r="247" spans="1:7" x14ac:dyDescent="0.2">
      <c r="A247" s="2">
        <v>45603</v>
      </c>
      <c r="B247" t="s">
        <v>928</v>
      </c>
      <c r="C247" t="s">
        <v>1</v>
      </c>
      <c r="D247" t="s">
        <v>3</v>
      </c>
      <c r="E247">
        <v>1</v>
      </c>
      <c r="F247" t="s">
        <v>4027</v>
      </c>
      <c r="G247">
        <v>70</v>
      </c>
    </row>
    <row r="248" spans="1:7" x14ac:dyDescent="0.2">
      <c r="A248" s="2">
        <v>45603</v>
      </c>
      <c r="B248" t="s">
        <v>929</v>
      </c>
      <c r="C248" t="s">
        <v>1</v>
      </c>
      <c r="D248" t="s">
        <v>3</v>
      </c>
      <c r="E248">
        <v>1</v>
      </c>
      <c r="F248" t="s">
        <v>4027</v>
      </c>
      <c r="G248">
        <v>74</v>
      </c>
    </row>
    <row r="249" spans="1:7" x14ac:dyDescent="0.2">
      <c r="A249" s="2">
        <v>45603</v>
      </c>
      <c r="B249" t="s">
        <v>931</v>
      </c>
      <c r="C249" t="s">
        <v>1</v>
      </c>
      <c r="D249" t="s">
        <v>3</v>
      </c>
      <c r="E249">
        <v>1</v>
      </c>
      <c r="F249" t="s">
        <v>4027</v>
      </c>
      <c r="G249">
        <v>64</v>
      </c>
    </row>
    <row r="250" spans="1:7" x14ac:dyDescent="0.2">
      <c r="A250" s="2">
        <v>45603</v>
      </c>
      <c r="B250" t="s">
        <v>922</v>
      </c>
      <c r="C250" t="s">
        <v>1</v>
      </c>
      <c r="D250" t="s">
        <v>3</v>
      </c>
      <c r="E250">
        <v>1</v>
      </c>
      <c r="F250" t="s">
        <v>4027</v>
      </c>
      <c r="G250">
        <v>88</v>
      </c>
    </row>
    <row r="251" spans="1:7" x14ac:dyDescent="0.2">
      <c r="A251" s="2">
        <v>45603</v>
      </c>
      <c r="B251" t="s">
        <v>921</v>
      </c>
      <c r="C251" t="s">
        <v>1</v>
      </c>
      <c r="D251" t="s">
        <v>3</v>
      </c>
      <c r="E251">
        <v>1</v>
      </c>
      <c r="F251" t="s">
        <v>4027</v>
      </c>
      <c r="G251">
        <v>79</v>
      </c>
    </row>
    <row r="252" spans="1:7" x14ac:dyDescent="0.2">
      <c r="A252" s="2">
        <v>45604</v>
      </c>
      <c r="B252" t="s">
        <v>939</v>
      </c>
      <c r="C252" t="s">
        <v>1</v>
      </c>
      <c r="D252" t="s">
        <v>3</v>
      </c>
      <c r="E252">
        <v>1</v>
      </c>
      <c r="F252" t="s">
        <v>4027</v>
      </c>
      <c r="G252">
        <v>61</v>
      </c>
    </row>
    <row r="253" spans="1:7" x14ac:dyDescent="0.2">
      <c r="A253" s="2">
        <v>45604</v>
      </c>
      <c r="B253" t="s">
        <v>942</v>
      </c>
      <c r="C253" t="s">
        <v>1</v>
      </c>
      <c r="D253" t="s">
        <v>3</v>
      </c>
      <c r="E253">
        <v>1</v>
      </c>
      <c r="F253" t="s">
        <v>4027</v>
      </c>
      <c r="G253">
        <v>61</v>
      </c>
    </row>
    <row r="254" spans="1:7" x14ac:dyDescent="0.2">
      <c r="A254" s="2">
        <v>45604</v>
      </c>
      <c r="B254" t="s">
        <v>933</v>
      </c>
      <c r="C254" t="s">
        <v>1</v>
      </c>
      <c r="D254" t="s">
        <v>3</v>
      </c>
      <c r="E254">
        <v>1</v>
      </c>
      <c r="F254" t="s">
        <v>4027</v>
      </c>
      <c r="G254">
        <v>66</v>
      </c>
    </row>
    <row r="255" spans="1:7" x14ac:dyDescent="0.2">
      <c r="A255" s="2">
        <v>45604</v>
      </c>
      <c r="B255" t="s">
        <v>934</v>
      </c>
      <c r="C255" t="s">
        <v>1</v>
      </c>
      <c r="D255" t="s">
        <v>3</v>
      </c>
      <c r="E255">
        <v>1</v>
      </c>
      <c r="F255" t="s">
        <v>4027</v>
      </c>
      <c r="G255">
        <v>64</v>
      </c>
    </row>
    <row r="256" spans="1:7" x14ac:dyDescent="0.2">
      <c r="A256" s="2">
        <v>45604</v>
      </c>
      <c r="B256" t="s">
        <v>935</v>
      </c>
      <c r="C256" t="s">
        <v>1</v>
      </c>
      <c r="D256" t="s">
        <v>3</v>
      </c>
      <c r="E256">
        <v>1</v>
      </c>
      <c r="F256" t="s">
        <v>4027</v>
      </c>
      <c r="G256">
        <v>78</v>
      </c>
    </row>
    <row r="257" spans="1:7" x14ac:dyDescent="0.2">
      <c r="A257" s="2">
        <v>45604</v>
      </c>
      <c r="B257" t="s">
        <v>936</v>
      </c>
      <c r="C257" t="s">
        <v>1</v>
      </c>
      <c r="D257" t="s">
        <v>3</v>
      </c>
      <c r="E257">
        <v>1</v>
      </c>
      <c r="F257" t="s">
        <v>4027</v>
      </c>
      <c r="G257">
        <v>78</v>
      </c>
    </row>
    <row r="258" spans="1:7" x14ac:dyDescent="0.2">
      <c r="A258" s="2">
        <v>45604</v>
      </c>
      <c r="B258" t="s">
        <v>937</v>
      </c>
      <c r="C258" t="s">
        <v>1</v>
      </c>
      <c r="D258" t="s">
        <v>3</v>
      </c>
      <c r="E258">
        <v>1</v>
      </c>
      <c r="F258" t="s">
        <v>4027</v>
      </c>
      <c r="G258">
        <v>85</v>
      </c>
    </row>
    <row r="259" spans="1:7" x14ac:dyDescent="0.2">
      <c r="A259" s="2">
        <v>45604</v>
      </c>
      <c r="B259" t="s">
        <v>938</v>
      </c>
      <c r="C259" t="s">
        <v>1</v>
      </c>
      <c r="D259" t="s">
        <v>3</v>
      </c>
      <c r="E259">
        <v>1</v>
      </c>
      <c r="F259" t="s">
        <v>4027</v>
      </c>
      <c r="G259">
        <v>67</v>
      </c>
    </row>
    <row r="260" spans="1:7" x14ac:dyDescent="0.2">
      <c r="A260" s="2">
        <v>45604</v>
      </c>
      <c r="B260" t="s">
        <v>940</v>
      </c>
      <c r="C260" t="s">
        <v>1</v>
      </c>
      <c r="D260" t="s">
        <v>3</v>
      </c>
      <c r="E260">
        <v>1</v>
      </c>
      <c r="F260" t="s">
        <v>4027</v>
      </c>
      <c r="G260">
        <v>66</v>
      </c>
    </row>
    <row r="261" spans="1:7" x14ac:dyDescent="0.2">
      <c r="A261" s="2">
        <v>45605</v>
      </c>
      <c r="B261" t="s">
        <v>945</v>
      </c>
      <c r="C261" t="s">
        <v>1</v>
      </c>
      <c r="D261" t="s">
        <v>3</v>
      </c>
      <c r="E261">
        <v>1</v>
      </c>
      <c r="F261" t="s">
        <v>4027</v>
      </c>
      <c r="G261">
        <v>74</v>
      </c>
    </row>
    <row r="262" spans="1:7" x14ac:dyDescent="0.2">
      <c r="A262" s="2">
        <v>45605</v>
      </c>
      <c r="B262" t="s">
        <v>947</v>
      </c>
      <c r="C262" t="s">
        <v>1</v>
      </c>
      <c r="D262" t="s">
        <v>3</v>
      </c>
      <c r="E262">
        <v>1</v>
      </c>
      <c r="F262" t="s">
        <v>4027</v>
      </c>
      <c r="G262">
        <v>89</v>
      </c>
    </row>
    <row r="263" spans="1:7" x14ac:dyDescent="0.2">
      <c r="A263" s="2">
        <v>45605</v>
      </c>
      <c r="B263" t="s">
        <v>944</v>
      </c>
      <c r="C263" t="s">
        <v>1</v>
      </c>
      <c r="D263" t="s">
        <v>3</v>
      </c>
      <c r="E263">
        <v>1</v>
      </c>
      <c r="F263" t="s">
        <v>4027</v>
      </c>
      <c r="G263">
        <v>71</v>
      </c>
    </row>
    <row r="264" spans="1:7" x14ac:dyDescent="0.2">
      <c r="A264" s="2">
        <v>45607</v>
      </c>
      <c r="B264" t="s">
        <v>954</v>
      </c>
      <c r="C264" t="s">
        <v>1</v>
      </c>
      <c r="D264" t="s">
        <v>3</v>
      </c>
      <c r="E264">
        <v>1</v>
      </c>
      <c r="F264" t="s">
        <v>4027</v>
      </c>
      <c r="G264">
        <v>76</v>
      </c>
    </row>
    <row r="265" spans="1:7" x14ac:dyDescent="0.2">
      <c r="A265" s="2">
        <v>45607</v>
      </c>
      <c r="B265" t="s">
        <v>948</v>
      </c>
      <c r="C265" t="s">
        <v>1</v>
      </c>
      <c r="D265" t="s">
        <v>3</v>
      </c>
      <c r="E265">
        <v>1</v>
      </c>
      <c r="F265" t="s">
        <v>4027</v>
      </c>
      <c r="G265">
        <v>78</v>
      </c>
    </row>
    <row r="266" spans="1:7" x14ac:dyDescent="0.2">
      <c r="A266" s="2">
        <v>45607</v>
      </c>
      <c r="B266" t="s">
        <v>949</v>
      </c>
      <c r="C266" t="s">
        <v>1</v>
      </c>
      <c r="D266" t="s">
        <v>3</v>
      </c>
      <c r="E266">
        <v>1</v>
      </c>
      <c r="F266" t="s">
        <v>4027</v>
      </c>
      <c r="G266">
        <v>60</v>
      </c>
    </row>
    <row r="267" spans="1:7" x14ac:dyDescent="0.2">
      <c r="A267" s="2">
        <v>45607</v>
      </c>
      <c r="B267" t="s">
        <v>950</v>
      </c>
      <c r="C267" t="s">
        <v>1</v>
      </c>
      <c r="D267" t="s">
        <v>3</v>
      </c>
      <c r="E267">
        <v>1</v>
      </c>
      <c r="F267" t="s">
        <v>4027</v>
      </c>
      <c r="G267">
        <v>76</v>
      </c>
    </row>
    <row r="268" spans="1:7" x14ac:dyDescent="0.2">
      <c r="A268" s="2">
        <v>45607</v>
      </c>
      <c r="B268" t="s">
        <v>951</v>
      </c>
      <c r="C268" t="s">
        <v>1</v>
      </c>
      <c r="D268" t="s">
        <v>3</v>
      </c>
      <c r="E268">
        <v>1</v>
      </c>
      <c r="F268" t="s">
        <v>4027</v>
      </c>
      <c r="G268">
        <v>83</v>
      </c>
    </row>
    <row r="269" spans="1:7" x14ac:dyDescent="0.2">
      <c r="A269" s="2">
        <v>45607</v>
      </c>
      <c r="B269" t="s">
        <v>958</v>
      </c>
      <c r="C269" t="s">
        <v>1</v>
      </c>
      <c r="D269" t="s">
        <v>3</v>
      </c>
      <c r="E269">
        <v>1</v>
      </c>
      <c r="F269" t="s">
        <v>4027</v>
      </c>
      <c r="G269">
        <v>89</v>
      </c>
    </row>
    <row r="270" spans="1:7" x14ac:dyDescent="0.2">
      <c r="A270" s="2">
        <v>45607</v>
      </c>
      <c r="B270" t="s">
        <v>955</v>
      </c>
      <c r="C270" t="s">
        <v>1</v>
      </c>
      <c r="D270" t="s">
        <v>3</v>
      </c>
      <c r="E270">
        <v>1</v>
      </c>
      <c r="F270" t="s">
        <v>4027</v>
      </c>
      <c r="G270">
        <v>65</v>
      </c>
    </row>
    <row r="271" spans="1:7" x14ac:dyDescent="0.2">
      <c r="A271" s="2">
        <v>45607</v>
      </c>
      <c r="B271" t="s">
        <v>953</v>
      </c>
      <c r="C271" t="s">
        <v>1</v>
      </c>
      <c r="D271" t="s">
        <v>3</v>
      </c>
      <c r="E271">
        <v>1</v>
      </c>
      <c r="F271" t="s">
        <v>4027</v>
      </c>
      <c r="G271">
        <v>69</v>
      </c>
    </row>
    <row r="272" spans="1:7" x14ac:dyDescent="0.2">
      <c r="A272" s="2">
        <v>45607</v>
      </c>
      <c r="B272" t="s">
        <v>957</v>
      </c>
      <c r="C272" t="s">
        <v>1</v>
      </c>
      <c r="D272" t="s">
        <v>3</v>
      </c>
      <c r="E272">
        <v>1</v>
      </c>
      <c r="F272" t="s">
        <v>4027</v>
      </c>
      <c r="G272">
        <v>83</v>
      </c>
    </row>
    <row r="273" spans="1:7" x14ac:dyDescent="0.2">
      <c r="A273" s="2">
        <v>45607</v>
      </c>
      <c r="B273" t="s">
        <v>963</v>
      </c>
      <c r="C273" t="s">
        <v>1</v>
      </c>
      <c r="D273" t="s">
        <v>3</v>
      </c>
      <c r="E273">
        <v>1</v>
      </c>
      <c r="F273" t="s">
        <v>4027</v>
      </c>
      <c r="G273">
        <v>60</v>
      </c>
    </row>
    <row r="274" spans="1:7" x14ac:dyDescent="0.2">
      <c r="A274" s="2">
        <v>45607</v>
      </c>
      <c r="B274" t="s">
        <v>965</v>
      </c>
      <c r="C274" t="s">
        <v>1</v>
      </c>
      <c r="D274" t="s">
        <v>3</v>
      </c>
      <c r="E274">
        <v>1</v>
      </c>
      <c r="F274" t="s">
        <v>4027</v>
      </c>
      <c r="G274">
        <v>67</v>
      </c>
    </row>
    <row r="275" spans="1:7" x14ac:dyDescent="0.2">
      <c r="A275" s="2">
        <v>45607</v>
      </c>
      <c r="B275" t="s">
        <v>966</v>
      </c>
      <c r="C275" t="s">
        <v>1</v>
      </c>
      <c r="D275" t="s">
        <v>3</v>
      </c>
      <c r="E275">
        <v>1</v>
      </c>
      <c r="F275" t="s">
        <v>4027</v>
      </c>
      <c r="G275">
        <v>72</v>
      </c>
    </row>
    <row r="276" spans="1:7" x14ac:dyDescent="0.2">
      <c r="A276" s="2">
        <v>45607</v>
      </c>
      <c r="B276" t="s">
        <v>959</v>
      </c>
      <c r="C276" t="s">
        <v>1</v>
      </c>
      <c r="D276" t="s">
        <v>3</v>
      </c>
      <c r="E276">
        <v>1</v>
      </c>
      <c r="F276" t="s">
        <v>4027</v>
      </c>
      <c r="G276">
        <v>73</v>
      </c>
    </row>
    <row r="277" spans="1:7" x14ac:dyDescent="0.2">
      <c r="A277" s="2">
        <v>45608</v>
      </c>
      <c r="B277" t="s">
        <v>977</v>
      </c>
      <c r="C277" t="s">
        <v>1</v>
      </c>
      <c r="D277" t="s">
        <v>3</v>
      </c>
      <c r="E277">
        <v>1</v>
      </c>
      <c r="F277" t="s">
        <v>4027</v>
      </c>
      <c r="G277">
        <v>72</v>
      </c>
    </row>
    <row r="278" spans="1:7" x14ac:dyDescent="0.2">
      <c r="A278" s="2">
        <v>45608</v>
      </c>
      <c r="B278" t="s">
        <v>715</v>
      </c>
      <c r="C278" t="s">
        <v>2</v>
      </c>
      <c r="D278" t="s">
        <v>4</v>
      </c>
      <c r="E278">
        <v>1</v>
      </c>
      <c r="F278" t="s">
        <v>600</v>
      </c>
      <c r="G278">
        <v>22</v>
      </c>
    </row>
    <row r="279" spans="1:7" x14ac:dyDescent="0.2">
      <c r="A279" s="2">
        <v>45608</v>
      </c>
      <c r="B279" t="s">
        <v>709</v>
      </c>
      <c r="C279" t="s">
        <v>2</v>
      </c>
      <c r="D279" t="s">
        <v>4</v>
      </c>
      <c r="E279">
        <v>1</v>
      </c>
      <c r="F279" t="s">
        <v>600</v>
      </c>
      <c r="G279">
        <v>22</v>
      </c>
    </row>
    <row r="280" spans="1:7" x14ac:dyDescent="0.2">
      <c r="A280" s="2">
        <v>45608</v>
      </c>
      <c r="B280" t="s">
        <v>703</v>
      </c>
      <c r="C280" t="s">
        <v>2</v>
      </c>
      <c r="D280" t="s">
        <v>4</v>
      </c>
      <c r="E280">
        <v>1</v>
      </c>
      <c r="F280" t="s">
        <v>600</v>
      </c>
      <c r="G280">
        <v>22</v>
      </c>
    </row>
    <row r="281" spans="1:7" x14ac:dyDescent="0.2">
      <c r="A281" s="2">
        <v>45608</v>
      </c>
      <c r="B281" t="s">
        <v>700</v>
      </c>
      <c r="C281" t="s">
        <v>2</v>
      </c>
      <c r="D281" t="s">
        <v>4</v>
      </c>
      <c r="E281">
        <v>1</v>
      </c>
      <c r="F281" t="s">
        <v>600</v>
      </c>
      <c r="G281">
        <v>22</v>
      </c>
    </row>
    <row r="282" spans="1:7" x14ac:dyDescent="0.2">
      <c r="A282" s="2">
        <v>45608</v>
      </c>
      <c r="B282" t="s">
        <v>984</v>
      </c>
      <c r="C282" t="s">
        <v>1</v>
      </c>
      <c r="D282" t="s">
        <v>3</v>
      </c>
      <c r="E282">
        <v>1</v>
      </c>
      <c r="F282" t="s">
        <v>4027</v>
      </c>
      <c r="G282">
        <v>78</v>
      </c>
    </row>
    <row r="283" spans="1:7" x14ac:dyDescent="0.2">
      <c r="A283" s="2">
        <v>45608</v>
      </c>
      <c r="B283" t="s">
        <v>982</v>
      </c>
      <c r="C283" t="s">
        <v>1</v>
      </c>
      <c r="D283" t="s">
        <v>3</v>
      </c>
      <c r="E283">
        <v>1</v>
      </c>
      <c r="F283" t="s">
        <v>4027</v>
      </c>
      <c r="G283">
        <v>86</v>
      </c>
    </row>
    <row r="284" spans="1:7" x14ac:dyDescent="0.2">
      <c r="A284" s="2">
        <v>45608</v>
      </c>
      <c r="B284" t="s">
        <v>979</v>
      </c>
      <c r="C284" t="s">
        <v>1</v>
      </c>
      <c r="D284" t="s">
        <v>3</v>
      </c>
      <c r="E284">
        <v>1</v>
      </c>
      <c r="F284" t="s">
        <v>4027</v>
      </c>
      <c r="G284">
        <v>70</v>
      </c>
    </row>
    <row r="285" spans="1:7" x14ac:dyDescent="0.2">
      <c r="A285" s="2">
        <v>45608</v>
      </c>
      <c r="B285" t="s">
        <v>981</v>
      </c>
      <c r="C285" t="s">
        <v>1</v>
      </c>
      <c r="D285" t="s">
        <v>3</v>
      </c>
      <c r="E285">
        <v>1</v>
      </c>
      <c r="F285" t="s">
        <v>4027</v>
      </c>
      <c r="G285">
        <v>77</v>
      </c>
    </row>
    <row r="286" spans="1:7" x14ac:dyDescent="0.2">
      <c r="A286" s="2">
        <v>45608</v>
      </c>
      <c r="B286" t="s">
        <v>969</v>
      </c>
      <c r="C286" t="s">
        <v>1</v>
      </c>
      <c r="D286" t="s">
        <v>3</v>
      </c>
      <c r="E286">
        <v>1</v>
      </c>
      <c r="F286" t="s">
        <v>4027</v>
      </c>
      <c r="G286">
        <v>60</v>
      </c>
    </row>
    <row r="287" spans="1:7" x14ac:dyDescent="0.2">
      <c r="A287" s="2">
        <v>45608</v>
      </c>
      <c r="B287" t="s">
        <v>719</v>
      </c>
      <c r="C287" t="s">
        <v>2</v>
      </c>
      <c r="D287" t="s">
        <v>4</v>
      </c>
      <c r="E287">
        <v>1</v>
      </c>
      <c r="F287" t="s">
        <v>600</v>
      </c>
      <c r="G287">
        <v>22</v>
      </c>
    </row>
    <row r="288" spans="1:7" x14ac:dyDescent="0.2">
      <c r="A288" s="2">
        <v>45608</v>
      </c>
      <c r="B288" t="s">
        <v>971</v>
      </c>
      <c r="C288" t="s">
        <v>1</v>
      </c>
      <c r="D288" t="s">
        <v>3</v>
      </c>
      <c r="E288">
        <v>1</v>
      </c>
      <c r="F288" t="s">
        <v>4027</v>
      </c>
      <c r="G288">
        <v>86</v>
      </c>
    </row>
    <row r="289" spans="1:7" x14ac:dyDescent="0.2">
      <c r="A289" s="2">
        <v>45608</v>
      </c>
      <c r="B289" t="s">
        <v>973</v>
      </c>
      <c r="C289" t="s">
        <v>1</v>
      </c>
      <c r="D289" t="s">
        <v>3</v>
      </c>
      <c r="E289">
        <v>1</v>
      </c>
      <c r="F289" t="s">
        <v>4027</v>
      </c>
      <c r="G289">
        <v>60</v>
      </c>
    </row>
    <row r="290" spans="1:7" x14ac:dyDescent="0.2">
      <c r="A290" s="2">
        <v>45608</v>
      </c>
      <c r="B290" t="s">
        <v>974</v>
      </c>
      <c r="C290" t="s">
        <v>1</v>
      </c>
      <c r="D290" t="s">
        <v>3</v>
      </c>
      <c r="E290">
        <v>1</v>
      </c>
      <c r="F290" t="s">
        <v>4027</v>
      </c>
      <c r="G290">
        <v>77</v>
      </c>
    </row>
    <row r="291" spans="1:7" x14ac:dyDescent="0.2">
      <c r="A291" s="2">
        <v>45608</v>
      </c>
      <c r="B291" t="s">
        <v>976</v>
      </c>
      <c r="C291" t="s">
        <v>1</v>
      </c>
      <c r="D291" t="s">
        <v>3</v>
      </c>
      <c r="E291">
        <v>1</v>
      </c>
      <c r="F291" t="s">
        <v>4027</v>
      </c>
      <c r="G291">
        <v>74</v>
      </c>
    </row>
    <row r="292" spans="1:7" x14ac:dyDescent="0.2">
      <c r="A292" s="2">
        <v>45608</v>
      </c>
      <c r="B292" t="s">
        <v>967</v>
      </c>
      <c r="C292" t="s">
        <v>1</v>
      </c>
      <c r="D292" t="s">
        <v>3</v>
      </c>
      <c r="E292">
        <v>1</v>
      </c>
      <c r="F292" t="s">
        <v>4027</v>
      </c>
      <c r="G292">
        <v>73</v>
      </c>
    </row>
    <row r="293" spans="1:7" x14ac:dyDescent="0.2">
      <c r="A293" s="2">
        <v>45608</v>
      </c>
      <c r="B293" t="s">
        <v>970</v>
      </c>
      <c r="C293" t="s">
        <v>1</v>
      </c>
      <c r="D293" t="s">
        <v>3</v>
      </c>
      <c r="E293">
        <v>1</v>
      </c>
      <c r="F293" t="s">
        <v>4027</v>
      </c>
      <c r="G293">
        <v>75</v>
      </c>
    </row>
    <row r="294" spans="1:7" x14ac:dyDescent="0.2">
      <c r="A294" s="2">
        <v>45609</v>
      </c>
      <c r="B294" t="s">
        <v>994</v>
      </c>
      <c r="C294" t="s">
        <v>1</v>
      </c>
      <c r="D294" t="s">
        <v>3</v>
      </c>
      <c r="E294">
        <v>1</v>
      </c>
      <c r="F294" t="s">
        <v>4027</v>
      </c>
      <c r="G294">
        <v>63</v>
      </c>
    </row>
    <row r="295" spans="1:7" x14ac:dyDescent="0.2">
      <c r="A295" s="2">
        <v>45609</v>
      </c>
      <c r="B295" t="s">
        <v>985</v>
      </c>
      <c r="C295" t="s">
        <v>1</v>
      </c>
      <c r="D295" t="s">
        <v>3</v>
      </c>
      <c r="E295">
        <v>1</v>
      </c>
      <c r="F295" t="s">
        <v>4027</v>
      </c>
      <c r="G295">
        <v>65</v>
      </c>
    </row>
    <row r="296" spans="1:7" x14ac:dyDescent="0.2">
      <c r="A296" s="2">
        <v>45609</v>
      </c>
      <c r="B296" t="s">
        <v>986</v>
      </c>
      <c r="C296" t="s">
        <v>1</v>
      </c>
      <c r="D296" t="s">
        <v>3</v>
      </c>
      <c r="E296">
        <v>1</v>
      </c>
      <c r="F296" t="s">
        <v>4027</v>
      </c>
      <c r="G296">
        <v>85</v>
      </c>
    </row>
    <row r="297" spans="1:7" x14ac:dyDescent="0.2">
      <c r="A297" s="2">
        <v>45609</v>
      </c>
      <c r="B297" t="s">
        <v>987</v>
      </c>
      <c r="C297" t="s">
        <v>1</v>
      </c>
      <c r="D297" t="s">
        <v>3</v>
      </c>
      <c r="E297">
        <v>1</v>
      </c>
      <c r="F297" t="s">
        <v>4027</v>
      </c>
      <c r="G297">
        <v>68</v>
      </c>
    </row>
    <row r="298" spans="1:7" x14ac:dyDescent="0.2">
      <c r="A298" s="2">
        <v>45609</v>
      </c>
      <c r="B298" t="s">
        <v>988</v>
      </c>
      <c r="C298" t="s">
        <v>1</v>
      </c>
      <c r="D298" t="s">
        <v>3</v>
      </c>
      <c r="E298">
        <v>1</v>
      </c>
      <c r="F298" t="s">
        <v>4027</v>
      </c>
      <c r="G298">
        <v>83</v>
      </c>
    </row>
    <row r="299" spans="1:7" x14ac:dyDescent="0.2">
      <c r="A299" s="2">
        <v>45609</v>
      </c>
      <c r="B299" t="s">
        <v>989</v>
      </c>
      <c r="C299" t="s">
        <v>1</v>
      </c>
      <c r="D299" t="s">
        <v>3</v>
      </c>
      <c r="E299">
        <v>1</v>
      </c>
      <c r="F299" t="s">
        <v>4027</v>
      </c>
      <c r="G299">
        <v>88</v>
      </c>
    </row>
    <row r="300" spans="1:7" x14ac:dyDescent="0.2">
      <c r="A300" s="2">
        <v>45609</v>
      </c>
      <c r="B300" t="s">
        <v>990</v>
      </c>
      <c r="C300" t="s">
        <v>1</v>
      </c>
      <c r="D300" t="s">
        <v>3</v>
      </c>
      <c r="E300">
        <v>1</v>
      </c>
      <c r="F300" t="s">
        <v>4027</v>
      </c>
      <c r="G300">
        <v>84</v>
      </c>
    </row>
    <row r="301" spans="1:7" x14ac:dyDescent="0.2">
      <c r="A301" s="2">
        <v>45609</v>
      </c>
      <c r="B301" t="s">
        <v>992</v>
      </c>
      <c r="C301" t="s">
        <v>1</v>
      </c>
      <c r="D301" t="s">
        <v>3</v>
      </c>
      <c r="E301">
        <v>1</v>
      </c>
      <c r="F301" t="s">
        <v>4027</v>
      </c>
      <c r="G301">
        <v>81</v>
      </c>
    </row>
    <row r="302" spans="1:7" x14ac:dyDescent="0.2">
      <c r="A302" s="2">
        <v>45609</v>
      </c>
      <c r="B302" t="s">
        <v>993</v>
      </c>
      <c r="C302" t="s">
        <v>1</v>
      </c>
      <c r="D302" t="s">
        <v>3</v>
      </c>
      <c r="E302">
        <v>1</v>
      </c>
      <c r="F302" t="s">
        <v>4027</v>
      </c>
      <c r="G302">
        <v>66</v>
      </c>
    </row>
    <row r="303" spans="1:7" x14ac:dyDescent="0.2">
      <c r="A303" s="2">
        <v>45610</v>
      </c>
      <c r="B303" t="s">
        <v>999</v>
      </c>
      <c r="C303" t="s">
        <v>1</v>
      </c>
      <c r="D303" t="s">
        <v>3</v>
      </c>
      <c r="E303">
        <v>1</v>
      </c>
      <c r="F303" t="s">
        <v>4027</v>
      </c>
      <c r="G303">
        <v>69</v>
      </c>
    </row>
    <row r="304" spans="1:7" x14ac:dyDescent="0.2">
      <c r="A304" s="2">
        <v>45610</v>
      </c>
      <c r="B304" t="s">
        <v>1003</v>
      </c>
      <c r="C304" t="s">
        <v>1</v>
      </c>
      <c r="D304" t="s">
        <v>3</v>
      </c>
      <c r="E304">
        <v>1</v>
      </c>
      <c r="F304" t="s">
        <v>4027</v>
      </c>
      <c r="G304">
        <v>85</v>
      </c>
    </row>
    <row r="305" spans="1:7" x14ac:dyDescent="0.2">
      <c r="A305" s="2">
        <v>45610</v>
      </c>
      <c r="B305" t="s">
        <v>1001</v>
      </c>
      <c r="C305" t="s">
        <v>1</v>
      </c>
      <c r="D305" t="s">
        <v>3</v>
      </c>
      <c r="E305">
        <v>1</v>
      </c>
      <c r="F305" t="s">
        <v>4027</v>
      </c>
      <c r="G305">
        <v>84</v>
      </c>
    </row>
    <row r="306" spans="1:7" x14ac:dyDescent="0.2">
      <c r="A306" s="2">
        <v>45610</v>
      </c>
      <c r="B306" t="s">
        <v>1000</v>
      </c>
      <c r="C306" t="s">
        <v>1</v>
      </c>
      <c r="D306" t="s">
        <v>3</v>
      </c>
      <c r="E306">
        <v>1</v>
      </c>
      <c r="F306" t="s">
        <v>4027</v>
      </c>
      <c r="G306">
        <v>73</v>
      </c>
    </row>
    <row r="307" spans="1:7" x14ac:dyDescent="0.2">
      <c r="A307" s="2">
        <v>45610</v>
      </c>
      <c r="B307" t="s">
        <v>998</v>
      </c>
      <c r="C307" t="s">
        <v>1</v>
      </c>
      <c r="D307" t="s">
        <v>3</v>
      </c>
      <c r="E307">
        <v>1</v>
      </c>
      <c r="F307" t="s">
        <v>4027</v>
      </c>
      <c r="G307">
        <v>81</v>
      </c>
    </row>
    <row r="308" spans="1:7" x14ac:dyDescent="0.2">
      <c r="A308" s="2">
        <v>45610</v>
      </c>
      <c r="B308" t="s">
        <v>997</v>
      </c>
      <c r="C308" t="s">
        <v>1</v>
      </c>
      <c r="D308" t="s">
        <v>3</v>
      </c>
      <c r="E308">
        <v>1</v>
      </c>
      <c r="F308" t="s">
        <v>4027</v>
      </c>
      <c r="G308">
        <v>69</v>
      </c>
    </row>
    <row r="309" spans="1:7" x14ac:dyDescent="0.2">
      <c r="A309" s="2">
        <v>45610</v>
      </c>
      <c r="B309" t="s">
        <v>996</v>
      </c>
      <c r="C309" t="s">
        <v>1</v>
      </c>
      <c r="D309" t="s">
        <v>3</v>
      </c>
      <c r="E309">
        <v>1</v>
      </c>
      <c r="F309" t="s">
        <v>4027</v>
      </c>
      <c r="G309">
        <v>63</v>
      </c>
    </row>
    <row r="310" spans="1:7" x14ac:dyDescent="0.2">
      <c r="A310" s="2">
        <v>45610</v>
      </c>
      <c r="B310" t="s">
        <v>724</v>
      </c>
      <c r="C310" t="s">
        <v>2</v>
      </c>
      <c r="D310" t="s">
        <v>4</v>
      </c>
      <c r="E310">
        <v>1</v>
      </c>
      <c r="F310" t="s">
        <v>600</v>
      </c>
      <c r="G310">
        <v>22</v>
      </c>
    </row>
    <row r="311" spans="1:7" x14ac:dyDescent="0.2">
      <c r="A311" s="2">
        <v>45611</v>
      </c>
      <c r="B311" t="s">
        <v>1012</v>
      </c>
      <c r="C311" t="s">
        <v>1</v>
      </c>
      <c r="D311" t="s">
        <v>3</v>
      </c>
      <c r="E311">
        <v>1</v>
      </c>
      <c r="F311" t="s">
        <v>4027</v>
      </c>
      <c r="G311">
        <v>88</v>
      </c>
    </row>
    <row r="312" spans="1:7" x14ac:dyDescent="0.2">
      <c r="A312" s="2">
        <v>45611</v>
      </c>
      <c r="B312" t="s">
        <v>1005</v>
      </c>
      <c r="C312" t="s">
        <v>1</v>
      </c>
      <c r="D312" t="s">
        <v>3</v>
      </c>
      <c r="E312">
        <v>1</v>
      </c>
      <c r="F312" t="s">
        <v>4027</v>
      </c>
      <c r="G312">
        <v>61</v>
      </c>
    </row>
    <row r="313" spans="1:7" x14ac:dyDescent="0.2">
      <c r="A313" s="2">
        <v>45611</v>
      </c>
      <c r="B313" t="s">
        <v>1006</v>
      </c>
      <c r="C313" t="s">
        <v>1</v>
      </c>
      <c r="D313" t="s">
        <v>3</v>
      </c>
      <c r="E313">
        <v>1</v>
      </c>
      <c r="F313" t="s">
        <v>4027</v>
      </c>
      <c r="G313">
        <v>83</v>
      </c>
    </row>
    <row r="314" spans="1:7" x14ac:dyDescent="0.2">
      <c r="A314" s="2">
        <v>45611</v>
      </c>
      <c r="B314" t="s">
        <v>1007</v>
      </c>
      <c r="C314" t="s">
        <v>1</v>
      </c>
      <c r="D314" t="s">
        <v>3</v>
      </c>
      <c r="E314">
        <v>1</v>
      </c>
      <c r="F314" t="s">
        <v>4027</v>
      </c>
      <c r="G314">
        <v>61</v>
      </c>
    </row>
    <row r="315" spans="1:7" x14ac:dyDescent="0.2">
      <c r="A315" s="2">
        <v>45611</v>
      </c>
      <c r="B315" t="s">
        <v>1008</v>
      </c>
      <c r="C315" t="s">
        <v>1</v>
      </c>
      <c r="D315" t="s">
        <v>3</v>
      </c>
      <c r="E315">
        <v>1</v>
      </c>
      <c r="F315" t="s">
        <v>4027</v>
      </c>
      <c r="G315">
        <v>86</v>
      </c>
    </row>
    <row r="316" spans="1:7" x14ac:dyDescent="0.2">
      <c r="A316" s="2">
        <v>45611</v>
      </c>
      <c r="B316" t="s">
        <v>1009</v>
      </c>
      <c r="C316" t="s">
        <v>1</v>
      </c>
      <c r="D316" t="s">
        <v>3</v>
      </c>
      <c r="E316">
        <v>1</v>
      </c>
      <c r="F316" t="s">
        <v>4027</v>
      </c>
      <c r="G316">
        <v>89</v>
      </c>
    </row>
    <row r="317" spans="1:7" x14ac:dyDescent="0.2">
      <c r="A317" s="2">
        <v>45611</v>
      </c>
      <c r="B317" t="s">
        <v>1010</v>
      </c>
      <c r="C317" t="s">
        <v>1</v>
      </c>
      <c r="D317" t="s">
        <v>3</v>
      </c>
      <c r="E317">
        <v>1</v>
      </c>
      <c r="F317" t="s">
        <v>4027</v>
      </c>
      <c r="G317">
        <v>79</v>
      </c>
    </row>
    <row r="318" spans="1:7" x14ac:dyDescent="0.2">
      <c r="A318" s="2">
        <v>45612</v>
      </c>
      <c r="B318" t="s">
        <v>1014</v>
      </c>
      <c r="C318" t="s">
        <v>1</v>
      </c>
      <c r="D318" t="s">
        <v>3</v>
      </c>
      <c r="E318">
        <v>1</v>
      </c>
      <c r="F318" t="s">
        <v>4027</v>
      </c>
      <c r="G318">
        <v>60</v>
      </c>
    </row>
    <row r="319" spans="1:7" x14ac:dyDescent="0.2">
      <c r="A319" s="2">
        <v>45614</v>
      </c>
      <c r="B319" t="s">
        <v>1018</v>
      </c>
      <c r="C319" t="s">
        <v>1</v>
      </c>
      <c r="D319" t="s">
        <v>3</v>
      </c>
      <c r="E319">
        <v>1</v>
      </c>
      <c r="F319" t="s">
        <v>4027</v>
      </c>
      <c r="G319">
        <v>64</v>
      </c>
    </row>
    <row r="320" spans="1:7" x14ac:dyDescent="0.2">
      <c r="A320" s="2">
        <v>45614</v>
      </c>
      <c r="B320" t="s">
        <v>1017</v>
      </c>
      <c r="C320" t="s">
        <v>1</v>
      </c>
      <c r="D320" t="s">
        <v>3</v>
      </c>
      <c r="E320">
        <v>1</v>
      </c>
      <c r="F320" t="s">
        <v>4027</v>
      </c>
      <c r="G320">
        <v>84</v>
      </c>
    </row>
    <row r="321" spans="1:7" x14ac:dyDescent="0.2">
      <c r="A321" s="2">
        <v>45614</v>
      </c>
      <c r="B321" t="s">
        <v>1021</v>
      </c>
      <c r="C321" t="s">
        <v>1</v>
      </c>
      <c r="D321" t="s">
        <v>3</v>
      </c>
      <c r="E321">
        <v>1</v>
      </c>
      <c r="F321" t="s">
        <v>4027</v>
      </c>
      <c r="G321">
        <v>79</v>
      </c>
    </row>
    <row r="322" spans="1:7" x14ac:dyDescent="0.2">
      <c r="A322" s="2">
        <v>45614</v>
      </c>
      <c r="B322" t="s">
        <v>1016</v>
      </c>
      <c r="C322" t="s">
        <v>1</v>
      </c>
      <c r="D322" t="s">
        <v>3</v>
      </c>
      <c r="E322">
        <v>1</v>
      </c>
      <c r="F322" t="s">
        <v>4027</v>
      </c>
      <c r="G322">
        <v>79</v>
      </c>
    </row>
    <row r="323" spans="1:7" x14ac:dyDescent="0.2">
      <c r="A323" s="2">
        <v>45614</v>
      </c>
      <c r="B323" t="s">
        <v>1024</v>
      </c>
      <c r="C323" t="s">
        <v>1</v>
      </c>
      <c r="D323" t="s">
        <v>3</v>
      </c>
      <c r="E323">
        <v>1</v>
      </c>
      <c r="F323" t="s">
        <v>4027</v>
      </c>
      <c r="G323">
        <v>60</v>
      </c>
    </row>
    <row r="324" spans="1:7" x14ac:dyDescent="0.2">
      <c r="A324" s="2">
        <v>45614</v>
      </c>
      <c r="B324" t="s">
        <v>1020</v>
      </c>
      <c r="C324" t="s">
        <v>1</v>
      </c>
      <c r="D324" t="s">
        <v>3</v>
      </c>
      <c r="E324">
        <v>1</v>
      </c>
      <c r="F324" t="s">
        <v>4027</v>
      </c>
      <c r="G324">
        <v>62</v>
      </c>
    </row>
    <row r="325" spans="1:7" x14ac:dyDescent="0.2">
      <c r="A325" s="2">
        <v>45614</v>
      </c>
      <c r="B325" t="s">
        <v>1022</v>
      </c>
      <c r="C325" t="s">
        <v>1</v>
      </c>
      <c r="D325" t="s">
        <v>3</v>
      </c>
      <c r="E325">
        <v>1</v>
      </c>
      <c r="F325" t="s">
        <v>4027</v>
      </c>
      <c r="G325">
        <v>74</v>
      </c>
    </row>
    <row r="326" spans="1:7" x14ac:dyDescent="0.2">
      <c r="A326" s="2">
        <v>45615</v>
      </c>
      <c r="B326" t="s">
        <v>1025</v>
      </c>
      <c r="C326" t="s">
        <v>1</v>
      </c>
      <c r="D326" t="s">
        <v>3</v>
      </c>
      <c r="E326">
        <v>1</v>
      </c>
      <c r="F326" t="s">
        <v>4027</v>
      </c>
      <c r="G326">
        <v>89</v>
      </c>
    </row>
    <row r="327" spans="1:7" x14ac:dyDescent="0.2">
      <c r="A327" s="2">
        <v>45615</v>
      </c>
      <c r="B327" t="s">
        <v>726</v>
      </c>
      <c r="C327" t="s">
        <v>2</v>
      </c>
      <c r="D327" t="s">
        <v>4</v>
      </c>
      <c r="E327">
        <v>1</v>
      </c>
      <c r="F327" t="s">
        <v>600</v>
      </c>
      <c r="G327">
        <v>22</v>
      </c>
    </row>
    <row r="328" spans="1:7" x14ac:dyDescent="0.2">
      <c r="A328" s="2">
        <v>45615</v>
      </c>
      <c r="B328" t="s">
        <v>728</v>
      </c>
      <c r="C328" t="s">
        <v>2</v>
      </c>
      <c r="D328" t="s">
        <v>4</v>
      </c>
      <c r="E328">
        <v>1</v>
      </c>
      <c r="F328" t="s">
        <v>600</v>
      </c>
      <c r="G328">
        <v>22</v>
      </c>
    </row>
    <row r="329" spans="1:7" x14ac:dyDescent="0.2">
      <c r="A329" s="2">
        <v>45615</v>
      </c>
      <c r="B329" t="s">
        <v>1038</v>
      </c>
      <c r="C329" t="s">
        <v>1</v>
      </c>
      <c r="D329" t="s">
        <v>3</v>
      </c>
      <c r="E329">
        <v>1</v>
      </c>
      <c r="F329" t="s">
        <v>4027</v>
      </c>
      <c r="G329">
        <v>60</v>
      </c>
    </row>
    <row r="330" spans="1:7" x14ac:dyDescent="0.2">
      <c r="A330" s="2">
        <v>45615</v>
      </c>
      <c r="B330" t="s">
        <v>1036</v>
      </c>
      <c r="C330" t="s">
        <v>1</v>
      </c>
      <c r="D330" t="s">
        <v>3</v>
      </c>
      <c r="E330">
        <v>1</v>
      </c>
      <c r="F330" t="s">
        <v>4027</v>
      </c>
      <c r="G330">
        <v>80</v>
      </c>
    </row>
    <row r="331" spans="1:7" x14ac:dyDescent="0.2">
      <c r="A331" s="2">
        <v>45615</v>
      </c>
      <c r="B331" t="s">
        <v>1034</v>
      </c>
      <c r="C331" t="s">
        <v>1</v>
      </c>
      <c r="D331" t="s">
        <v>3</v>
      </c>
      <c r="E331">
        <v>1</v>
      </c>
      <c r="F331" t="s">
        <v>4027</v>
      </c>
      <c r="G331">
        <v>86</v>
      </c>
    </row>
    <row r="332" spans="1:7" x14ac:dyDescent="0.2">
      <c r="A332" s="2">
        <v>45615</v>
      </c>
      <c r="B332" t="s">
        <v>1035</v>
      </c>
      <c r="C332" t="s">
        <v>1</v>
      </c>
      <c r="D332" t="s">
        <v>3</v>
      </c>
      <c r="E332">
        <v>1</v>
      </c>
      <c r="F332" t="s">
        <v>4027</v>
      </c>
      <c r="G332">
        <v>80</v>
      </c>
    </row>
    <row r="333" spans="1:7" x14ac:dyDescent="0.2">
      <c r="A333" s="2">
        <v>45615</v>
      </c>
      <c r="B333" t="s">
        <v>1030</v>
      </c>
      <c r="C333" t="s">
        <v>1</v>
      </c>
      <c r="D333" t="s">
        <v>3</v>
      </c>
      <c r="E333">
        <v>1</v>
      </c>
      <c r="F333" t="s">
        <v>4027</v>
      </c>
      <c r="G333">
        <v>61</v>
      </c>
    </row>
    <row r="334" spans="1:7" x14ac:dyDescent="0.2">
      <c r="A334" s="2">
        <v>45615</v>
      </c>
      <c r="B334" t="s">
        <v>1029</v>
      </c>
      <c r="C334" t="s">
        <v>1</v>
      </c>
      <c r="D334" t="s">
        <v>3</v>
      </c>
      <c r="E334">
        <v>1</v>
      </c>
      <c r="F334" t="s">
        <v>4027</v>
      </c>
      <c r="G334">
        <v>65</v>
      </c>
    </row>
    <row r="335" spans="1:7" x14ac:dyDescent="0.2">
      <c r="A335" s="2">
        <v>45615</v>
      </c>
      <c r="B335" t="s">
        <v>1028</v>
      </c>
      <c r="C335" t="s">
        <v>1</v>
      </c>
      <c r="D335" t="s">
        <v>3</v>
      </c>
      <c r="E335">
        <v>1</v>
      </c>
      <c r="F335" t="s">
        <v>4027</v>
      </c>
      <c r="G335">
        <v>71</v>
      </c>
    </row>
    <row r="336" spans="1:7" x14ac:dyDescent="0.2">
      <c r="A336" s="2">
        <v>45615</v>
      </c>
      <c r="B336" t="s">
        <v>1027</v>
      </c>
      <c r="C336" t="s">
        <v>1</v>
      </c>
      <c r="D336" t="s">
        <v>3</v>
      </c>
      <c r="E336">
        <v>1</v>
      </c>
      <c r="F336" t="s">
        <v>4027</v>
      </c>
      <c r="G336">
        <v>82</v>
      </c>
    </row>
    <row r="337" spans="1:7" x14ac:dyDescent="0.2">
      <c r="A337" s="2">
        <v>45615</v>
      </c>
      <c r="B337" t="s">
        <v>1032</v>
      </c>
      <c r="C337" t="s">
        <v>1</v>
      </c>
      <c r="D337" t="s">
        <v>3</v>
      </c>
      <c r="E337">
        <v>1</v>
      </c>
      <c r="F337" t="s">
        <v>4027</v>
      </c>
      <c r="G337">
        <v>67</v>
      </c>
    </row>
    <row r="338" spans="1:7" x14ac:dyDescent="0.2">
      <c r="A338" s="2">
        <v>45616</v>
      </c>
      <c r="B338" t="s">
        <v>1052</v>
      </c>
      <c r="C338" t="s">
        <v>1</v>
      </c>
      <c r="D338" t="s">
        <v>3</v>
      </c>
      <c r="E338">
        <v>1</v>
      </c>
      <c r="F338" t="s">
        <v>4027</v>
      </c>
      <c r="G338">
        <v>64</v>
      </c>
    </row>
    <row r="339" spans="1:7" x14ac:dyDescent="0.2">
      <c r="A339" s="2">
        <v>45616</v>
      </c>
      <c r="B339" t="s">
        <v>731</v>
      </c>
      <c r="C339" t="s">
        <v>2</v>
      </c>
      <c r="D339" t="s">
        <v>4</v>
      </c>
      <c r="E339">
        <v>1</v>
      </c>
      <c r="F339" t="s">
        <v>600</v>
      </c>
      <c r="G339">
        <v>22</v>
      </c>
    </row>
    <row r="340" spans="1:7" x14ac:dyDescent="0.2">
      <c r="A340" s="2">
        <v>45616</v>
      </c>
      <c r="B340" t="s">
        <v>1055</v>
      </c>
      <c r="C340" t="s">
        <v>1</v>
      </c>
      <c r="D340" t="s">
        <v>3</v>
      </c>
      <c r="E340">
        <v>1</v>
      </c>
      <c r="F340" t="s">
        <v>4027</v>
      </c>
      <c r="G340">
        <v>76</v>
      </c>
    </row>
    <row r="341" spans="1:7" x14ac:dyDescent="0.2">
      <c r="A341" s="2">
        <v>45616</v>
      </c>
      <c r="B341" t="s">
        <v>1054</v>
      </c>
      <c r="C341" t="s">
        <v>1</v>
      </c>
      <c r="D341" t="s">
        <v>3</v>
      </c>
      <c r="E341">
        <v>1</v>
      </c>
      <c r="F341" t="s">
        <v>4027</v>
      </c>
      <c r="G341">
        <v>84</v>
      </c>
    </row>
    <row r="342" spans="1:7" x14ac:dyDescent="0.2">
      <c r="A342" s="2">
        <v>45616</v>
      </c>
      <c r="B342" t="s">
        <v>1051</v>
      </c>
      <c r="C342" t="s">
        <v>1</v>
      </c>
      <c r="D342" t="s">
        <v>3</v>
      </c>
      <c r="E342">
        <v>1</v>
      </c>
      <c r="F342" t="s">
        <v>4027</v>
      </c>
      <c r="G342">
        <v>63</v>
      </c>
    </row>
    <row r="343" spans="1:7" x14ac:dyDescent="0.2">
      <c r="A343" s="2">
        <v>45616</v>
      </c>
      <c r="B343" t="s">
        <v>1043</v>
      </c>
      <c r="C343" t="s">
        <v>1</v>
      </c>
      <c r="D343" t="s">
        <v>3</v>
      </c>
      <c r="E343">
        <v>1</v>
      </c>
      <c r="F343" t="s">
        <v>4027</v>
      </c>
      <c r="G343">
        <v>87</v>
      </c>
    </row>
    <row r="344" spans="1:7" x14ac:dyDescent="0.2">
      <c r="A344" s="2">
        <v>45616</v>
      </c>
      <c r="B344" t="s">
        <v>1047</v>
      </c>
      <c r="C344" t="s">
        <v>1</v>
      </c>
      <c r="D344" t="s">
        <v>3</v>
      </c>
      <c r="E344">
        <v>1</v>
      </c>
      <c r="F344" t="s">
        <v>4027</v>
      </c>
      <c r="G344">
        <v>69</v>
      </c>
    </row>
    <row r="345" spans="1:7" x14ac:dyDescent="0.2">
      <c r="A345" s="2">
        <v>45616</v>
      </c>
      <c r="B345" t="s">
        <v>1059</v>
      </c>
      <c r="C345" t="s">
        <v>1</v>
      </c>
      <c r="D345" t="s">
        <v>3</v>
      </c>
      <c r="E345">
        <v>1</v>
      </c>
      <c r="F345" t="s">
        <v>4027</v>
      </c>
      <c r="G345">
        <v>66</v>
      </c>
    </row>
    <row r="346" spans="1:7" x14ac:dyDescent="0.2">
      <c r="A346" s="2">
        <v>45616</v>
      </c>
      <c r="B346" t="s">
        <v>1045</v>
      </c>
      <c r="C346" t="s">
        <v>1</v>
      </c>
      <c r="D346" t="s">
        <v>3</v>
      </c>
      <c r="E346">
        <v>1</v>
      </c>
      <c r="F346" t="s">
        <v>4027</v>
      </c>
      <c r="G346">
        <v>83</v>
      </c>
    </row>
    <row r="347" spans="1:7" x14ac:dyDescent="0.2">
      <c r="A347" s="2">
        <v>45616</v>
      </c>
      <c r="B347" t="s">
        <v>1041</v>
      </c>
      <c r="C347" t="s">
        <v>1</v>
      </c>
      <c r="D347" t="s">
        <v>3</v>
      </c>
      <c r="E347">
        <v>1</v>
      </c>
      <c r="F347" t="s">
        <v>4027</v>
      </c>
      <c r="G347">
        <v>72</v>
      </c>
    </row>
    <row r="348" spans="1:7" x14ac:dyDescent="0.2">
      <c r="A348" s="2">
        <v>45616</v>
      </c>
      <c r="B348" t="s">
        <v>734</v>
      </c>
      <c r="C348" t="s">
        <v>2</v>
      </c>
      <c r="D348" t="s">
        <v>4</v>
      </c>
      <c r="E348">
        <v>1</v>
      </c>
      <c r="F348" t="s">
        <v>600</v>
      </c>
      <c r="G348">
        <v>22</v>
      </c>
    </row>
    <row r="349" spans="1:7" x14ac:dyDescent="0.2">
      <c r="A349" s="2">
        <v>45616</v>
      </c>
      <c r="B349" t="s">
        <v>1057</v>
      </c>
      <c r="C349" t="s">
        <v>1</v>
      </c>
      <c r="D349" t="s">
        <v>3</v>
      </c>
      <c r="E349">
        <v>1</v>
      </c>
      <c r="F349" t="s">
        <v>4027</v>
      </c>
      <c r="G349">
        <v>63</v>
      </c>
    </row>
    <row r="350" spans="1:7" x14ac:dyDescent="0.2">
      <c r="A350" s="2">
        <v>45616</v>
      </c>
      <c r="B350" t="s">
        <v>1049</v>
      </c>
      <c r="C350" t="s">
        <v>1</v>
      </c>
      <c r="D350" t="s">
        <v>3</v>
      </c>
      <c r="E350">
        <v>1</v>
      </c>
      <c r="F350" t="s">
        <v>4027</v>
      </c>
      <c r="G350">
        <v>68</v>
      </c>
    </row>
    <row r="351" spans="1:7" x14ac:dyDescent="0.2">
      <c r="A351" s="2">
        <v>45616</v>
      </c>
      <c r="B351" t="s">
        <v>1039</v>
      </c>
      <c r="C351" t="s">
        <v>1</v>
      </c>
      <c r="D351" t="s">
        <v>3</v>
      </c>
      <c r="E351">
        <v>1</v>
      </c>
      <c r="F351" t="s">
        <v>4027</v>
      </c>
      <c r="G351">
        <v>85</v>
      </c>
    </row>
    <row r="352" spans="1:7" x14ac:dyDescent="0.2">
      <c r="A352" s="2">
        <v>45617</v>
      </c>
      <c r="B352" t="s">
        <v>1060</v>
      </c>
      <c r="C352" t="s">
        <v>1</v>
      </c>
      <c r="D352" t="s">
        <v>3</v>
      </c>
      <c r="E352">
        <v>1</v>
      </c>
      <c r="F352" t="s">
        <v>4027</v>
      </c>
      <c r="G352">
        <v>85</v>
      </c>
    </row>
    <row r="353" spans="1:7" x14ac:dyDescent="0.2">
      <c r="A353" s="2">
        <v>45617</v>
      </c>
      <c r="B353" t="s">
        <v>1075</v>
      </c>
      <c r="C353" t="s">
        <v>1</v>
      </c>
      <c r="D353" t="s">
        <v>3</v>
      </c>
      <c r="E353">
        <v>1</v>
      </c>
      <c r="F353" t="s">
        <v>4027</v>
      </c>
      <c r="G353">
        <v>89</v>
      </c>
    </row>
    <row r="354" spans="1:7" x14ac:dyDescent="0.2">
      <c r="A354" s="2">
        <v>45617</v>
      </c>
      <c r="B354" t="s">
        <v>1061</v>
      </c>
      <c r="C354" t="s">
        <v>1</v>
      </c>
      <c r="D354" t="s">
        <v>3</v>
      </c>
      <c r="E354">
        <v>1</v>
      </c>
      <c r="F354" t="s">
        <v>4027</v>
      </c>
      <c r="G354">
        <v>84</v>
      </c>
    </row>
    <row r="355" spans="1:7" x14ac:dyDescent="0.2">
      <c r="A355" s="2">
        <v>45617</v>
      </c>
      <c r="B355" t="s">
        <v>1063</v>
      </c>
      <c r="C355" t="s">
        <v>1</v>
      </c>
      <c r="D355" t="s">
        <v>3</v>
      </c>
      <c r="E355">
        <v>1</v>
      </c>
      <c r="F355" t="s">
        <v>4027</v>
      </c>
      <c r="G355">
        <v>60</v>
      </c>
    </row>
    <row r="356" spans="1:7" x14ac:dyDescent="0.2">
      <c r="A356" s="2">
        <v>45617</v>
      </c>
      <c r="B356" t="s">
        <v>1064</v>
      </c>
      <c r="C356" t="s">
        <v>1</v>
      </c>
      <c r="D356" t="s">
        <v>3</v>
      </c>
      <c r="E356">
        <v>1</v>
      </c>
      <c r="F356" t="s">
        <v>4027</v>
      </c>
      <c r="G356">
        <v>84</v>
      </c>
    </row>
    <row r="357" spans="1:7" x14ac:dyDescent="0.2">
      <c r="A357" s="2">
        <v>45617</v>
      </c>
      <c r="B357" t="s">
        <v>1065</v>
      </c>
      <c r="C357" t="s">
        <v>1</v>
      </c>
      <c r="D357" t="s">
        <v>3</v>
      </c>
      <c r="E357">
        <v>1</v>
      </c>
      <c r="F357" t="s">
        <v>4027</v>
      </c>
      <c r="G357">
        <v>60</v>
      </c>
    </row>
    <row r="358" spans="1:7" x14ac:dyDescent="0.2">
      <c r="A358" s="2">
        <v>45617</v>
      </c>
      <c r="B358" t="s">
        <v>1067</v>
      </c>
      <c r="C358" t="s">
        <v>1</v>
      </c>
      <c r="D358" t="s">
        <v>3</v>
      </c>
      <c r="E358">
        <v>1</v>
      </c>
      <c r="F358" t="s">
        <v>4027</v>
      </c>
      <c r="G358">
        <v>78</v>
      </c>
    </row>
    <row r="359" spans="1:7" x14ac:dyDescent="0.2">
      <c r="A359" s="2">
        <v>45617</v>
      </c>
      <c r="B359" t="s">
        <v>1069</v>
      </c>
      <c r="C359" t="s">
        <v>1</v>
      </c>
      <c r="D359" t="s">
        <v>3</v>
      </c>
      <c r="E359">
        <v>1</v>
      </c>
      <c r="F359" t="s">
        <v>4027</v>
      </c>
      <c r="G359">
        <v>67</v>
      </c>
    </row>
    <row r="360" spans="1:7" x14ac:dyDescent="0.2">
      <c r="A360" s="2">
        <v>45617</v>
      </c>
      <c r="B360" t="s">
        <v>1071</v>
      </c>
      <c r="C360" t="s">
        <v>1</v>
      </c>
      <c r="D360" t="s">
        <v>3</v>
      </c>
      <c r="E360">
        <v>1</v>
      </c>
      <c r="F360" t="s">
        <v>4027</v>
      </c>
      <c r="G360">
        <v>65</v>
      </c>
    </row>
    <row r="361" spans="1:7" x14ac:dyDescent="0.2">
      <c r="A361" s="2">
        <v>45617</v>
      </c>
      <c r="B361" t="s">
        <v>1072</v>
      </c>
      <c r="C361" t="s">
        <v>1</v>
      </c>
      <c r="D361" t="s">
        <v>3</v>
      </c>
      <c r="E361">
        <v>1</v>
      </c>
      <c r="F361" t="s">
        <v>4027</v>
      </c>
      <c r="G361">
        <v>64</v>
      </c>
    </row>
    <row r="362" spans="1:7" x14ac:dyDescent="0.2">
      <c r="A362" s="2">
        <v>45617</v>
      </c>
      <c r="B362" t="s">
        <v>1073</v>
      </c>
      <c r="C362" t="s">
        <v>1</v>
      </c>
      <c r="D362" t="s">
        <v>3</v>
      </c>
      <c r="E362">
        <v>1</v>
      </c>
      <c r="F362" t="s">
        <v>4027</v>
      </c>
      <c r="G362">
        <v>79</v>
      </c>
    </row>
    <row r="363" spans="1:7" x14ac:dyDescent="0.2">
      <c r="A363" s="2">
        <v>45617</v>
      </c>
      <c r="B363" t="s">
        <v>1074</v>
      </c>
      <c r="C363" t="s">
        <v>1</v>
      </c>
      <c r="D363" t="s">
        <v>3</v>
      </c>
      <c r="E363">
        <v>1</v>
      </c>
      <c r="F363" t="s">
        <v>4027</v>
      </c>
      <c r="G363">
        <v>80</v>
      </c>
    </row>
    <row r="364" spans="1:7" x14ac:dyDescent="0.2">
      <c r="A364" s="2">
        <v>45618</v>
      </c>
      <c r="B364" t="s">
        <v>1084</v>
      </c>
      <c r="C364" t="s">
        <v>1</v>
      </c>
      <c r="D364" t="s">
        <v>3</v>
      </c>
      <c r="E364">
        <v>1</v>
      </c>
      <c r="F364" t="s">
        <v>4027</v>
      </c>
      <c r="G364">
        <v>73</v>
      </c>
    </row>
    <row r="365" spans="1:7" x14ac:dyDescent="0.2">
      <c r="A365" s="2">
        <v>45618</v>
      </c>
      <c r="B365" t="s">
        <v>1082</v>
      </c>
      <c r="C365" t="s">
        <v>1</v>
      </c>
      <c r="D365" t="s">
        <v>3</v>
      </c>
      <c r="E365">
        <v>1</v>
      </c>
      <c r="F365" t="s">
        <v>4027</v>
      </c>
      <c r="G365">
        <v>63</v>
      </c>
    </row>
    <row r="366" spans="1:7" x14ac:dyDescent="0.2">
      <c r="A366" s="2">
        <v>45618</v>
      </c>
      <c r="B366" t="s">
        <v>1080</v>
      </c>
      <c r="C366" t="s">
        <v>1</v>
      </c>
      <c r="D366" t="s">
        <v>3</v>
      </c>
      <c r="E366">
        <v>1</v>
      </c>
      <c r="F366" t="s">
        <v>4027</v>
      </c>
      <c r="G366">
        <v>74</v>
      </c>
    </row>
    <row r="367" spans="1:7" x14ac:dyDescent="0.2">
      <c r="A367" s="2">
        <v>45618</v>
      </c>
      <c r="B367" t="s">
        <v>1079</v>
      </c>
      <c r="C367" t="s">
        <v>1</v>
      </c>
      <c r="D367" t="s">
        <v>3</v>
      </c>
      <c r="E367">
        <v>1</v>
      </c>
      <c r="F367" t="s">
        <v>4027</v>
      </c>
      <c r="G367">
        <v>78</v>
      </c>
    </row>
    <row r="368" spans="1:7" x14ac:dyDescent="0.2">
      <c r="A368" s="2">
        <v>45618</v>
      </c>
      <c r="B368" t="s">
        <v>1077</v>
      </c>
      <c r="C368" t="s">
        <v>1</v>
      </c>
      <c r="D368" t="s">
        <v>3</v>
      </c>
      <c r="E368">
        <v>1</v>
      </c>
      <c r="F368" t="s">
        <v>4027</v>
      </c>
      <c r="G368">
        <v>76</v>
      </c>
    </row>
    <row r="369" spans="1:7" x14ac:dyDescent="0.2">
      <c r="A369" s="2">
        <v>45619</v>
      </c>
      <c r="B369" t="s">
        <v>1085</v>
      </c>
      <c r="C369" t="s">
        <v>1</v>
      </c>
      <c r="D369" t="s">
        <v>3</v>
      </c>
      <c r="E369">
        <v>1</v>
      </c>
      <c r="F369" t="s">
        <v>4027</v>
      </c>
      <c r="G369">
        <v>68</v>
      </c>
    </row>
    <row r="370" spans="1:7" x14ac:dyDescent="0.2">
      <c r="A370" s="2">
        <v>45621</v>
      </c>
      <c r="B370" t="s">
        <v>1092</v>
      </c>
      <c r="C370" t="s">
        <v>1</v>
      </c>
      <c r="D370" t="s">
        <v>3</v>
      </c>
      <c r="E370">
        <v>1</v>
      </c>
      <c r="F370" t="s">
        <v>4027</v>
      </c>
      <c r="G370">
        <v>67</v>
      </c>
    </row>
    <row r="371" spans="1:7" x14ac:dyDescent="0.2">
      <c r="A371" s="2">
        <v>45621</v>
      </c>
      <c r="B371" t="s">
        <v>1086</v>
      </c>
      <c r="C371" t="s">
        <v>1</v>
      </c>
      <c r="D371" t="s">
        <v>3</v>
      </c>
      <c r="E371">
        <v>1</v>
      </c>
      <c r="F371" t="s">
        <v>4027</v>
      </c>
      <c r="G371">
        <v>61</v>
      </c>
    </row>
    <row r="372" spans="1:7" x14ac:dyDescent="0.2">
      <c r="A372" s="2">
        <v>45621</v>
      </c>
      <c r="B372" t="s">
        <v>1087</v>
      </c>
      <c r="C372" t="s">
        <v>1</v>
      </c>
      <c r="D372" t="s">
        <v>3</v>
      </c>
      <c r="E372">
        <v>1</v>
      </c>
      <c r="F372" t="s">
        <v>4027</v>
      </c>
      <c r="G372">
        <v>82</v>
      </c>
    </row>
    <row r="373" spans="1:7" x14ac:dyDescent="0.2">
      <c r="A373" s="2">
        <v>45621</v>
      </c>
      <c r="B373" t="s">
        <v>1089</v>
      </c>
      <c r="C373" t="s">
        <v>1</v>
      </c>
      <c r="D373" t="s">
        <v>3</v>
      </c>
      <c r="E373">
        <v>1</v>
      </c>
      <c r="F373" t="s">
        <v>4027</v>
      </c>
      <c r="G373">
        <v>79</v>
      </c>
    </row>
    <row r="374" spans="1:7" x14ac:dyDescent="0.2">
      <c r="A374" s="2">
        <v>45621</v>
      </c>
      <c r="B374" t="s">
        <v>1090</v>
      </c>
      <c r="C374" t="s">
        <v>1</v>
      </c>
      <c r="D374" t="s">
        <v>3</v>
      </c>
      <c r="E374">
        <v>1</v>
      </c>
      <c r="F374" t="s">
        <v>4027</v>
      </c>
      <c r="G374">
        <v>79</v>
      </c>
    </row>
    <row r="375" spans="1:7" x14ac:dyDescent="0.2">
      <c r="A375" s="2">
        <v>45621</v>
      </c>
      <c r="B375" t="s">
        <v>738</v>
      </c>
      <c r="C375" t="s">
        <v>2</v>
      </c>
      <c r="D375" t="s">
        <v>4</v>
      </c>
      <c r="E375">
        <v>1</v>
      </c>
      <c r="F375" t="s">
        <v>600</v>
      </c>
      <c r="G375">
        <v>22</v>
      </c>
    </row>
    <row r="376" spans="1:7" x14ac:dyDescent="0.2">
      <c r="A376" s="2">
        <v>45621</v>
      </c>
      <c r="B376" t="s">
        <v>741</v>
      </c>
      <c r="C376" t="s">
        <v>2</v>
      </c>
      <c r="D376" t="s">
        <v>4</v>
      </c>
      <c r="E376">
        <v>1</v>
      </c>
      <c r="F376" t="s">
        <v>600</v>
      </c>
      <c r="G376">
        <v>22</v>
      </c>
    </row>
    <row r="377" spans="1:7" x14ac:dyDescent="0.2">
      <c r="A377" s="2">
        <v>45622</v>
      </c>
      <c r="B377" t="s">
        <v>1104</v>
      </c>
      <c r="C377" t="s">
        <v>1</v>
      </c>
      <c r="D377" t="s">
        <v>3</v>
      </c>
      <c r="E377">
        <v>1</v>
      </c>
      <c r="F377" t="s">
        <v>4027</v>
      </c>
      <c r="G377">
        <v>77</v>
      </c>
    </row>
    <row r="378" spans="1:7" x14ac:dyDescent="0.2">
      <c r="A378" s="2">
        <v>45622</v>
      </c>
      <c r="B378" t="s">
        <v>1095</v>
      </c>
      <c r="C378" t="s">
        <v>1</v>
      </c>
      <c r="D378" t="s">
        <v>3</v>
      </c>
      <c r="E378">
        <v>1</v>
      </c>
      <c r="F378" t="s">
        <v>4027</v>
      </c>
      <c r="G378">
        <v>82</v>
      </c>
    </row>
    <row r="379" spans="1:7" x14ac:dyDescent="0.2">
      <c r="A379" s="2">
        <v>45622</v>
      </c>
      <c r="B379" t="s">
        <v>1093</v>
      </c>
      <c r="C379" t="s">
        <v>1</v>
      </c>
      <c r="D379" t="s">
        <v>3</v>
      </c>
      <c r="E379">
        <v>1</v>
      </c>
      <c r="F379" t="s">
        <v>4027</v>
      </c>
      <c r="G379">
        <v>68</v>
      </c>
    </row>
    <row r="380" spans="1:7" x14ac:dyDescent="0.2">
      <c r="A380" s="2">
        <v>45622</v>
      </c>
      <c r="B380" t="s">
        <v>1096</v>
      </c>
      <c r="C380" t="s">
        <v>1</v>
      </c>
      <c r="D380" t="s">
        <v>3</v>
      </c>
      <c r="E380">
        <v>1</v>
      </c>
      <c r="F380" t="s">
        <v>4027</v>
      </c>
      <c r="G380">
        <v>79</v>
      </c>
    </row>
    <row r="381" spans="1:7" x14ac:dyDescent="0.2">
      <c r="A381" s="2">
        <v>45622</v>
      </c>
      <c r="B381" t="s">
        <v>1099</v>
      </c>
      <c r="C381" t="s">
        <v>1</v>
      </c>
      <c r="D381" t="s">
        <v>3</v>
      </c>
      <c r="E381">
        <v>1</v>
      </c>
      <c r="F381" t="s">
        <v>4027</v>
      </c>
      <c r="G381">
        <v>80</v>
      </c>
    </row>
    <row r="382" spans="1:7" x14ac:dyDescent="0.2">
      <c r="A382" s="2">
        <v>45622</v>
      </c>
      <c r="B382" t="s">
        <v>1103</v>
      </c>
      <c r="C382" t="s">
        <v>1</v>
      </c>
      <c r="D382" t="s">
        <v>3</v>
      </c>
      <c r="E382">
        <v>1</v>
      </c>
      <c r="F382" t="s">
        <v>4027</v>
      </c>
      <c r="G382">
        <v>62</v>
      </c>
    </row>
    <row r="383" spans="1:7" x14ac:dyDescent="0.2">
      <c r="A383" s="2">
        <v>45622</v>
      </c>
      <c r="B383" t="s">
        <v>1105</v>
      </c>
      <c r="C383" t="s">
        <v>1</v>
      </c>
      <c r="D383" t="s">
        <v>3</v>
      </c>
      <c r="E383">
        <v>1</v>
      </c>
      <c r="F383" t="s">
        <v>4027</v>
      </c>
      <c r="G383">
        <v>61</v>
      </c>
    </row>
    <row r="384" spans="1:7" x14ac:dyDescent="0.2">
      <c r="A384" s="2">
        <v>45622</v>
      </c>
      <c r="B384" t="s">
        <v>1106</v>
      </c>
      <c r="C384" t="s">
        <v>1</v>
      </c>
      <c r="D384" t="s">
        <v>3</v>
      </c>
      <c r="E384">
        <v>1</v>
      </c>
      <c r="F384" t="s">
        <v>4027</v>
      </c>
      <c r="G384">
        <v>70</v>
      </c>
    </row>
    <row r="385" spans="1:7" x14ac:dyDescent="0.2">
      <c r="A385" s="2">
        <v>45622</v>
      </c>
      <c r="B385" t="s">
        <v>1107</v>
      </c>
      <c r="C385" t="s">
        <v>1</v>
      </c>
      <c r="D385" t="s">
        <v>3</v>
      </c>
      <c r="E385">
        <v>1</v>
      </c>
      <c r="F385" t="s">
        <v>4027</v>
      </c>
      <c r="G385">
        <v>67</v>
      </c>
    </row>
    <row r="386" spans="1:7" x14ac:dyDescent="0.2">
      <c r="A386" s="2">
        <v>45622</v>
      </c>
      <c r="B386" t="s">
        <v>1098</v>
      </c>
      <c r="C386" t="s">
        <v>1</v>
      </c>
      <c r="D386" t="s">
        <v>3</v>
      </c>
      <c r="E386">
        <v>1</v>
      </c>
      <c r="F386" t="s">
        <v>4027</v>
      </c>
      <c r="G386">
        <v>75</v>
      </c>
    </row>
    <row r="387" spans="1:7" x14ac:dyDescent="0.2">
      <c r="A387" s="2">
        <v>45622</v>
      </c>
      <c r="B387" t="s">
        <v>1102</v>
      </c>
      <c r="C387" t="s">
        <v>1</v>
      </c>
      <c r="D387" t="s">
        <v>3</v>
      </c>
      <c r="E387">
        <v>1</v>
      </c>
      <c r="F387" t="s">
        <v>4027</v>
      </c>
      <c r="G387">
        <v>89</v>
      </c>
    </row>
    <row r="388" spans="1:7" x14ac:dyDescent="0.2">
      <c r="A388" s="2">
        <v>45622</v>
      </c>
      <c r="B388" t="s">
        <v>1100</v>
      </c>
      <c r="C388" t="s">
        <v>1</v>
      </c>
      <c r="D388" t="s">
        <v>3</v>
      </c>
      <c r="E388">
        <v>1</v>
      </c>
      <c r="F388" t="s">
        <v>4027</v>
      </c>
      <c r="G388">
        <v>64</v>
      </c>
    </row>
    <row r="389" spans="1:7" x14ac:dyDescent="0.2">
      <c r="A389" s="2">
        <v>45622</v>
      </c>
      <c r="B389" t="s">
        <v>745</v>
      </c>
      <c r="C389" t="s">
        <v>2</v>
      </c>
      <c r="D389" t="s">
        <v>4</v>
      </c>
      <c r="E389">
        <v>1</v>
      </c>
      <c r="F389" t="s">
        <v>600</v>
      </c>
      <c r="G389">
        <v>22</v>
      </c>
    </row>
    <row r="390" spans="1:7" x14ac:dyDescent="0.2">
      <c r="A390" s="2">
        <v>45622</v>
      </c>
      <c r="B390" t="s">
        <v>755</v>
      </c>
      <c r="C390" t="s">
        <v>2</v>
      </c>
      <c r="D390" t="s">
        <v>4</v>
      </c>
      <c r="E390">
        <v>1</v>
      </c>
      <c r="F390" t="s">
        <v>600</v>
      </c>
      <c r="G390">
        <v>22</v>
      </c>
    </row>
    <row r="391" spans="1:7" x14ac:dyDescent="0.2">
      <c r="A391" s="2">
        <v>45623</v>
      </c>
      <c r="B391" t="s">
        <v>1114</v>
      </c>
      <c r="C391" t="s">
        <v>1</v>
      </c>
      <c r="D391" t="s">
        <v>3</v>
      </c>
      <c r="E391">
        <v>1</v>
      </c>
      <c r="F391" t="s">
        <v>4027</v>
      </c>
      <c r="G391">
        <v>63</v>
      </c>
    </row>
    <row r="392" spans="1:7" x14ac:dyDescent="0.2">
      <c r="A392" s="2">
        <v>45623</v>
      </c>
      <c r="B392" t="s">
        <v>1109</v>
      </c>
      <c r="C392" t="s">
        <v>1</v>
      </c>
      <c r="D392" t="s">
        <v>3</v>
      </c>
      <c r="E392">
        <v>1</v>
      </c>
      <c r="F392" t="s">
        <v>4027</v>
      </c>
      <c r="G392">
        <v>69</v>
      </c>
    </row>
    <row r="393" spans="1:7" x14ac:dyDescent="0.2">
      <c r="A393" s="2">
        <v>45623</v>
      </c>
      <c r="B393" t="s">
        <v>1110</v>
      </c>
      <c r="C393" t="s">
        <v>1</v>
      </c>
      <c r="D393" t="s">
        <v>3</v>
      </c>
      <c r="E393">
        <v>1</v>
      </c>
      <c r="F393" t="s">
        <v>4027</v>
      </c>
      <c r="G393">
        <v>85</v>
      </c>
    </row>
    <row r="394" spans="1:7" x14ac:dyDescent="0.2">
      <c r="A394" s="2">
        <v>45623</v>
      </c>
      <c r="B394" t="s">
        <v>1111</v>
      </c>
      <c r="C394" t="s">
        <v>1</v>
      </c>
      <c r="D394" t="s">
        <v>3</v>
      </c>
      <c r="E394">
        <v>1</v>
      </c>
      <c r="F394" t="s">
        <v>4027</v>
      </c>
      <c r="G394">
        <v>65</v>
      </c>
    </row>
    <row r="395" spans="1:7" x14ac:dyDescent="0.2">
      <c r="A395" s="2">
        <v>45623</v>
      </c>
      <c r="B395" t="s">
        <v>1112</v>
      </c>
      <c r="C395" t="s">
        <v>1</v>
      </c>
      <c r="D395" t="s">
        <v>3</v>
      </c>
      <c r="E395">
        <v>1</v>
      </c>
      <c r="F395" t="s">
        <v>4027</v>
      </c>
      <c r="G395">
        <v>76</v>
      </c>
    </row>
    <row r="396" spans="1:7" x14ac:dyDescent="0.2">
      <c r="A396" s="2">
        <v>45623</v>
      </c>
      <c r="B396" t="s">
        <v>1113</v>
      </c>
      <c r="C396" t="s">
        <v>1</v>
      </c>
      <c r="D396" t="s">
        <v>3</v>
      </c>
      <c r="E396">
        <v>1</v>
      </c>
      <c r="F396" t="s">
        <v>4027</v>
      </c>
      <c r="G396">
        <v>89</v>
      </c>
    </row>
    <row r="397" spans="1:7" x14ac:dyDescent="0.2">
      <c r="A397" s="2">
        <v>45623</v>
      </c>
      <c r="B397" t="s">
        <v>1119</v>
      </c>
      <c r="C397" t="s">
        <v>1</v>
      </c>
      <c r="D397" t="s">
        <v>3</v>
      </c>
      <c r="E397">
        <v>1</v>
      </c>
      <c r="F397" t="s">
        <v>4027</v>
      </c>
      <c r="G397">
        <v>89</v>
      </c>
    </row>
    <row r="398" spans="1:7" x14ac:dyDescent="0.2">
      <c r="A398" s="2">
        <v>45623</v>
      </c>
      <c r="B398" t="s">
        <v>1118</v>
      </c>
      <c r="C398" t="s">
        <v>1</v>
      </c>
      <c r="D398" t="s">
        <v>3</v>
      </c>
      <c r="E398">
        <v>1</v>
      </c>
      <c r="F398" t="s">
        <v>4027</v>
      </c>
      <c r="G398">
        <v>89</v>
      </c>
    </row>
    <row r="399" spans="1:7" x14ac:dyDescent="0.2">
      <c r="A399" s="2">
        <v>45623</v>
      </c>
      <c r="B399" t="s">
        <v>1120</v>
      </c>
      <c r="C399" t="s">
        <v>1</v>
      </c>
      <c r="D399" t="s">
        <v>3</v>
      </c>
      <c r="E399">
        <v>1</v>
      </c>
      <c r="F399" t="s">
        <v>4027</v>
      </c>
      <c r="G399">
        <v>74</v>
      </c>
    </row>
    <row r="400" spans="1:7" x14ac:dyDescent="0.2">
      <c r="A400" s="2">
        <v>45623</v>
      </c>
      <c r="B400" t="s">
        <v>1121</v>
      </c>
      <c r="C400" t="s">
        <v>1</v>
      </c>
      <c r="D400" t="s">
        <v>3</v>
      </c>
      <c r="E400">
        <v>1</v>
      </c>
      <c r="F400" t="s">
        <v>4027</v>
      </c>
      <c r="G400">
        <v>84</v>
      </c>
    </row>
    <row r="401" spans="1:7" x14ac:dyDescent="0.2">
      <c r="A401" s="2">
        <v>45623</v>
      </c>
      <c r="B401" t="s">
        <v>1122</v>
      </c>
      <c r="C401" t="s">
        <v>1</v>
      </c>
      <c r="D401" t="s">
        <v>3</v>
      </c>
      <c r="E401">
        <v>1</v>
      </c>
      <c r="F401" t="s">
        <v>4027</v>
      </c>
      <c r="G401">
        <v>75</v>
      </c>
    </row>
    <row r="402" spans="1:7" x14ac:dyDescent="0.2">
      <c r="A402" s="2">
        <v>45623</v>
      </c>
      <c r="B402" t="s">
        <v>1123</v>
      </c>
      <c r="C402" t="s">
        <v>1</v>
      </c>
      <c r="D402" t="s">
        <v>3</v>
      </c>
      <c r="E402">
        <v>1</v>
      </c>
      <c r="F402" t="s">
        <v>4027</v>
      </c>
      <c r="G402">
        <v>89</v>
      </c>
    </row>
    <row r="403" spans="1:7" x14ac:dyDescent="0.2">
      <c r="A403" s="2">
        <v>45623</v>
      </c>
      <c r="B403" t="s">
        <v>1124</v>
      </c>
      <c r="C403" t="s">
        <v>1</v>
      </c>
      <c r="D403" t="s">
        <v>3</v>
      </c>
      <c r="E403">
        <v>1</v>
      </c>
      <c r="F403" t="s">
        <v>4027</v>
      </c>
      <c r="G403">
        <v>60</v>
      </c>
    </row>
    <row r="404" spans="1:7" x14ac:dyDescent="0.2">
      <c r="A404" s="2">
        <v>45623</v>
      </c>
      <c r="B404" t="s">
        <v>1126</v>
      </c>
      <c r="C404" t="s">
        <v>1</v>
      </c>
      <c r="D404" t="s">
        <v>3</v>
      </c>
      <c r="E404">
        <v>1</v>
      </c>
      <c r="F404" t="s">
        <v>4027</v>
      </c>
      <c r="G404">
        <v>63</v>
      </c>
    </row>
    <row r="405" spans="1:7" x14ac:dyDescent="0.2">
      <c r="A405" s="2">
        <v>45623</v>
      </c>
      <c r="B405" t="s">
        <v>1116</v>
      </c>
      <c r="C405" t="s">
        <v>1</v>
      </c>
      <c r="D405" t="s">
        <v>3</v>
      </c>
      <c r="E405">
        <v>1</v>
      </c>
      <c r="F405" t="s">
        <v>4027</v>
      </c>
      <c r="G405">
        <v>81</v>
      </c>
    </row>
    <row r="406" spans="1:7" x14ac:dyDescent="0.2">
      <c r="A406" s="2">
        <v>45624</v>
      </c>
      <c r="B406" t="s">
        <v>1129</v>
      </c>
      <c r="C406" t="s">
        <v>1</v>
      </c>
      <c r="D406" t="s">
        <v>3</v>
      </c>
      <c r="E406">
        <v>1</v>
      </c>
      <c r="F406" t="s">
        <v>4027</v>
      </c>
      <c r="G406">
        <v>87</v>
      </c>
    </row>
    <row r="407" spans="1:7" x14ac:dyDescent="0.2">
      <c r="A407" s="2">
        <v>45624</v>
      </c>
      <c r="B407" t="s">
        <v>1131</v>
      </c>
      <c r="C407" t="s">
        <v>1</v>
      </c>
      <c r="D407" t="s">
        <v>3</v>
      </c>
      <c r="E407">
        <v>1</v>
      </c>
      <c r="F407" t="s">
        <v>4027</v>
      </c>
      <c r="G407">
        <v>80</v>
      </c>
    </row>
    <row r="408" spans="1:7" x14ac:dyDescent="0.2">
      <c r="A408" s="2">
        <v>45624</v>
      </c>
      <c r="B408" t="s">
        <v>1128</v>
      </c>
      <c r="C408" t="s">
        <v>1</v>
      </c>
      <c r="D408" t="s">
        <v>3</v>
      </c>
      <c r="E408">
        <v>1</v>
      </c>
      <c r="F408" t="s">
        <v>4027</v>
      </c>
      <c r="G408">
        <v>64</v>
      </c>
    </row>
    <row r="409" spans="1:7" x14ac:dyDescent="0.2">
      <c r="A409" s="2">
        <v>45625</v>
      </c>
      <c r="B409" t="s">
        <v>764</v>
      </c>
      <c r="C409" t="s">
        <v>2</v>
      </c>
      <c r="D409" t="s">
        <v>4</v>
      </c>
      <c r="E409">
        <v>1</v>
      </c>
      <c r="F409" t="s">
        <v>600</v>
      </c>
      <c r="G409">
        <v>22</v>
      </c>
    </row>
    <row r="410" spans="1:7" x14ac:dyDescent="0.2">
      <c r="A410" s="2">
        <v>45625</v>
      </c>
      <c r="B410" t="s">
        <v>1132</v>
      </c>
      <c r="C410" t="s">
        <v>1</v>
      </c>
      <c r="D410" t="s">
        <v>3</v>
      </c>
      <c r="E410">
        <v>1</v>
      </c>
      <c r="F410" t="s">
        <v>4027</v>
      </c>
      <c r="G410">
        <v>81</v>
      </c>
    </row>
    <row r="411" spans="1:7" x14ac:dyDescent="0.2">
      <c r="A411" s="2">
        <v>45625</v>
      </c>
      <c r="B411" t="s">
        <v>1133</v>
      </c>
      <c r="C411" t="s">
        <v>1</v>
      </c>
      <c r="D411" t="s">
        <v>3</v>
      </c>
      <c r="E411">
        <v>1</v>
      </c>
      <c r="F411" t="s">
        <v>4027</v>
      </c>
      <c r="G411">
        <v>64</v>
      </c>
    </row>
    <row r="412" spans="1:7" x14ac:dyDescent="0.2">
      <c r="A412" s="2">
        <v>45625</v>
      </c>
      <c r="B412" t="s">
        <v>1134</v>
      </c>
      <c r="C412" t="s">
        <v>1</v>
      </c>
      <c r="D412" t="s">
        <v>3</v>
      </c>
      <c r="E412">
        <v>1</v>
      </c>
      <c r="F412" t="s">
        <v>4027</v>
      </c>
      <c r="G412">
        <v>71</v>
      </c>
    </row>
    <row r="413" spans="1:7" x14ac:dyDescent="0.2">
      <c r="A413" s="2">
        <v>45625</v>
      </c>
      <c r="B413" t="s">
        <v>1136</v>
      </c>
      <c r="C413" t="s">
        <v>1</v>
      </c>
      <c r="D413" t="s">
        <v>3</v>
      </c>
      <c r="E413">
        <v>1</v>
      </c>
      <c r="F413" t="s">
        <v>4027</v>
      </c>
      <c r="G413">
        <v>64</v>
      </c>
    </row>
    <row r="414" spans="1:7" x14ac:dyDescent="0.2">
      <c r="A414" s="2">
        <v>45625</v>
      </c>
      <c r="B414" t="s">
        <v>1137</v>
      </c>
      <c r="C414" t="s">
        <v>1</v>
      </c>
      <c r="D414" t="s">
        <v>3</v>
      </c>
      <c r="E414">
        <v>1</v>
      </c>
      <c r="F414" t="s">
        <v>4027</v>
      </c>
      <c r="G414">
        <v>65</v>
      </c>
    </row>
    <row r="415" spans="1:7" x14ac:dyDescent="0.2">
      <c r="A415" s="2">
        <v>45625</v>
      </c>
      <c r="B415" t="s">
        <v>1138</v>
      </c>
      <c r="C415" t="s">
        <v>1</v>
      </c>
      <c r="D415" t="s">
        <v>3</v>
      </c>
      <c r="E415">
        <v>1</v>
      </c>
      <c r="F415" t="s">
        <v>4027</v>
      </c>
      <c r="G415">
        <v>64</v>
      </c>
    </row>
    <row r="416" spans="1:7" x14ac:dyDescent="0.2">
      <c r="A416" s="2">
        <v>45625</v>
      </c>
      <c r="B416" t="s">
        <v>1140</v>
      </c>
      <c r="C416" t="s">
        <v>1</v>
      </c>
      <c r="D416" t="s">
        <v>3</v>
      </c>
      <c r="E416">
        <v>1</v>
      </c>
      <c r="F416" t="s">
        <v>4027</v>
      </c>
      <c r="G416">
        <v>70</v>
      </c>
    </row>
    <row r="417" spans="1:7" x14ac:dyDescent="0.2">
      <c r="A417" s="2">
        <v>45625</v>
      </c>
      <c r="B417" t="s">
        <v>759</v>
      </c>
      <c r="C417" t="s">
        <v>2</v>
      </c>
      <c r="D417" t="s">
        <v>4</v>
      </c>
      <c r="E417">
        <v>1</v>
      </c>
      <c r="F417" t="s">
        <v>600</v>
      </c>
      <c r="G417">
        <v>22</v>
      </c>
    </row>
    <row r="418" spans="1:7" x14ac:dyDescent="0.2">
      <c r="A418" s="2">
        <v>45626</v>
      </c>
      <c r="B418" t="s">
        <v>1141</v>
      </c>
      <c r="C418" t="s">
        <v>1</v>
      </c>
      <c r="D418" t="s">
        <v>3</v>
      </c>
      <c r="E418">
        <v>1</v>
      </c>
      <c r="F418" t="s">
        <v>4027</v>
      </c>
      <c r="G418">
        <v>80</v>
      </c>
    </row>
    <row r="419" spans="1:7" x14ac:dyDescent="0.2">
      <c r="A419" s="2">
        <v>45626</v>
      </c>
      <c r="B419" t="s">
        <v>1142</v>
      </c>
      <c r="C419" t="s">
        <v>1</v>
      </c>
      <c r="D419" t="s">
        <v>3</v>
      </c>
      <c r="E419">
        <v>1</v>
      </c>
      <c r="F419" t="s">
        <v>4027</v>
      </c>
      <c r="G419">
        <v>68</v>
      </c>
    </row>
    <row r="420" spans="1:7" x14ac:dyDescent="0.2">
      <c r="A420" s="2">
        <v>45626</v>
      </c>
      <c r="B420" t="s">
        <v>1143</v>
      </c>
      <c r="C420" t="s">
        <v>1</v>
      </c>
      <c r="D420" t="s">
        <v>3</v>
      </c>
      <c r="E420">
        <v>1</v>
      </c>
      <c r="F420" t="s">
        <v>4027</v>
      </c>
      <c r="G420">
        <v>84</v>
      </c>
    </row>
    <row r="421" spans="1:7" x14ac:dyDescent="0.2">
      <c r="A421" s="2">
        <v>45626</v>
      </c>
      <c r="B421" t="s">
        <v>1144</v>
      </c>
      <c r="C421" t="s">
        <v>1</v>
      </c>
      <c r="D421" t="s">
        <v>3</v>
      </c>
      <c r="E421">
        <v>1</v>
      </c>
      <c r="F421" t="s">
        <v>4027</v>
      </c>
      <c r="G421">
        <v>61</v>
      </c>
    </row>
    <row r="422" spans="1:7" x14ac:dyDescent="0.2">
      <c r="A422" s="2">
        <v>45626</v>
      </c>
      <c r="B422" t="s">
        <v>1145</v>
      </c>
      <c r="C422" t="s">
        <v>1</v>
      </c>
      <c r="D422" t="s">
        <v>3</v>
      </c>
      <c r="E422">
        <v>1</v>
      </c>
      <c r="F422" t="s">
        <v>4027</v>
      </c>
      <c r="G422">
        <v>80</v>
      </c>
    </row>
    <row r="423" spans="1:7" x14ac:dyDescent="0.2">
      <c r="A423" s="2">
        <v>45626</v>
      </c>
      <c r="B423" t="s">
        <v>1146</v>
      </c>
      <c r="C423" t="s">
        <v>1</v>
      </c>
      <c r="D423" t="s">
        <v>3</v>
      </c>
      <c r="E423">
        <v>1</v>
      </c>
      <c r="F423" t="s">
        <v>4027</v>
      </c>
      <c r="G423">
        <v>83</v>
      </c>
    </row>
    <row r="424" spans="1:7" x14ac:dyDescent="0.2">
      <c r="A424" s="2">
        <v>45628</v>
      </c>
      <c r="B424" t="s">
        <v>1147</v>
      </c>
      <c r="C424" t="s">
        <v>1</v>
      </c>
      <c r="D424" t="s">
        <v>3</v>
      </c>
      <c r="E424">
        <v>1</v>
      </c>
      <c r="F424" t="s">
        <v>4027</v>
      </c>
      <c r="G424">
        <v>79</v>
      </c>
    </row>
    <row r="425" spans="1:7" x14ac:dyDescent="0.2">
      <c r="A425" s="2">
        <v>45628</v>
      </c>
      <c r="B425" t="s">
        <v>1167</v>
      </c>
      <c r="C425" t="s">
        <v>1</v>
      </c>
      <c r="D425" t="s">
        <v>3</v>
      </c>
      <c r="E425">
        <v>1</v>
      </c>
      <c r="F425" t="s">
        <v>4027</v>
      </c>
      <c r="G425">
        <v>67</v>
      </c>
    </row>
    <row r="426" spans="1:7" x14ac:dyDescent="0.2">
      <c r="A426" s="2">
        <v>45628</v>
      </c>
      <c r="B426" t="s">
        <v>1148</v>
      </c>
      <c r="C426" t="s">
        <v>1</v>
      </c>
      <c r="D426" t="s">
        <v>3</v>
      </c>
      <c r="E426">
        <v>1</v>
      </c>
      <c r="F426" t="s">
        <v>4027</v>
      </c>
      <c r="G426">
        <v>65</v>
      </c>
    </row>
    <row r="427" spans="1:7" x14ac:dyDescent="0.2">
      <c r="A427" s="2">
        <v>45628</v>
      </c>
      <c r="B427" t="s">
        <v>1150</v>
      </c>
      <c r="C427" t="s">
        <v>1</v>
      </c>
      <c r="D427" t="s">
        <v>3</v>
      </c>
      <c r="E427">
        <v>1</v>
      </c>
      <c r="F427" t="s">
        <v>4027</v>
      </c>
      <c r="G427">
        <v>65</v>
      </c>
    </row>
    <row r="428" spans="1:7" x14ac:dyDescent="0.2">
      <c r="A428" s="2">
        <v>45628</v>
      </c>
      <c r="B428" t="s">
        <v>1151</v>
      </c>
      <c r="C428" t="s">
        <v>1</v>
      </c>
      <c r="D428" t="s">
        <v>3</v>
      </c>
      <c r="E428">
        <v>1</v>
      </c>
      <c r="F428" t="s">
        <v>4027</v>
      </c>
      <c r="G428">
        <v>73</v>
      </c>
    </row>
    <row r="429" spans="1:7" x14ac:dyDescent="0.2">
      <c r="A429" s="2">
        <v>45628</v>
      </c>
      <c r="B429" t="s">
        <v>1152</v>
      </c>
      <c r="C429" t="s">
        <v>1</v>
      </c>
      <c r="D429" t="s">
        <v>3</v>
      </c>
      <c r="E429">
        <v>1</v>
      </c>
      <c r="F429" t="s">
        <v>4027</v>
      </c>
      <c r="G429">
        <v>72</v>
      </c>
    </row>
    <row r="430" spans="1:7" x14ac:dyDescent="0.2">
      <c r="A430" s="2">
        <v>45628</v>
      </c>
      <c r="B430" t="s">
        <v>1153</v>
      </c>
      <c r="C430" t="s">
        <v>1</v>
      </c>
      <c r="D430" t="s">
        <v>3</v>
      </c>
      <c r="E430">
        <v>1</v>
      </c>
      <c r="F430" t="s">
        <v>4027</v>
      </c>
      <c r="G430">
        <v>82</v>
      </c>
    </row>
    <row r="431" spans="1:7" x14ac:dyDescent="0.2">
      <c r="A431" s="2">
        <v>45628</v>
      </c>
      <c r="B431" t="s">
        <v>1154</v>
      </c>
      <c r="C431" t="s">
        <v>1</v>
      </c>
      <c r="D431" t="s">
        <v>3</v>
      </c>
      <c r="E431">
        <v>1</v>
      </c>
      <c r="F431" t="s">
        <v>4027</v>
      </c>
      <c r="G431">
        <v>80</v>
      </c>
    </row>
    <row r="432" spans="1:7" x14ac:dyDescent="0.2">
      <c r="A432" s="2">
        <v>45628</v>
      </c>
      <c r="B432" t="s">
        <v>1156</v>
      </c>
      <c r="C432" t="s">
        <v>1</v>
      </c>
      <c r="D432" t="s">
        <v>3</v>
      </c>
      <c r="E432">
        <v>1</v>
      </c>
      <c r="F432" t="s">
        <v>4027</v>
      </c>
      <c r="G432">
        <v>74</v>
      </c>
    </row>
    <row r="433" spans="1:7" x14ac:dyDescent="0.2">
      <c r="A433" s="2">
        <v>45628</v>
      </c>
      <c r="B433" t="s">
        <v>1157</v>
      </c>
      <c r="C433" t="s">
        <v>1</v>
      </c>
      <c r="D433" t="s">
        <v>3</v>
      </c>
      <c r="E433">
        <v>1</v>
      </c>
      <c r="F433" t="s">
        <v>4027</v>
      </c>
      <c r="G433">
        <v>79</v>
      </c>
    </row>
    <row r="434" spans="1:7" x14ac:dyDescent="0.2">
      <c r="A434" s="2">
        <v>45628</v>
      </c>
      <c r="B434" t="s">
        <v>1159</v>
      </c>
      <c r="C434" t="s">
        <v>1</v>
      </c>
      <c r="D434" t="s">
        <v>3</v>
      </c>
      <c r="E434">
        <v>1</v>
      </c>
      <c r="F434" t="s">
        <v>4027</v>
      </c>
      <c r="G434">
        <v>78</v>
      </c>
    </row>
    <row r="435" spans="1:7" x14ac:dyDescent="0.2">
      <c r="A435" s="2">
        <v>45628</v>
      </c>
      <c r="B435" t="s">
        <v>1160</v>
      </c>
      <c r="C435" t="s">
        <v>1</v>
      </c>
      <c r="D435" t="s">
        <v>3</v>
      </c>
      <c r="E435">
        <v>1</v>
      </c>
      <c r="F435" t="s">
        <v>4027</v>
      </c>
      <c r="G435">
        <v>83</v>
      </c>
    </row>
    <row r="436" spans="1:7" x14ac:dyDescent="0.2">
      <c r="A436" s="2">
        <v>45628</v>
      </c>
      <c r="B436" t="s">
        <v>1161</v>
      </c>
      <c r="C436" t="s">
        <v>1</v>
      </c>
      <c r="D436" t="s">
        <v>3</v>
      </c>
      <c r="E436">
        <v>1</v>
      </c>
      <c r="F436" t="s">
        <v>4027</v>
      </c>
      <c r="G436">
        <v>64</v>
      </c>
    </row>
    <row r="437" spans="1:7" x14ac:dyDescent="0.2">
      <c r="A437" s="2">
        <v>45628</v>
      </c>
      <c r="B437" t="s">
        <v>1162</v>
      </c>
      <c r="C437" t="s">
        <v>1</v>
      </c>
      <c r="D437" t="s">
        <v>3</v>
      </c>
      <c r="E437">
        <v>1</v>
      </c>
      <c r="F437" t="s">
        <v>4027</v>
      </c>
      <c r="G437">
        <v>70</v>
      </c>
    </row>
    <row r="438" spans="1:7" x14ac:dyDescent="0.2">
      <c r="A438" s="2">
        <v>45628</v>
      </c>
      <c r="B438" t="s">
        <v>1163</v>
      </c>
      <c r="C438" t="s">
        <v>1</v>
      </c>
      <c r="D438" t="s">
        <v>3</v>
      </c>
      <c r="E438">
        <v>1</v>
      </c>
      <c r="F438" t="s">
        <v>4027</v>
      </c>
      <c r="G438">
        <v>74</v>
      </c>
    </row>
    <row r="439" spans="1:7" x14ac:dyDescent="0.2">
      <c r="A439" s="2">
        <v>45628</v>
      </c>
      <c r="B439" t="s">
        <v>1164</v>
      </c>
      <c r="C439" t="s">
        <v>1</v>
      </c>
      <c r="D439" t="s">
        <v>3</v>
      </c>
      <c r="E439">
        <v>1</v>
      </c>
      <c r="F439" t="s">
        <v>4027</v>
      </c>
      <c r="G439">
        <v>68</v>
      </c>
    </row>
    <row r="440" spans="1:7" x14ac:dyDescent="0.2">
      <c r="A440" s="2">
        <v>45628</v>
      </c>
      <c r="B440" t="s">
        <v>1165</v>
      </c>
      <c r="C440" t="s">
        <v>1</v>
      </c>
      <c r="D440" t="s">
        <v>3</v>
      </c>
      <c r="E440">
        <v>1</v>
      </c>
      <c r="F440" t="s">
        <v>4027</v>
      </c>
      <c r="G440">
        <v>80</v>
      </c>
    </row>
    <row r="441" spans="1:7" x14ac:dyDescent="0.2">
      <c r="A441" s="2">
        <v>45628</v>
      </c>
      <c r="B441" t="s">
        <v>1149</v>
      </c>
      <c r="C441" t="s">
        <v>1</v>
      </c>
      <c r="D441" t="s">
        <v>3</v>
      </c>
      <c r="E441">
        <v>1</v>
      </c>
      <c r="F441" t="s">
        <v>4027</v>
      </c>
      <c r="G441">
        <v>87</v>
      </c>
    </row>
    <row r="442" spans="1:7" x14ac:dyDescent="0.2">
      <c r="A442" s="2">
        <v>45628</v>
      </c>
      <c r="B442" t="s">
        <v>1166</v>
      </c>
      <c r="C442" t="s">
        <v>1</v>
      </c>
      <c r="D442" t="s">
        <v>3</v>
      </c>
      <c r="E442">
        <v>1</v>
      </c>
      <c r="F442" t="s">
        <v>4027</v>
      </c>
      <c r="G442">
        <v>82</v>
      </c>
    </row>
    <row r="443" spans="1:7" x14ac:dyDescent="0.2">
      <c r="A443" s="2">
        <v>45629</v>
      </c>
      <c r="B443" t="s">
        <v>1176</v>
      </c>
      <c r="C443" t="s">
        <v>1</v>
      </c>
      <c r="D443" t="s">
        <v>3</v>
      </c>
      <c r="E443">
        <v>1</v>
      </c>
      <c r="F443" t="s">
        <v>4027</v>
      </c>
      <c r="G443">
        <v>75</v>
      </c>
    </row>
    <row r="444" spans="1:7" x14ac:dyDescent="0.2">
      <c r="A444" s="2">
        <v>45629</v>
      </c>
      <c r="B444" t="s">
        <v>1168</v>
      </c>
      <c r="C444" t="s">
        <v>1</v>
      </c>
      <c r="D444" t="s">
        <v>3</v>
      </c>
      <c r="E444">
        <v>1</v>
      </c>
      <c r="F444" t="s">
        <v>4027</v>
      </c>
      <c r="G444">
        <v>77</v>
      </c>
    </row>
    <row r="445" spans="1:7" x14ac:dyDescent="0.2">
      <c r="A445" s="2">
        <v>45629</v>
      </c>
      <c r="B445" t="s">
        <v>1170</v>
      </c>
      <c r="C445" t="s">
        <v>1</v>
      </c>
      <c r="D445" t="s">
        <v>3</v>
      </c>
      <c r="E445">
        <v>1</v>
      </c>
      <c r="F445" t="s">
        <v>4027</v>
      </c>
      <c r="G445">
        <v>69</v>
      </c>
    </row>
    <row r="446" spans="1:7" x14ac:dyDescent="0.2">
      <c r="A446" s="2">
        <v>45629</v>
      </c>
      <c r="B446" t="s">
        <v>1172</v>
      </c>
      <c r="C446" t="s">
        <v>1</v>
      </c>
      <c r="D446" t="s">
        <v>3</v>
      </c>
      <c r="E446">
        <v>1</v>
      </c>
      <c r="F446" t="s">
        <v>4027</v>
      </c>
      <c r="G446">
        <v>75</v>
      </c>
    </row>
    <row r="447" spans="1:7" x14ac:dyDescent="0.2">
      <c r="A447" s="2">
        <v>45629</v>
      </c>
      <c r="B447" t="s">
        <v>1173</v>
      </c>
      <c r="C447" t="s">
        <v>1</v>
      </c>
      <c r="D447" t="s">
        <v>3</v>
      </c>
      <c r="E447">
        <v>1</v>
      </c>
      <c r="F447" t="s">
        <v>4027</v>
      </c>
      <c r="G447">
        <v>69</v>
      </c>
    </row>
    <row r="448" spans="1:7" x14ac:dyDescent="0.2">
      <c r="A448" s="2">
        <v>45629</v>
      </c>
      <c r="B448" t="s">
        <v>1175</v>
      </c>
      <c r="C448" t="s">
        <v>1</v>
      </c>
      <c r="D448" t="s">
        <v>3</v>
      </c>
      <c r="E448">
        <v>1</v>
      </c>
      <c r="F448" t="s">
        <v>4027</v>
      </c>
      <c r="G448">
        <v>60</v>
      </c>
    </row>
    <row r="449" spans="1:7" x14ac:dyDescent="0.2">
      <c r="A449" s="2">
        <v>45629</v>
      </c>
      <c r="B449" t="s">
        <v>1177</v>
      </c>
      <c r="C449" t="s">
        <v>1</v>
      </c>
      <c r="D449" t="s">
        <v>3</v>
      </c>
      <c r="E449">
        <v>1</v>
      </c>
      <c r="F449" t="s">
        <v>4027</v>
      </c>
      <c r="G449">
        <v>84</v>
      </c>
    </row>
    <row r="450" spans="1:7" x14ac:dyDescent="0.2">
      <c r="A450" s="2">
        <v>45629</v>
      </c>
      <c r="B450" t="s">
        <v>1178</v>
      </c>
      <c r="C450" t="s">
        <v>1</v>
      </c>
      <c r="D450" t="s">
        <v>3</v>
      </c>
      <c r="E450">
        <v>1</v>
      </c>
      <c r="F450" t="s">
        <v>4027</v>
      </c>
      <c r="G450">
        <v>84</v>
      </c>
    </row>
    <row r="451" spans="1:7" x14ac:dyDescent="0.2">
      <c r="A451" s="2">
        <v>45629</v>
      </c>
      <c r="B451" t="s">
        <v>1180</v>
      </c>
      <c r="C451" t="s">
        <v>1</v>
      </c>
      <c r="D451" t="s">
        <v>3</v>
      </c>
      <c r="E451">
        <v>1</v>
      </c>
      <c r="F451" t="s">
        <v>4027</v>
      </c>
      <c r="G451">
        <v>79</v>
      </c>
    </row>
    <row r="452" spans="1:7" x14ac:dyDescent="0.2">
      <c r="A452" s="2">
        <v>45630</v>
      </c>
      <c r="B452" t="s">
        <v>1195</v>
      </c>
      <c r="C452" t="s">
        <v>1</v>
      </c>
      <c r="D452" t="s">
        <v>3</v>
      </c>
      <c r="E452">
        <v>1</v>
      </c>
      <c r="F452" t="s">
        <v>4027</v>
      </c>
      <c r="G452">
        <v>74</v>
      </c>
    </row>
    <row r="453" spans="1:7" x14ac:dyDescent="0.2">
      <c r="A453" s="2">
        <v>45630</v>
      </c>
      <c r="B453" t="s">
        <v>775</v>
      </c>
      <c r="C453" t="s">
        <v>2</v>
      </c>
      <c r="D453" t="s">
        <v>4</v>
      </c>
      <c r="E453">
        <v>1</v>
      </c>
      <c r="F453" t="s">
        <v>600</v>
      </c>
      <c r="G453">
        <v>22</v>
      </c>
    </row>
    <row r="454" spans="1:7" x14ac:dyDescent="0.2">
      <c r="A454" s="2">
        <v>45630</v>
      </c>
      <c r="B454" t="s">
        <v>777</v>
      </c>
      <c r="C454" t="s">
        <v>2</v>
      </c>
      <c r="D454" t="s">
        <v>4</v>
      </c>
      <c r="E454">
        <v>1</v>
      </c>
      <c r="F454" t="s">
        <v>600</v>
      </c>
      <c r="G454">
        <v>22</v>
      </c>
    </row>
    <row r="455" spans="1:7" x14ac:dyDescent="0.2">
      <c r="A455" s="2">
        <v>45630</v>
      </c>
      <c r="B455" t="s">
        <v>783</v>
      </c>
      <c r="C455" t="s">
        <v>2</v>
      </c>
      <c r="D455" t="s">
        <v>4</v>
      </c>
      <c r="E455">
        <v>1</v>
      </c>
      <c r="F455" t="s">
        <v>600</v>
      </c>
      <c r="G455">
        <v>22</v>
      </c>
    </row>
    <row r="456" spans="1:7" x14ac:dyDescent="0.2">
      <c r="A456" s="2">
        <v>45630</v>
      </c>
      <c r="B456" t="s">
        <v>780</v>
      </c>
      <c r="C456" t="s">
        <v>2</v>
      </c>
      <c r="D456" t="s">
        <v>4</v>
      </c>
      <c r="E456">
        <v>1</v>
      </c>
      <c r="F456" t="s">
        <v>600</v>
      </c>
      <c r="G456">
        <v>22</v>
      </c>
    </row>
    <row r="457" spans="1:7" x14ac:dyDescent="0.2">
      <c r="A457" s="2">
        <v>45630</v>
      </c>
      <c r="B457" t="s">
        <v>1194</v>
      </c>
      <c r="C457" t="s">
        <v>1</v>
      </c>
      <c r="D457" t="s">
        <v>3</v>
      </c>
      <c r="E457">
        <v>1</v>
      </c>
      <c r="F457" t="s">
        <v>4027</v>
      </c>
      <c r="G457">
        <v>86</v>
      </c>
    </row>
    <row r="458" spans="1:7" x14ac:dyDescent="0.2">
      <c r="A458" s="2">
        <v>45630</v>
      </c>
      <c r="B458" t="s">
        <v>1193</v>
      </c>
      <c r="C458" t="s">
        <v>1</v>
      </c>
      <c r="D458" t="s">
        <v>3</v>
      </c>
      <c r="E458">
        <v>1</v>
      </c>
      <c r="F458" t="s">
        <v>4027</v>
      </c>
      <c r="G458">
        <v>79</v>
      </c>
    </row>
    <row r="459" spans="1:7" x14ac:dyDescent="0.2">
      <c r="A459" s="2">
        <v>45630</v>
      </c>
      <c r="B459" t="s">
        <v>1191</v>
      </c>
      <c r="C459" t="s">
        <v>1</v>
      </c>
      <c r="D459" t="s">
        <v>3</v>
      </c>
      <c r="E459">
        <v>1</v>
      </c>
      <c r="F459" t="s">
        <v>4027</v>
      </c>
      <c r="G459">
        <v>86</v>
      </c>
    </row>
    <row r="460" spans="1:7" x14ac:dyDescent="0.2">
      <c r="A460" s="2">
        <v>45630</v>
      </c>
      <c r="B460" t="s">
        <v>1186</v>
      </c>
      <c r="C460" t="s">
        <v>1</v>
      </c>
      <c r="D460" t="s">
        <v>3</v>
      </c>
      <c r="E460">
        <v>1</v>
      </c>
      <c r="F460" t="s">
        <v>4027</v>
      </c>
      <c r="G460">
        <v>70</v>
      </c>
    </row>
    <row r="461" spans="1:7" x14ac:dyDescent="0.2">
      <c r="A461" s="2">
        <v>45630</v>
      </c>
      <c r="B461" t="s">
        <v>1189</v>
      </c>
      <c r="C461" t="s">
        <v>1</v>
      </c>
      <c r="D461" t="s">
        <v>3</v>
      </c>
      <c r="E461">
        <v>1</v>
      </c>
      <c r="F461" t="s">
        <v>4027</v>
      </c>
      <c r="G461">
        <v>70</v>
      </c>
    </row>
    <row r="462" spans="1:7" x14ac:dyDescent="0.2">
      <c r="A462" s="2">
        <v>45630</v>
      </c>
      <c r="B462" t="s">
        <v>1188</v>
      </c>
      <c r="C462" t="s">
        <v>1</v>
      </c>
      <c r="D462" t="s">
        <v>3</v>
      </c>
      <c r="E462">
        <v>1</v>
      </c>
      <c r="F462" t="s">
        <v>4027</v>
      </c>
      <c r="G462">
        <v>62</v>
      </c>
    </row>
    <row r="463" spans="1:7" x14ac:dyDescent="0.2">
      <c r="A463" s="2">
        <v>45630</v>
      </c>
      <c r="B463" t="s">
        <v>770</v>
      </c>
      <c r="C463" t="s">
        <v>2</v>
      </c>
      <c r="D463" t="s">
        <v>4</v>
      </c>
      <c r="E463">
        <v>1</v>
      </c>
      <c r="F463" t="s">
        <v>600</v>
      </c>
      <c r="G463">
        <v>22</v>
      </c>
    </row>
    <row r="464" spans="1:7" x14ac:dyDescent="0.2">
      <c r="A464" s="2">
        <v>45630</v>
      </c>
      <c r="B464" t="s">
        <v>1185</v>
      </c>
      <c r="C464" t="s">
        <v>1</v>
      </c>
      <c r="D464" t="s">
        <v>3</v>
      </c>
      <c r="E464">
        <v>1</v>
      </c>
      <c r="F464" t="s">
        <v>4027</v>
      </c>
      <c r="G464">
        <v>69</v>
      </c>
    </row>
    <row r="465" spans="1:7" x14ac:dyDescent="0.2">
      <c r="A465" s="2">
        <v>45630</v>
      </c>
      <c r="B465" t="s">
        <v>1183</v>
      </c>
      <c r="C465" t="s">
        <v>1</v>
      </c>
      <c r="D465" t="s">
        <v>3</v>
      </c>
      <c r="E465">
        <v>1</v>
      </c>
      <c r="F465" t="s">
        <v>4027</v>
      </c>
      <c r="G465">
        <v>71</v>
      </c>
    </row>
    <row r="466" spans="1:7" x14ac:dyDescent="0.2">
      <c r="A466" s="2">
        <v>45630</v>
      </c>
      <c r="B466" t="s">
        <v>1182</v>
      </c>
      <c r="C466" t="s">
        <v>1</v>
      </c>
      <c r="D466" t="s">
        <v>3</v>
      </c>
      <c r="E466">
        <v>1</v>
      </c>
      <c r="F466" t="s">
        <v>4027</v>
      </c>
      <c r="G466">
        <v>62</v>
      </c>
    </row>
    <row r="467" spans="1:7" x14ac:dyDescent="0.2">
      <c r="A467" s="2">
        <v>45630</v>
      </c>
      <c r="B467" t="s">
        <v>1190</v>
      </c>
      <c r="C467" t="s">
        <v>1</v>
      </c>
      <c r="D467" t="s">
        <v>3</v>
      </c>
      <c r="E467">
        <v>1</v>
      </c>
      <c r="F467" t="s">
        <v>4027</v>
      </c>
      <c r="G467">
        <v>61</v>
      </c>
    </row>
    <row r="468" spans="1:7" x14ac:dyDescent="0.2">
      <c r="A468" s="2">
        <v>45630</v>
      </c>
      <c r="B468" t="s">
        <v>767</v>
      </c>
      <c r="C468" t="s">
        <v>2</v>
      </c>
      <c r="D468" t="s">
        <v>4</v>
      </c>
      <c r="E468">
        <v>1</v>
      </c>
      <c r="F468" t="s">
        <v>600</v>
      </c>
      <c r="G468">
        <v>22</v>
      </c>
    </row>
    <row r="469" spans="1:7" x14ac:dyDescent="0.2">
      <c r="A469" s="2">
        <v>45631</v>
      </c>
      <c r="B469" t="s">
        <v>1197</v>
      </c>
      <c r="C469" t="s">
        <v>1</v>
      </c>
      <c r="D469" t="s">
        <v>3</v>
      </c>
      <c r="E469">
        <v>1</v>
      </c>
      <c r="F469" t="s">
        <v>4027</v>
      </c>
      <c r="G469">
        <v>80</v>
      </c>
    </row>
    <row r="470" spans="1:7" x14ac:dyDescent="0.2">
      <c r="A470" s="2">
        <v>45631</v>
      </c>
      <c r="B470" t="s">
        <v>1202</v>
      </c>
      <c r="C470" t="s">
        <v>1</v>
      </c>
      <c r="D470" t="s">
        <v>3</v>
      </c>
      <c r="E470">
        <v>1</v>
      </c>
      <c r="F470" t="s">
        <v>4027</v>
      </c>
      <c r="G470">
        <v>86</v>
      </c>
    </row>
    <row r="471" spans="1:7" x14ac:dyDescent="0.2">
      <c r="A471" s="2">
        <v>45631</v>
      </c>
      <c r="B471" t="s">
        <v>1201</v>
      </c>
      <c r="C471" t="s">
        <v>1</v>
      </c>
      <c r="D471" t="s">
        <v>3</v>
      </c>
      <c r="E471">
        <v>1</v>
      </c>
      <c r="F471" t="s">
        <v>4027</v>
      </c>
      <c r="G471">
        <v>66</v>
      </c>
    </row>
    <row r="472" spans="1:7" x14ac:dyDescent="0.2">
      <c r="A472" s="2">
        <v>45631</v>
      </c>
      <c r="B472" t="s">
        <v>1200</v>
      </c>
      <c r="C472" t="s">
        <v>1</v>
      </c>
      <c r="D472" t="s">
        <v>3</v>
      </c>
      <c r="E472">
        <v>1</v>
      </c>
      <c r="F472" t="s">
        <v>4027</v>
      </c>
      <c r="G472">
        <v>61</v>
      </c>
    </row>
    <row r="473" spans="1:7" x14ac:dyDescent="0.2">
      <c r="A473" s="2">
        <v>45631</v>
      </c>
      <c r="B473" t="s">
        <v>1199</v>
      </c>
      <c r="C473" t="s">
        <v>1</v>
      </c>
      <c r="D473" t="s">
        <v>3</v>
      </c>
      <c r="E473">
        <v>1</v>
      </c>
      <c r="F473" t="s">
        <v>4027</v>
      </c>
      <c r="G473">
        <v>88</v>
      </c>
    </row>
    <row r="474" spans="1:7" x14ac:dyDescent="0.2">
      <c r="A474" s="2">
        <v>45631</v>
      </c>
      <c r="B474" t="s">
        <v>1196</v>
      </c>
      <c r="C474" t="s">
        <v>1</v>
      </c>
      <c r="D474" t="s">
        <v>3</v>
      </c>
      <c r="E474">
        <v>1</v>
      </c>
      <c r="F474" t="s">
        <v>4027</v>
      </c>
      <c r="G474">
        <v>70</v>
      </c>
    </row>
    <row r="475" spans="1:7" x14ac:dyDescent="0.2">
      <c r="A475" s="2">
        <v>45631</v>
      </c>
      <c r="B475" t="s">
        <v>1204</v>
      </c>
      <c r="C475" t="s">
        <v>1</v>
      </c>
      <c r="D475" t="s">
        <v>3</v>
      </c>
      <c r="E475">
        <v>1</v>
      </c>
      <c r="F475" t="s">
        <v>4027</v>
      </c>
      <c r="G475">
        <v>62</v>
      </c>
    </row>
    <row r="476" spans="1:7" x14ac:dyDescent="0.2">
      <c r="A476" s="2">
        <v>45632</v>
      </c>
      <c r="B476" t="s">
        <v>1205</v>
      </c>
      <c r="C476" t="s">
        <v>1</v>
      </c>
      <c r="D476" t="s">
        <v>3</v>
      </c>
      <c r="E476">
        <v>1</v>
      </c>
      <c r="F476" t="s">
        <v>4027</v>
      </c>
      <c r="G476">
        <v>85</v>
      </c>
    </row>
    <row r="477" spans="1:7" x14ac:dyDescent="0.2">
      <c r="A477" s="2">
        <v>45632</v>
      </c>
      <c r="B477" t="s">
        <v>1206</v>
      </c>
      <c r="C477" t="s">
        <v>1</v>
      </c>
      <c r="D477" t="s">
        <v>3</v>
      </c>
      <c r="E477">
        <v>1</v>
      </c>
      <c r="F477" t="s">
        <v>4027</v>
      </c>
      <c r="G477">
        <v>64</v>
      </c>
    </row>
    <row r="478" spans="1:7" x14ac:dyDescent="0.2">
      <c r="A478" s="2">
        <v>45632</v>
      </c>
      <c r="B478" t="s">
        <v>1207</v>
      </c>
      <c r="C478" t="s">
        <v>1</v>
      </c>
      <c r="D478" t="s">
        <v>3</v>
      </c>
      <c r="E478">
        <v>1</v>
      </c>
      <c r="F478" t="s">
        <v>4027</v>
      </c>
      <c r="G478">
        <v>85</v>
      </c>
    </row>
    <row r="479" spans="1:7" x14ac:dyDescent="0.2">
      <c r="A479" s="2">
        <v>45632</v>
      </c>
      <c r="B479" t="s">
        <v>1209</v>
      </c>
      <c r="C479" t="s">
        <v>1</v>
      </c>
      <c r="D479" t="s">
        <v>3</v>
      </c>
      <c r="E479">
        <v>1</v>
      </c>
      <c r="F479" t="s">
        <v>4027</v>
      </c>
      <c r="G479">
        <v>85</v>
      </c>
    </row>
    <row r="480" spans="1:7" x14ac:dyDescent="0.2">
      <c r="A480" s="2">
        <v>45632</v>
      </c>
      <c r="B480" t="s">
        <v>1210</v>
      </c>
      <c r="C480" t="s">
        <v>1</v>
      </c>
      <c r="D480" t="s">
        <v>3</v>
      </c>
      <c r="E480">
        <v>1</v>
      </c>
      <c r="F480" t="s">
        <v>4027</v>
      </c>
      <c r="G480">
        <v>78</v>
      </c>
    </row>
    <row r="481" spans="1:7" x14ac:dyDescent="0.2">
      <c r="A481" s="2">
        <v>45632</v>
      </c>
      <c r="B481" t="s">
        <v>1211</v>
      </c>
      <c r="C481" t="s">
        <v>1</v>
      </c>
      <c r="D481" t="s">
        <v>3</v>
      </c>
      <c r="E481">
        <v>1</v>
      </c>
      <c r="F481" t="s">
        <v>4027</v>
      </c>
      <c r="G481">
        <v>84</v>
      </c>
    </row>
    <row r="482" spans="1:7" x14ac:dyDescent="0.2">
      <c r="A482" s="2">
        <v>45632</v>
      </c>
      <c r="B482" t="s">
        <v>1213</v>
      </c>
      <c r="C482" t="s">
        <v>1</v>
      </c>
      <c r="D482" t="s">
        <v>3</v>
      </c>
      <c r="E482">
        <v>1</v>
      </c>
      <c r="F482" t="s">
        <v>4027</v>
      </c>
      <c r="G482">
        <v>82</v>
      </c>
    </row>
    <row r="483" spans="1:7" x14ac:dyDescent="0.2">
      <c r="A483" s="2">
        <v>45632</v>
      </c>
      <c r="B483" t="s">
        <v>1215</v>
      </c>
      <c r="C483" t="s">
        <v>1</v>
      </c>
      <c r="D483" t="s">
        <v>3</v>
      </c>
      <c r="E483">
        <v>1</v>
      </c>
      <c r="F483" t="s">
        <v>4027</v>
      </c>
      <c r="G483">
        <v>69</v>
      </c>
    </row>
    <row r="484" spans="1:7" x14ac:dyDescent="0.2">
      <c r="A484" s="2">
        <v>45632</v>
      </c>
      <c r="B484" t="s">
        <v>1216</v>
      </c>
      <c r="C484" t="s">
        <v>1</v>
      </c>
      <c r="D484" t="s">
        <v>3</v>
      </c>
      <c r="E484">
        <v>1</v>
      </c>
      <c r="F484" t="s">
        <v>4027</v>
      </c>
      <c r="G484">
        <v>89</v>
      </c>
    </row>
    <row r="485" spans="1:7" x14ac:dyDescent="0.2">
      <c r="A485" s="2">
        <v>45632</v>
      </c>
      <c r="B485" t="s">
        <v>1217</v>
      </c>
      <c r="C485" t="s">
        <v>1</v>
      </c>
      <c r="D485" t="s">
        <v>3</v>
      </c>
      <c r="E485">
        <v>1</v>
      </c>
      <c r="F485" t="s">
        <v>4027</v>
      </c>
      <c r="G485">
        <v>81</v>
      </c>
    </row>
    <row r="486" spans="1:7" x14ac:dyDescent="0.2">
      <c r="A486" s="2">
        <v>45632</v>
      </c>
      <c r="B486" t="s">
        <v>1218</v>
      </c>
      <c r="C486" t="s">
        <v>1</v>
      </c>
      <c r="D486" t="s">
        <v>3</v>
      </c>
      <c r="E486">
        <v>1</v>
      </c>
      <c r="F486" t="s">
        <v>4027</v>
      </c>
      <c r="G486">
        <v>79</v>
      </c>
    </row>
    <row r="487" spans="1:7" x14ac:dyDescent="0.2">
      <c r="A487" s="2">
        <v>45632</v>
      </c>
      <c r="B487" t="s">
        <v>1219</v>
      </c>
      <c r="C487" t="s">
        <v>1</v>
      </c>
      <c r="D487" t="s">
        <v>3</v>
      </c>
      <c r="E487">
        <v>1</v>
      </c>
      <c r="F487" t="s">
        <v>4027</v>
      </c>
      <c r="G487">
        <v>83</v>
      </c>
    </row>
    <row r="488" spans="1:7" x14ac:dyDescent="0.2">
      <c r="A488" s="2">
        <v>45632</v>
      </c>
      <c r="B488" t="s">
        <v>1220</v>
      </c>
      <c r="C488" t="s">
        <v>1</v>
      </c>
      <c r="D488" t="s">
        <v>3</v>
      </c>
      <c r="E488">
        <v>1</v>
      </c>
      <c r="F488" t="s">
        <v>4027</v>
      </c>
      <c r="G488">
        <v>62</v>
      </c>
    </row>
    <row r="489" spans="1:7" x14ac:dyDescent="0.2">
      <c r="A489" s="2">
        <v>45633</v>
      </c>
      <c r="B489" t="s">
        <v>1222</v>
      </c>
      <c r="C489" t="s">
        <v>1</v>
      </c>
      <c r="D489" t="s">
        <v>3</v>
      </c>
      <c r="E489">
        <v>1</v>
      </c>
      <c r="F489" t="s">
        <v>4027</v>
      </c>
      <c r="G489">
        <v>79</v>
      </c>
    </row>
    <row r="490" spans="1:7" x14ac:dyDescent="0.2">
      <c r="A490" s="2">
        <v>45635</v>
      </c>
      <c r="B490" t="s">
        <v>789</v>
      </c>
      <c r="C490" t="s">
        <v>2</v>
      </c>
      <c r="D490" t="s">
        <v>4</v>
      </c>
      <c r="E490">
        <v>1</v>
      </c>
      <c r="F490" t="s">
        <v>600</v>
      </c>
      <c r="G490">
        <v>22</v>
      </c>
    </row>
    <row r="491" spans="1:7" x14ac:dyDescent="0.2">
      <c r="A491" s="2">
        <v>45635</v>
      </c>
      <c r="B491" t="s">
        <v>1235</v>
      </c>
      <c r="C491" t="s">
        <v>1</v>
      </c>
      <c r="D491" t="s">
        <v>3</v>
      </c>
      <c r="E491">
        <v>1</v>
      </c>
      <c r="F491" t="s">
        <v>4027</v>
      </c>
      <c r="G491">
        <v>65</v>
      </c>
    </row>
    <row r="492" spans="1:7" x14ac:dyDescent="0.2">
      <c r="A492" s="2">
        <v>45635</v>
      </c>
      <c r="B492" t="s">
        <v>1234</v>
      </c>
      <c r="C492" t="s">
        <v>1</v>
      </c>
      <c r="D492" t="s">
        <v>3</v>
      </c>
      <c r="E492">
        <v>1</v>
      </c>
      <c r="F492" t="s">
        <v>4027</v>
      </c>
      <c r="G492">
        <v>72</v>
      </c>
    </row>
    <row r="493" spans="1:7" x14ac:dyDescent="0.2">
      <c r="A493" s="2">
        <v>45635</v>
      </c>
      <c r="B493" t="s">
        <v>1233</v>
      </c>
      <c r="C493" t="s">
        <v>1</v>
      </c>
      <c r="D493" t="s">
        <v>3</v>
      </c>
      <c r="E493">
        <v>1</v>
      </c>
      <c r="F493" t="s">
        <v>4027</v>
      </c>
      <c r="G493">
        <v>74</v>
      </c>
    </row>
    <row r="494" spans="1:7" x14ac:dyDescent="0.2">
      <c r="A494" s="2">
        <v>45635</v>
      </c>
      <c r="B494" t="s">
        <v>1232</v>
      </c>
      <c r="C494" t="s">
        <v>1</v>
      </c>
      <c r="D494" t="s">
        <v>3</v>
      </c>
      <c r="E494">
        <v>1</v>
      </c>
      <c r="F494" t="s">
        <v>4027</v>
      </c>
      <c r="G494">
        <v>82</v>
      </c>
    </row>
    <row r="495" spans="1:7" x14ac:dyDescent="0.2">
      <c r="A495" s="2">
        <v>45635</v>
      </c>
      <c r="B495" t="s">
        <v>1228</v>
      </c>
      <c r="C495" t="s">
        <v>1</v>
      </c>
      <c r="D495" t="s">
        <v>3</v>
      </c>
      <c r="E495">
        <v>1</v>
      </c>
      <c r="F495" t="s">
        <v>4027</v>
      </c>
      <c r="G495">
        <v>71</v>
      </c>
    </row>
    <row r="496" spans="1:7" x14ac:dyDescent="0.2">
      <c r="A496" s="2">
        <v>45635</v>
      </c>
      <c r="B496" t="s">
        <v>1230</v>
      </c>
      <c r="C496" t="s">
        <v>1</v>
      </c>
      <c r="D496" t="s">
        <v>3</v>
      </c>
      <c r="E496">
        <v>1</v>
      </c>
      <c r="F496" t="s">
        <v>4027</v>
      </c>
      <c r="G496">
        <v>78</v>
      </c>
    </row>
    <row r="497" spans="1:7" x14ac:dyDescent="0.2">
      <c r="A497" s="2">
        <v>45635</v>
      </c>
      <c r="B497" t="s">
        <v>1226</v>
      </c>
      <c r="C497" t="s">
        <v>1</v>
      </c>
      <c r="D497" t="s">
        <v>3</v>
      </c>
      <c r="E497">
        <v>1</v>
      </c>
      <c r="F497" t="s">
        <v>4027</v>
      </c>
      <c r="G497">
        <v>80</v>
      </c>
    </row>
    <row r="498" spans="1:7" x14ac:dyDescent="0.2">
      <c r="A498" s="2">
        <v>45635</v>
      </c>
      <c r="B498" t="s">
        <v>1225</v>
      </c>
      <c r="C498" t="s">
        <v>1</v>
      </c>
      <c r="D498" t="s">
        <v>3</v>
      </c>
      <c r="E498">
        <v>1</v>
      </c>
      <c r="F498" t="s">
        <v>4027</v>
      </c>
      <c r="G498">
        <v>78</v>
      </c>
    </row>
    <row r="499" spans="1:7" x14ac:dyDescent="0.2">
      <c r="A499" s="2">
        <v>45635</v>
      </c>
      <c r="B499" t="s">
        <v>1223</v>
      </c>
      <c r="C499" t="s">
        <v>1</v>
      </c>
      <c r="D499" t="s">
        <v>3</v>
      </c>
      <c r="E499">
        <v>1</v>
      </c>
      <c r="F499" t="s">
        <v>4027</v>
      </c>
      <c r="G499">
        <v>74</v>
      </c>
    </row>
    <row r="500" spans="1:7" x14ac:dyDescent="0.2">
      <c r="A500" s="2">
        <v>45635</v>
      </c>
      <c r="B500" t="s">
        <v>787</v>
      </c>
      <c r="C500" t="s">
        <v>2</v>
      </c>
      <c r="D500" t="s">
        <v>4</v>
      </c>
      <c r="E500">
        <v>1</v>
      </c>
      <c r="F500" t="s">
        <v>600</v>
      </c>
      <c r="G500">
        <v>22</v>
      </c>
    </row>
    <row r="501" spans="1:7" x14ac:dyDescent="0.2">
      <c r="A501" s="2">
        <v>45635</v>
      </c>
      <c r="B501" t="s">
        <v>1227</v>
      </c>
      <c r="C501" t="s">
        <v>1</v>
      </c>
      <c r="D501" t="s">
        <v>3</v>
      </c>
      <c r="E501">
        <v>1</v>
      </c>
      <c r="F501" t="s">
        <v>4027</v>
      </c>
      <c r="G501">
        <v>73</v>
      </c>
    </row>
    <row r="502" spans="1:7" x14ac:dyDescent="0.2">
      <c r="A502" s="2">
        <v>45636</v>
      </c>
      <c r="B502" t="s">
        <v>1243</v>
      </c>
      <c r="C502" t="s">
        <v>1</v>
      </c>
      <c r="D502" t="s">
        <v>3</v>
      </c>
      <c r="E502">
        <v>1</v>
      </c>
      <c r="F502" t="s">
        <v>4027</v>
      </c>
      <c r="G502">
        <v>86</v>
      </c>
    </row>
    <row r="503" spans="1:7" x14ac:dyDescent="0.2">
      <c r="A503" s="2">
        <v>45636</v>
      </c>
      <c r="B503" t="s">
        <v>1237</v>
      </c>
      <c r="C503" t="s">
        <v>1</v>
      </c>
      <c r="D503" t="s">
        <v>3</v>
      </c>
      <c r="E503">
        <v>1</v>
      </c>
      <c r="F503" t="s">
        <v>4027</v>
      </c>
      <c r="G503">
        <v>79</v>
      </c>
    </row>
    <row r="504" spans="1:7" x14ac:dyDescent="0.2">
      <c r="A504" s="2">
        <v>45636</v>
      </c>
      <c r="B504" t="s">
        <v>1238</v>
      </c>
      <c r="C504" t="s">
        <v>1</v>
      </c>
      <c r="D504" t="s">
        <v>3</v>
      </c>
      <c r="E504">
        <v>1</v>
      </c>
      <c r="F504" t="s">
        <v>4027</v>
      </c>
      <c r="G504">
        <v>63</v>
      </c>
    </row>
    <row r="505" spans="1:7" x14ac:dyDescent="0.2">
      <c r="A505" s="2">
        <v>45636</v>
      </c>
      <c r="B505" t="s">
        <v>1240</v>
      </c>
      <c r="C505" t="s">
        <v>1</v>
      </c>
      <c r="D505" t="s">
        <v>3</v>
      </c>
      <c r="E505">
        <v>1</v>
      </c>
      <c r="F505" t="s">
        <v>4027</v>
      </c>
      <c r="G505">
        <v>80</v>
      </c>
    </row>
    <row r="506" spans="1:7" x14ac:dyDescent="0.2">
      <c r="A506" s="2">
        <v>45636</v>
      </c>
      <c r="B506" t="s">
        <v>1241</v>
      </c>
      <c r="C506" t="s">
        <v>1</v>
      </c>
      <c r="D506" t="s">
        <v>3</v>
      </c>
      <c r="E506">
        <v>1</v>
      </c>
      <c r="F506" t="s">
        <v>4027</v>
      </c>
      <c r="G506">
        <v>86</v>
      </c>
    </row>
    <row r="507" spans="1:7" x14ac:dyDescent="0.2">
      <c r="A507" s="2">
        <v>45636</v>
      </c>
      <c r="B507" t="s">
        <v>1242</v>
      </c>
      <c r="C507" t="s">
        <v>1</v>
      </c>
      <c r="D507" t="s">
        <v>3</v>
      </c>
      <c r="E507">
        <v>1</v>
      </c>
      <c r="F507" t="s">
        <v>4027</v>
      </c>
      <c r="G507">
        <v>73</v>
      </c>
    </row>
    <row r="508" spans="1:7" x14ac:dyDescent="0.2">
      <c r="A508" s="2">
        <v>45636</v>
      </c>
      <c r="B508" t="s">
        <v>1244</v>
      </c>
      <c r="C508" t="s">
        <v>1</v>
      </c>
      <c r="D508" t="s">
        <v>3</v>
      </c>
      <c r="E508">
        <v>1</v>
      </c>
      <c r="F508" t="s">
        <v>4027</v>
      </c>
      <c r="G508">
        <v>62</v>
      </c>
    </row>
    <row r="509" spans="1:7" x14ac:dyDescent="0.2">
      <c r="A509" s="2">
        <v>45637</v>
      </c>
      <c r="B509" t="s">
        <v>1245</v>
      </c>
      <c r="C509" t="s">
        <v>1</v>
      </c>
      <c r="D509" t="s">
        <v>3</v>
      </c>
      <c r="E509">
        <v>1</v>
      </c>
      <c r="F509" t="s">
        <v>4027</v>
      </c>
      <c r="G509">
        <v>86</v>
      </c>
    </row>
    <row r="510" spans="1:7" x14ac:dyDescent="0.2">
      <c r="A510" s="2">
        <v>45637</v>
      </c>
      <c r="B510" t="s">
        <v>1247</v>
      </c>
      <c r="C510" t="s">
        <v>1</v>
      </c>
      <c r="D510" t="s">
        <v>3</v>
      </c>
      <c r="E510">
        <v>1</v>
      </c>
      <c r="F510" t="s">
        <v>4027</v>
      </c>
      <c r="G510">
        <v>65</v>
      </c>
    </row>
    <row r="511" spans="1:7" x14ac:dyDescent="0.2">
      <c r="A511" s="2">
        <v>45637</v>
      </c>
      <c r="B511" t="s">
        <v>793</v>
      </c>
      <c r="C511" t="s">
        <v>2</v>
      </c>
      <c r="D511" t="s">
        <v>4</v>
      </c>
      <c r="E511">
        <v>1</v>
      </c>
      <c r="F511" t="s">
        <v>600</v>
      </c>
      <c r="G511">
        <v>22</v>
      </c>
    </row>
    <row r="512" spans="1:7" x14ac:dyDescent="0.2">
      <c r="A512" s="2">
        <v>45637</v>
      </c>
      <c r="B512" t="s">
        <v>1259</v>
      </c>
      <c r="C512" t="s">
        <v>1</v>
      </c>
      <c r="D512" t="s">
        <v>3</v>
      </c>
      <c r="E512">
        <v>1</v>
      </c>
      <c r="F512" t="s">
        <v>4027</v>
      </c>
      <c r="G512">
        <v>61</v>
      </c>
    </row>
    <row r="513" spans="1:7" x14ac:dyDescent="0.2">
      <c r="A513" s="2">
        <v>45637</v>
      </c>
      <c r="B513" t="s">
        <v>1257</v>
      </c>
      <c r="C513" t="s">
        <v>1</v>
      </c>
      <c r="D513" t="s">
        <v>3</v>
      </c>
      <c r="E513">
        <v>1</v>
      </c>
      <c r="F513" t="s">
        <v>4027</v>
      </c>
      <c r="G513">
        <v>65</v>
      </c>
    </row>
    <row r="514" spans="1:7" x14ac:dyDescent="0.2">
      <c r="A514" s="2">
        <v>45637</v>
      </c>
      <c r="B514" t="s">
        <v>1256</v>
      </c>
      <c r="C514" t="s">
        <v>1</v>
      </c>
      <c r="D514" t="s">
        <v>3</v>
      </c>
      <c r="E514">
        <v>1</v>
      </c>
      <c r="F514" t="s">
        <v>4027</v>
      </c>
      <c r="G514">
        <v>62</v>
      </c>
    </row>
    <row r="515" spans="1:7" x14ac:dyDescent="0.2">
      <c r="A515" s="2">
        <v>45637</v>
      </c>
      <c r="B515" t="s">
        <v>1255</v>
      </c>
      <c r="C515" t="s">
        <v>1</v>
      </c>
      <c r="D515" t="s">
        <v>3</v>
      </c>
      <c r="E515">
        <v>1</v>
      </c>
      <c r="F515" t="s">
        <v>4027</v>
      </c>
      <c r="G515">
        <v>82</v>
      </c>
    </row>
    <row r="516" spans="1:7" x14ac:dyDescent="0.2">
      <c r="A516" s="2">
        <v>45637</v>
      </c>
      <c r="B516" t="s">
        <v>796</v>
      </c>
      <c r="C516" t="s">
        <v>2</v>
      </c>
      <c r="D516" t="s">
        <v>4</v>
      </c>
      <c r="E516">
        <v>1</v>
      </c>
      <c r="F516" t="s">
        <v>600</v>
      </c>
      <c r="G516">
        <v>22</v>
      </c>
    </row>
    <row r="517" spans="1:7" x14ac:dyDescent="0.2">
      <c r="A517" s="2">
        <v>45637</v>
      </c>
      <c r="B517" t="s">
        <v>1253</v>
      </c>
      <c r="C517" t="s">
        <v>1</v>
      </c>
      <c r="D517" t="s">
        <v>3</v>
      </c>
      <c r="E517">
        <v>1</v>
      </c>
      <c r="F517" t="s">
        <v>4027</v>
      </c>
      <c r="G517">
        <v>83</v>
      </c>
    </row>
    <row r="518" spans="1:7" x14ac:dyDescent="0.2">
      <c r="A518" s="2">
        <v>45637</v>
      </c>
      <c r="B518" t="s">
        <v>1251</v>
      </c>
      <c r="C518" t="s">
        <v>1</v>
      </c>
      <c r="D518" t="s">
        <v>3</v>
      </c>
      <c r="E518">
        <v>1</v>
      </c>
      <c r="F518" t="s">
        <v>4027</v>
      </c>
      <c r="G518">
        <v>76</v>
      </c>
    </row>
    <row r="519" spans="1:7" x14ac:dyDescent="0.2">
      <c r="A519" s="2">
        <v>45637</v>
      </c>
      <c r="B519" t="s">
        <v>1250</v>
      </c>
      <c r="C519" t="s">
        <v>1</v>
      </c>
      <c r="D519" t="s">
        <v>3</v>
      </c>
      <c r="E519">
        <v>1</v>
      </c>
      <c r="F519" t="s">
        <v>4027</v>
      </c>
      <c r="G519">
        <v>89</v>
      </c>
    </row>
    <row r="520" spans="1:7" x14ac:dyDescent="0.2">
      <c r="A520" s="2">
        <v>45637</v>
      </c>
      <c r="B520" t="s">
        <v>1249</v>
      </c>
      <c r="C520" t="s">
        <v>1</v>
      </c>
      <c r="D520" t="s">
        <v>3</v>
      </c>
      <c r="E520">
        <v>1</v>
      </c>
      <c r="F520" t="s">
        <v>4027</v>
      </c>
      <c r="G520">
        <v>76</v>
      </c>
    </row>
    <row r="521" spans="1:7" x14ac:dyDescent="0.2">
      <c r="A521" s="2">
        <v>45637</v>
      </c>
      <c r="B521" t="s">
        <v>1254</v>
      </c>
      <c r="C521" t="s">
        <v>1</v>
      </c>
      <c r="D521" t="s">
        <v>3</v>
      </c>
      <c r="E521">
        <v>1</v>
      </c>
      <c r="F521" t="s">
        <v>4027</v>
      </c>
      <c r="G521">
        <v>60</v>
      </c>
    </row>
    <row r="522" spans="1:7" x14ac:dyDescent="0.2">
      <c r="A522" s="2">
        <v>45638</v>
      </c>
      <c r="B522" t="s">
        <v>1261</v>
      </c>
      <c r="C522" t="s">
        <v>1</v>
      </c>
      <c r="D522" t="s">
        <v>3</v>
      </c>
      <c r="E522">
        <v>1</v>
      </c>
      <c r="F522" t="s">
        <v>4027</v>
      </c>
      <c r="G522">
        <v>82</v>
      </c>
    </row>
    <row r="523" spans="1:7" x14ac:dyDescent="0.2">
      <c r="A523" s="2">
        <v>45638</v>
      </c>
      <c r="B523" t="s">
        <v>1262</v>
      </c>
      <c r="C523" t="s">
        <v>1</v>
      </c>
      <c r="D523" t="s">
        <v>3</v>
      </c>
      <c r="E523">
        <v>1</v>
      </c>
      <c r="F523" t="s">
        <v>4027</v>
      </c>
      <c r="G523">
        <v>85</v>
      </c>
    </row>
    <row r="524" spans="1:7" x14ac:dyDescent="0.2">
      <c r="A524" s="2">
        <v>45638</v>
      </c>
      <c r="B524" t="s">
        <v>1263</v>
      </c>
      <c r="C524" t="s">
        <v>1</v>
      </c>
      <c r="D524" t="s">
        <v>3</v>
      </c>
      <c r="E524">
        <v>1</v>
      </c>
      <c r="F524" t="s">
        <v>4027</v>
      </c>
      <c r="G524">
        <v>68</v>
      </c>
    </row>
    <row r="525" spans="1:7" x14ac:dyDescent="0.2">
      <c r="A525" s="2">
        <v>45638</v>
      </c>
      <c r="B525" t="s">
        <v>1264</v>
      </c>
      <c r="C525" t="s">
        <v>1</v>
      </c>
      <c r="D525" t="s">
        <v>3</v>
      </c>
      <c r="E525">
        <v>1</v>
      </c>
      <c r="F525" t="s">
        <v>4027</v>
      </c>
      <c r="G525">
        <v>71</v>
      </c>
    </row>
    <row r="526" spans="1:7" x14ac:dyDescent="0.2">
      <c r="A526" s="2">
        <v>45638</v>
      </c>
      <c r="B526" t="s">
        <v>1265</v>
      </c>
      <c r="C526" t="s">
        <v>1</v>
      </c>
      <c r="D526" t="s">
        <v>3</v>
      </c>
      <c r="E526">
        <v>1</v>
      </c>
      <c r="F526" t="s">
        <v>4027</v>
      </c>
      <c r="G526">
        <v>79</v>
      </c>
    </row>
    <row r="527" spans="1:7" x14ac:dyDescent="0.2">
      <c r="A527" s="2">
        <v>45638</v>
      </c>
      <c r="B527" t="s">
        <v>1266</v>
      </c>
      <c r="C527" t="s">
        <v>1</v>
      </c>
      <c r="D527" t="s">
        <v>3</v>
      </c>
      <c r="E527">
        <v>1</v>
      </c>
      <c r="F527" t="s">
        <v>4027</v>
      </c>
      <c r="G527">
        <v>84</v>
      </c>
    </row>
    <row r="528" spans="1:7" x14ac:dyDescent="0.2">
      <c r="A528" s="2">
        <v>45638</v>
      </c>
      <c r="B528" t="s">
        <v>1267</v>
      </c>
      <c r="C528" t="s">
        <v>1</v>
      </c>
      <c r="D528" t="s">
        <v>3</v>
      </c>
      <c r="E528">
        <v>1</v>
      </c>
      <c r="F528" t="s">
        <v>4027</v>
      </c>
      <c r="G528">
        <v>83</v>
      </c>
    </row>
    <row r="529" spans="1:7" x14ac:dyDescent="0.2">
      <c r="A529" s="2">
        <v>45638</v>
      </c>
      <c r="B529" t="s">
        <v>1268</v>
      </c>
      <c r="C529" t="s">
        <v>1</v>
      </c>
      <c r="D529" t="s">
        <v>3</v>
      </c>
      <c r="E529">
        <v>1</v>
      </c>
      <c r="F529" t="s">
        <v>4027</v>
      </c>
      <c r="G529">
        <v>67</v>
      </c>
    </row>
    <row r="530" spans="1:7" x14ac:dyDescent="0.2">
      <c r="A530" s="2">
        <v>45638</v>
      </c>
      <c r="B530" t="s">
        <v>1260</v>
      </c>
      <c r="C530" t="s">
        <v>1</v>
      </c>
      <c r="D530" t="s">
        <v>3</v>
      </c>
      <c r="E530">
        <v>1</v>
      </c>
      <c r="F530" t="s">
        <v>4027</v>
      </c>
      <c r="G530">
        <v>74</v>
      </c>
    </row>
    <row r="531" spans="1:7" x14ac:dyDescent="0.2">
      <c r="A531" s="2">
        <v>45639</v>
      </c>
      <c r="B531" t="s">
        <v>1278</v>
      </c>
      <c r="C531" t="s">
        <v>1</v>
      </c>
      <c r="D531" t="s">
        <v>3</v>
      </c>
      <c r="E531">
        <v>1</v>
      </c>
      <c r="F531" t="s">
        <v>4027</v>
      </c>
      <c r="G531">
        <v>88</v>
      </c>
    </row>
    <row r="532" spans="1:7" x14ac:dyDescent="0.2">
      <c r="A532" s="2">
        <v>45639</v>
      </c>
      <c r="B532" t="s">
        <v>1275</v>
      </c>
      <c r="C532" t="s">
        <v>1</v>
      </c>
      <c r="D532" t="s">
        <v>3</v>
      </c>
      <c r="E532">
        <v>1</v>
      </c>
      <c r="F532" t="s">
        <v>4027</v>
      </c>
      <c r="G532">
        <v>70</v>
      </c>
    </row>
    <row r="533" spans="1:7" x14ac:dyDescent="0.2">
      <c r="A533" s="2">
        <v>45639</v>
      </c>
      <c r="B533" t="s">
        <v>1279</v>
      </c>
      <c r="C533" t="s">
        <v>1</v>
      </c>
      <c r="D533" t="s">
        <v>3</v>
      </c>
      <c r="E533">
        <v>1</v>
      </c>
      <c r="F533" t="s">
        <v>4027</v>
      </c>
      <c r="G533">
        <v>82</v>
      </c>
    </row>
    <row r="534" spans="1:7" x14ac:dyDescent="0.2">
      <c r="A534" s="2">
        <v>45639</v>
      </c>
      <c r="B534" t="s">
        <v>1276</v>
      </c>
      <c r="C534" t="s">
        <v>1</v>
      </c>
      <c r="D534" t="s">
        <v>3</v>
      </c>
      <c r="E534">
        <v>1</v>
      </c>
      <c r="F534" t="s">
        <v>4027</v>
      </c>
      <c r="G534">
        <v>74</v>
      </c>
    </row>
    <row r="535" spans="1:7" x14ac:dyDescent="0.2">
      <c r="A535" s="2">
        <v>45639</v>
      </c>
      <c r="B535" t="s">
        <v>1270</v>
      </c>
      <c r="C535" t="s">
        <v>1</v>
      </c>
      <c r="D535" t="s">
        <v>3</v>
      </c>
      <c r="E535">
        <v>1</v>
      </c>
      <c r="F535" t="s">
        <v>4027</v>
      </c>
      <c r="G535">
        <v>75</v>
      </c>
    </row>
    <row r="536" spans="1:7" x14ac:dyDescent="0.2">
      <c r="A536" s="2">
        <v>45639</v>
      </c>
      <c r="B536" t="s">
        <v>1271</v>
      </c>
      <c r="C536" t="s">
        <v>1</v>
      </c>
      <c r="D536" t="s">
        <v>3</v>
      </c>
      <c r="E536">
        <v>1</v>
      </c>
      <c r="F536" t="s">
        <v>4027</v>
      </c>
      <c r="G536">
        <v>70</v>
      </c>
    </row>
    <row r="537" spans="1:7" x14ac:dyDescent="0.2">
      <c r="A537" s="2">
        <v>45639</v>
      </c>
      <c r="B537" t="s">
        <v>1272</v>
      </c>
      <c r="C537" t="s">
        <v>1</v>
      </c>
      <c r="D537" t="s">
        <v>3</v>
      </c>
      <c r="E537">
        <v>1</v>
      </c>
      <c r="F537" t="s">
        <v>4027</v>
      </c>
      <c r="G537">
        <v>64</v>
      </c>
    </row>
    <row r="538" spans="1:7" x14ac:dyDescent="0.2">
      <c r="A538" s="2">
        <v>45639</v>
      </c>
      <c r="B538" t="s">
        <v>1273</v>
      </c>
      <c r="C538" t="s">
        <v>1</v>
      </c>
      <c r="D538" t="s">
        <v>3</v>
      </c>
      <c r="E538">
        <v>1</v>
      </c>
      <c r="F538" t="s">
        <v>4027</v>
      </c>
      <c r="G538">
        <v>83</v>
      </c>
    </row>
    <row r="539" spans="1:7" x14ac:dyDescent="0.2">
      <c r="A539" s="2">
        <v>45639</v>
      </c>
      <c r="B539" t="s">
        <v>1280</v>
      </c>
      <c r="C539" t="s">
        <v>1</v>
      </c>
      <c r="D539" t="s">
        <v>3</v>
      </c>
      <c r="E539">
        <v>1</v>
      </c>
      <c r="F539" t="s">
        <v>4027</v>
      </c>
      <c r="G539">
        <v>83</v>
      </c>
    </row>
    <row r="540" spans="1:7" x14ac:dyDescent="0.2">
      <c r="A540" s="2">
        <v>45639</v>
      </c>
      <c r="B540" t="s">
        <v>1281</v>
      </c>
      <c r="C540" t="s">
        <v>1</v>
      </c>
      <c r="D540" t="s">
        <v>3</v>
      </c>
      <c r="E540">
        <v>1</v>
      </c>
      <c r="F540" t="s">
        <v>4027</v>
      </c>
      <c r="G540">
        <v>72</v>
      </c>
    </row>
    <row r="541" spans="1:7" x14ac:dyDescent="0.2">
      <c r="A541" s="2">
        <v>45639</v>
      </c>
      <c r="B541" t="s">
        <v>1282</v>
      </c>
      <c r="C541" t="s">
        <v>1</v>
      </c>
      <c r="D541" t="s">
        <v>3</v>
      </c>
      <c r="E541">
        <v>1</v>
      </c>
      <c r="F541" t="s">
        <v>4027</v>
      </c>
      <c r="G541">
        <v>85</v>
      </c>
    </row>
    <row r="542" spans="1:7" x14ac:dyDescent="0.2">
      <c r="A542" s="2">
        <v>45639</v>
      </c>
      <c r="B542" t="s">
        <v>1274</v>
      </c>
      <c r="C542" t="s">
        <v>1</v>
      </c>
      <c r="D542" t="s">
        <v>3</v>
      </c>
      <c r="E542">
        <v>1</v>
      </c>
      <c r="F542" t="s">
        <v>4027</v>
      </c>
      <c r="G542">
        <v>82</v>
      </c>
    </row>
    <row r="543" spans="1:7" x14ac:dyDescent="0.2">
      <c r="A543" s="2">
        <v>45642</v>
      </c>
      <c r="B543" t="s">
        <v>1290</v>
      </c>
      <c r="C543" t="s">
        <v>1</v>
      </c>
      <c r="D543" t="s">
        <v>3</v>
      </c>
      <c r="E543">
        <v>1</v>
      </c>
      <c r="F543" t="s">
        <v>4027</v>
      </c>
      <c r="G543">
        <v>86</v>
      </c>
    </row>
    <row r="544" spans="1:7" x14ac:dyDescent="0.2">
      <c r="A544" s="2">
        <v>45642</v>
      </c>
      <c r="B544" t="s">
        <v>1289</v>
      </c>
      <c r="C544" t="s">
        <v>1</v>
      </c>
      <c r="D544" t="s">
        <v>3</v>
      </c>
      <c r="E544">
        <v>1</v>
      </c>
      <c r="F544" t="s">
        <v>4027</v>
      </c>
      <c r="G544">
        <v>84</v>
      </c>
    </row>
    <row r="545" spans="1:7" x14ac:dyDescent="0.2">
      <c r="A545" s="2">
        <v>45642</v>
      </c>
      <c r="B545" t="s">
        <v>1288</v>
      </c>
      <c r="C545" t="s">
        <v>1</v>
      </c>
      <c r="D545" t="s">
        <v>3</v>
      </c>
      <c r="E545">
        <v>1</v>
      </c>
      <c r="F545" t="s">
        <v>4027</v>
      </c>
      <c r="G545">
        <v>81</v>
      </c>
    </row>
    <row r="546" spans="1:7" x14ac:dyDescent="0.2">
      <c r="A546" s="2">
        <v>45642</v>
      </c>
      <c r="B546" t="s">
        <v>1283</v>
      </c>
      <c r="C546" t="s">
        <v>1</v>
      </c>
      <c r="D546" t="s">
        <v>3</v>
      </c>
      <c r="E546">
        <v>1</v>
      </c>
      <c r="F546" t="s">
        <v>4027</v>
      </c>
      <c r="G546">
        <v>76</v>
      </c>
    </row>
    <row r="547" spans="1:7" x14ac:dyDescent="0.2">
      <c r="A547" s="2">
        <v>45642</v>
      </c>
      <c r="B547" t="s">
        <v>1286</v>
      </c>
      <c r="C547" t="s">
        <v>1</v>
      </c>
      <c r="D547" t="s">
        <v>3</v>
      </c>
      <c r="E547">
        <v>1</v>
      </c>
      <c r="F547" t="s">
        <v>4027</v>
      </c>
      <c r="G547">
        <v>71</v>
      </c>
    </row>
    <row r="548" spans="1:7" x14ac:dyDescent="0.2">
      <c r="A548" s="2">
        <v>45642</v>
      </c>
      <c r="B548" t="s">
        <v>1285</v>
      </c>
      <c r="C548" t="s">
        <v>1</v>
      </c>
      <c r="D548" t="s">
        <v>3</v>
      </c>
      <c r="E548">
        <v>1</v>
      </c>
      <c r="F548" t="s">
        <v>4027</v>
      </c>
      <c r="G548">
        <v>63</v>
      </c>
    </row>
    <row r="549" spans="1:7" x14ac:dyDescent="0.2">
      <c r="A549" s="2">
        <v>45642</v>
      </c>
      <c r="B549" t="s">
        <v>1284</v>
      </c>
      <c r="C549" t="s">
        <v>1</v>
      </c>
      <c r="D549" t="s">
        <v>3</v>
      </c>
      <c r="E549">
        <v>1</v>
      </c>
      <c r="F549" t="s">
        <v>4027</v>
      </c>
      <c r="G549">
        <v>85</v>
      </c>
    </row>
    <row r="550" spans="1:7" x14ac:dyDescent="0.2">
      <c r="A550" s="2">
        <v>45642</v>
      </c>
      <c r="B550" t="s">
        <v>802</v>
      </c>
      <c r="C550" t="s">
        <v>2</v>
      </c>
      <c r="D550" t="s">
        <v>4</v>
      </c>
      <c r="E550">
        <v>1</v>
      </c>
      <c r="F550" t="s">
        <v>600</v>
      </c>
      <c r="G550">
        <v>22</v>
      </c>
    </row>
    <row r="551" spans="1:7" x14ac:dyDescent="0.2">
      <c r="A551" s="2">
        <v>45642</v>
      </c>
      <c r="B551" t="s">
        <v>1287</v>
      </c>
      <c r="C551" t="s">
        <v>1</v>
      </c>
      <c r="D551" t="s">
        <v>3</v>
      </c>
      <c r="E551">
        <v>1</v>
      </c>
      <c r="F551" t="s">
        <v>4027</v>
      </c>
      <c r="G551">
        <v>66</v>
      </c>
    </row>
    <row r="552" spans="1:7" x14ac:dyDescent="0.2">
      <c r="A552" s="2">
        <v>45643</v>
      </c>
      <c r="B552" t="s">
        <v>1291</v>
      </c>
      <c r="C552" t="s">
        <v>1</v>
      </c>
      <c r="D552" t="s">
        <v>3</v>
      </c>
      <c r="E552">
        <v>1</v>
      </c>
      <c r="F552" t="s">
        <v>4027</v>
      </c>
      <c r="G552">
        <v>83</v>
      </c>
    </row>
    <row r="553" spans="1:7" x14ac:dyDescent="0.2">
      <c r="A553" s="2">
        <v>45643</v>
      </c>
      <c r="B553" t="s">
        <v>1293</v>
      </c>
      <c r="C553" t="s">
        <v>1</v>
      </c>
      <c r="D553" t="s">
        <v>3</v>
      </c>
      <c r="E553">
        <v>1</v>
      </c>
      <c r="F553" t="s">
        <v>4027</v>
      </c>
      <c r="G553">
        <v>62</v>
      </c>
    </row>
    <row r="554" spans="1:7" x14ac:dyDescent="0.2">
      <c r="A554" s="2">
        <v>45643</v>
      </c>
      <c r="B554" t="s">
        <v>1296</v>
      </c>
      <c r="C554" t="s">
        <v>1</v>
      </c>
      <c r="D554" t="s">
        <v>3</v>
      </c>
      <c r="E554">
        <v>1</v>
      </c>
      <c r="F554" t="s">
        <v>4027</v>
      </c>
      <c r="G554">
        <v>72</v>
      </c>
    </row>
    <row r="555" spans="1:7" x14ac:dyDescent="0.2">
      <c r="A555" s="2">
        <v>45643</v>
      </c>
      <c r="B555" t="s">
        <v>1295</v>
      </c>
      <c r="C555" t="s">
        <v>1</v>
      </c>
      <c r="D555" t="s">
        <v>3</v>
      </c>
      <c r="E555">
        <v>1</v>
      </c>
      <c r="F555" t="s">
        <v>4027</v>
      </c>
      <c r="G555">
        <v>76</v>
      </c>
    </row>
    <row r="556" spans="1:7" x14ac:dyDescent="0.2">
      <c r="A556" s="2">
        <v>45643</v>
      </c>
      <c r="B556" t="s">
        <v>1297</v>
      </c>
      <c r="C556" t="s">
        <v>1</v>
      </c>
      <c r="D556" t="s">
        <v>3</v>
      </c>
      <c r="E556">
        <v>1</v>
      </c>
      <c r="F556" t="s">
        <v>4027</v>
      </c>
      <c r="G556">
        <v>72</v>
      </c>
    </row>
    <row r="557" spans="1:7" x14ac:dyDescent="0.2">
      <c r="A557" s="2">
        <v>45643</v>
      </c>
      <c r="B557" t="s">
        <v>804</v>
      </c>
      <c r="C557" t="s">
        <v>2</v>
      </c>
      <c r="D557" t="s">
        <v>4</v>
      </c>
      <c r="E557">
        <v>1</v>
      </c>
      <c r="F557" t="s">
        <v>600</v>
      </c>
      <c r="G557">
        <v>22</v>
      </c>
    </row>
    <row r="558" spans="1:7" x14ac:dyDescent="0.2">
      <c r="A558" s="2">
        <v>45643</v>
      </c>
      <c r="B558" t="s">
        <v>1294</v>
      </c>
      <c r="C558" t="s">
        <v>1</v>
      </c>
      <c r="D558" t="s">
        <v>3</v>
      </c>
      <c r="E558">
        <v>1</v>
      </c>
      <c r="F558" t="s">
        <v>4027</v>
      </c>
      <c r="G558">
        <v>72</v>
      </c>
    </row>
    <row r="559" spans="1:7" x14ac:dyDescent="0.2">
      <c r="A559" s="2">
        <v>45643</v>
      </c>
      <c r="B559" t="s">
        <v>1292</v>
      </c>
      <c r="C559" t="s">
        <v>1</v>
      </c>
      <c r="D559" t="s">
        <v>3</v>
      </c>
      <c r="E559">
        <v>1</v>
      </c>
      <c r="F559" t="s">
        <v>4027</v>
      </c>
      <c r="G559">
        <v>80</v>
      </c>
    </row>
    <row r="560" spans="1:7" x14ac:dyDescent="0.2">
      <c r="A560" s="2">
        <v>45644</v>
      </c>
      <c r="B560" t="s">
        <v>1298</v>
      </c>
      <c r="C560" t="s">
        <v>1</v>
      </c>
      <c r="D560" t="s">
        <v>3</v>
      </c>
      <c r="E560">
        <v>1</v>
      </c>
      <c r="F560" t="s">
        <v>4027</v>
      </c>
      <c r="G560">
        <v>78</v>
      </c>
    </row>
    <row r="561" spans="1:7" x14ac:dyDescent="0.2">
      <c r="A561" s="2">
        <v>45644</v>
      </c>
      <c r="B561" t="s">
        <v>1299</v>
      </c>
      <c r="C561" t="s">
        <v>1</v>
      </c>
      <c r="D561" t="s">
        <v>3</v>
      </c>
      <c r="E561">
        <v>1</v>
      </c>
      <c r="F561" t="s">
        <v>4027</v>
      </c>
      <c r="G561">
        <v>75</v>
      </c>
    </row>
    <row r="562" spans="1:7" x14ac:dyDescent="0.2">
      <c r="A562" s="2">
        <v>45644</v>
      </c>
      <c r="B562" t="s">
        <v>1300</v>
      </c>
      <c r="C562" t="s">
        <v>1</v>
      </c>
      <c r="D562" t="s">
        <v>3</v>
      </c>
      <c r="E562">
        <v>1</v>
      </c>
      <c r="F562" t="s">
        <v>4027</v>
      </c>
      <c r="G562">
        <v>75</v>
      </c>
    </row>
    <row r="563" spans="1:7" x14ac:dyDescent="0.2">
      <c r="A563" s="2">
        <v>45644</v>
      </c>
      <c r="B563" t="s">
        <v>1301</v>
      </c>
      <c r="C563" t="s">
        <v>1</v>
      </c>
      <c r="D563" t="s">
        <v>3</v>
      </c>
      <c r="E563">
        <v>1</v>
      </c>
      <c r="F563" t="s">
        <v>4027</v>
      </c>
      <c r="G563">
        <v>80</v>
      </c>
    </row>
    <row r="564" spans="1:7" x14ac:dyDescent="0.2">
      <c r="A564" s="2">
        <v>45644</v>
      </c>
      <c r="B564" t="s">
        <v>1302</v>
      </c>
      <c r="C564" t="s">
        <v>1</v>
      </c>
      <c r="D564" t="s">
        <v>3</v>
      </c>
      <c r="E564">
        <v>1</v>
      </c>
      <c r="F564" t="s">
        <v>4027</v>
      </c>
      <c r="G564">
        <v>68</v>
      </c>
    </row>
    <row r="565" spans="1:7" x14ac:dyDescent="0.2">
      <c r="A565" s="2">
        <v>45644</v>
      </c>
      <c r="B565" t="s">
        <v>1303</v>
      </c>
      <c r="C565" t="s">
        <v>1</v>
      </c>
      <c r="D565" t="s">
        <v>3</v>
      </c>
      <c r="E565">
        <v>1</v>
      </c>
      <c r="F565" t="s">
        <v>4027</v>
      </c>
      <c r="G565">
        <v>73</v>
      </c>
    </row>
    <row r="566" spans="1:7" x14ac:dyDescent="0.2">
      <c r="A566" s="2">
        <v>45644</v>
      </c>
      <c r="B566" t="s">
        <v>1304</v>
      </c>
      <c r="C566" t="s">
        <v>1</v>
      </c>
      <c r="D566" t="s">
        <v>3</v>
      </c>
      <c r="E566">
        <v>1</v>
      </c>
      <c r="F566" t="s">
        <v>4027</v>
      </c>
      <c r="G566">
        <v>77</v>
      </c>
    </row>
    <row r="567" spans="1:7" x14ac:dyDescent="0.2">
      <c r="A567" s="2">
        <v>45644</v>
      </c>
      <c r="B567" t="s">
        <v>1305</v>
      </c>
      <c r="C567" t="s">
        <v>1</v>
      </c>
      <c r="D567" t="s">
        <v>3</v>
      </c>
      <c r="E567">
        <v>1</v>
      </c>
      <c r="F567" t="s">
        <v>4027</v>
      </c>
      <c r="G567">
        <v>87</v>
      </c>
    </row>
    <row r="568" spans="1:7" x14ac:dyDescent="0.2">
      <c r="A568" s="2">
        <v>45644</v>
      </c>
      <c r="B568" t="s">
        <v>1306</v>
      </c>
      <c r="C568" t="s">
        <v>1</v>
      </c>
      <c r="D568" t="s">
        <v>3</v>
      </c>
      <c r="E568">
        <v>1</v>
      </c>
      <c r="F568" t="s">
        <v>4027</v>
      </c>
      <c r="G568">
        <v>75</v>
      </c>
    </row>
    <row r="569" spans="1:7" x14ac:dyDescent="0.2">
      <c r="A569" s="2">
        <v>45644</v>
      </c>
      <c r="B569" t="s">
        <v>1307</v>
      </c>
      <c r="C569" t="s">
        <v>1</v>
      </c>
      <c r="D569" t="s">
        <v>3</v>
      </c>
      <c r="E569">
        <v>1</v>
      </c>
      <c r="F569" t="s">
        <v>4027</v>
      </c>
      <c r="G569">
        <v>63</v>
      </c>
    </row>
    <row r="570" spans="1:7" x14ac:dyDescent="0.2">
      <c r="A570" s="2">
        <v>45644</v>
      </c>
      <c r="B570" t="s">
        <v>1308</v>
      </c>
      <c r="C570" t="s">
        <v>1</v>
      </c>
      <c r="D570" t="s">
        <v>3</v>
      </c>
      <c r="E570">
        <v>1</v>
      </c>
      <c r="F570" t="s">
        <v>4027</v>
      </c>
      <c r="G570">
        <v>69</v>
      </c>
    </row>
    <row r="571" spans="1:7" x14ac:dyDescent="0.2">
      <c r="A571" s="2">
        <v>45645</v>
      </c>
      <c r="B571" t="s">
        <v>1318</v>
      </c>
      <c r="C571" t="s">
        <v>1</v>
      </c>
      <c r="D571" t="s">
        <v>3</v>
      </c>
      <c r="E571">
        <v>1</v>
      </c>
      <c r="F571" t="s">
        <v>4027</v>
      </c>
      <c r="G571">
        <v>70</v>
      </c>
    </row>
    <row r="572" spans="1:7" x14ac:dyDescent="0.2">
      <c r="A572" s="2">
        <v>45645</v>
      </c>
      <c r="B572" t="s">
        <v>1309</v>
      </c>
      <c r="C572" t="s">
        <v>1</v>
      </c>
      <c r="D572" t="s">
        <v>3</v>
      </c>
      <c r="E572">
        <v>1</v>
      </c>
      <c r="F572" t="s">
        <v>4027</v>
      </c>
      <c r="G572">
        <v>87</v>
      </c>
    </row>
    <row r="573" spans="1:7" x14ac:dyDescent="0.2">
      <c r="A573" s="2">
        <v>45645</v>
      </c>
      <c r="B573" t="s">
        <v>1310</v>
      </c>
      <c r="C573" t="s">
        <v>1</v>
      </c>
      <c r="D573" t="s">
        <v>3</v>
      </c>
      <c r="E573">
        <v>1</v>
      </c>
      <c r="F573" t="s">
        <v>4027</v>
      </c>
      <c r="G573">
        <v>75</v>
      </c>
    </row>
    <row r="574" spans="1:7" x14ac:dyDescent="0.2">
      <c r="A574" s="2">
        <v>45645</v>
      </c>
      <c r="B574" t="s">
        <v>1311</v>
      </c>
      <c r="C574" t="s">
        <v>1</v>
      </c>
      <c r="D574" t="s">
        <v>3</v>
      </c>
      <c r="E574">
        <v>1</v>
      </c>
      <c r="F574" t="s">
        <v>4027</v>
      </c>
      <c r="G574">
        <v>84</v>
      </c>
    </row>
    <row r="575" spans="1:7" x14ac:dyDescent="0.2">
      <c r="A575" s="2">
        <v>45645</v>
      </c>
      <c r="B575" t="s">
        <v>1312</v>
      </c>
      <c r="C575" t="s">
        <v>1</v>
      </c>
      <c r="D575" t="s">
        <v>3</v>
      </c>
      <c r="E575">
        <v>1</v>
      </c>
      <c r="F575" t="s">
        <v>4027</v>
      </c>
      <c r="G575">
        <v>67</v>
      </c>
    </row>
    <row r="576" spans="1:7" x14ac:dyDescent="0.2">
      <c r="A576" s="2">
        <v>45645</v>
      </c>
      <c r="B576" t="s">
        <v>1313</v>
      </c>
      <c r="C576" t="s">
        <v>1</v>
      </c>
      <c r="D576" t="s">
        <v>3</v>
      </c>
      <c r="E576">
        <v>1</v>
      </c>
      <c r="F576" t="s">
        <v>4027</v>
      </c>
      <c r="G576">
        <v>64</v>
      </c>
    </row>
    <row r="577" spans="1:7" x14ac:dyDescent="0.2">
      <c r="A577" s="2">
        <v>45645</v>
      </c>
      <c r="B577" t="s">
        <v>1314</v>
      </c>
      <c r="C577" t="s">
        <v>1</v>
      </c>
      <c r="D577" t="s">
        <v>3</v>
      </c>
      <c r="E577">
        <v>1</v>
      </c>
      <c r="F577" t="s">
        <v>4027</v>
      </c>
      <c r="G577">
        <v>69</v>
      </c>
    </row>
    <row r="578" spans="1:7" x14ac:dyDescent="0.2">
      <c r="A578" s="2">
        <v>45645</v>
      </c>
      <c r="B578" t="s">
        <v>1317</v>
      </c>
      <c r="C578" t="s">
        <v>1</v>
      </c>
      <c r="D578" t="s">
        <v>3</v>
      </c>
      <c r="E578">
        <v>1</v>
      </c>
      <c r="F578" t="s">
        <v>4027</v>
      </c>
      <c r="G578">
        <v>76</v>
      </c>
    </row>
    <row r="579" spans="1:7" x14ac:dyDescent="0.2">
      <c r="A579" s="2">
        <v>45645</v>
      </c>
      <c r="B579" t="s">
        <v>1315</v>
      </c>
      <c r="C579" t="s">
        <v>1</v>
      </c>
      <c r="D579" t="s">
        <v>3</v>
      </c>
      <c r="E579">
        <v>1</v>
      </c>
      <c r="F579" t="s">
        <v>4027</v>
      </c>
      <c r="G579">
        <v>79</v>
      </c>
    </row>
    <row r="580" spans="1:7" x14ac:dyDescent="0.2">
      <c r="A580" s="2">
        <v>45645</v>
      </c>
      <c r="B580" t="s">
        <v>1316</v>
      </c>
      <c r="C580" t="s">
        <v>1</v>
      </c>
      <c r="D580" t="s">
        <v>3</v>
      </c>
      <c r="E580">
        <v>1</v>
      </c>
      <c r="F580" t="s">
        <v>4027</v>
      </c>
      <c r="G580">
        <v>81</v>
      </c>
    </row>
    <row r="581" spans="1:7" x14ac:dyDescent="0.2">
      <c r="A581" s="2">
        <v>45645</v>
      </c>
      <c r="B581" t="s">
        <v>1319</v>
      </c>
      <c r="C581" t="s">
        <v>1</v>
      </c>
      <c r="D581" t="s">
        <v>3</v>
      </c>
      <c r="E581">
        <v>1</v>
      </c>
      <c r="F581" t="s">
        <v>4027</v>
      </c>
      <c r="G581">
        <v>60</v>
      </c>
    </row>
    <row r="582" spans="1:7" x14ac:dyDescent="0.2">
      <c r="A582" s="2">
        <v>45645</v>
      </c>
      <c r="B582" t="s">
        <v>1320</v>
      </c>
      <c r="C582" t="s">
        <v>1</v>
      </c>
      <c r="D582" t="s">
        <v>3</v>
      </c>
      <c r="E582">
        <v>1</v>
      </c>
      <c r="F582" t="s">
        <v>4027</v>
      </c>
      <c r="G582">
        <v>82</v>
      </c>
    </row>
    <row r="583" spans="1:7" x14ac:dyDescent="0.2">
      <c r="A583" s="2">
        <v>45646</v>
      </c>
      <c r="B583" t="s">
        <v>1322</v>
      </c>
      <c r="C583" t="s">
        <v>1</v>
      </c>
      <c r="D583" t="s">
        <v>3</v>
      </c>
      <c r="E583">
        <v>1</v>
      </c>
      <c r="F583" t="s">
        <v>4027</v>
      </c>
      <c r="G583">
        <v>70</v>
      </c>
    </row>
    <row r="584" spans="1:7" x14ac:dyDescent="0.2">
      <c r="A584" s="2">
        <v>45646</v>
      </c>
      <c r="B584" t="s">
        <v>1335</v>
      </c>
      <c r="C584" t="s">
        <v>1</v>
      </c>
      <c r="D584" t="s">
        <v>3</v>
      </c>
      <c r="E584">
        <v>1</v>
      </c>
      <c r="F584" t="s">
        <v>4027</v>
      </c>
      <c r="G584">
        <v>86</v>
      </c>
    </row>
    <row r="585" spans="1:7" x14ac:dyDescent="0.2">
      <c r="A585" s="2">
        <v>45646</v>
      </c>
      <c r="B585" t="s">
        <v>1334</v>
      </c>
      <c r="C585" t="s">
        <v>1</v>
      </c>
      <c r="D585" t="s">
        <v>3</v>
      </c>
      <c r="E585">
        <v>1</v>
      </c>
      <c r="F585" t="s">
        <v>4027</v>
      </c>
      <c r="G585">
        <v>72</v>
      </c>
    </row>
    <row r="586" spans="1:7" x14ac:dyDescent="0.2">
      <c r="A586" s="2">
        <v>45646</v>
      </c>
      <c r="B586" t="s">
        <v>1333</v>
      </c>
      <c r="C586" t="s">
        <v>1</v>
      </c>
      <c r="D586" t="s">
        <v>3</v>
      </c>
      <c r="E586">
        <v>1</v>
      </c>
      <c r="F586" t="s">
        <v>4027</v>
      </c>
      <c r="G586">
        <v>67</v>
      </c>
    </row>
    <row r="587" spans="1:7" x14ac:dyDescent="0.2">
      <c r="A587" s="2">
        <v>45646</v>
      </c>
      <c r="B587" t="s">
        <v>1321</v>
      </c>
      <c r="C587" t="s">
        <v>1</v>
      </c>
      <c r="D587" t="s">
        <v>3</v>
      </c>
      <c r="E587">
        <v>1</v>
      </c>
      <c r="F587" t="s">
        <v>4027</v>
      </c>
      <c r="G587">
        <v>87</v>
      </c>
    </row>
    <row r="588" spans="1:7" x14ac:dyDescent="0.2">
      <c r="A588" s="2">
        <v>45646</v>
      </c>
      <c r="B588" t="s">
        <v>1330</v>
      </c>
      <c r="C588" t="s">
        <v>1</v>
      </c>
      <c r="D588" t="s">
        <v>3</v>
      </c>
      <c r="E588">
        <v>1</v>
      </c>
      <c r="F588" t="s">
        <v>4027</v>
      </c>
      <c r="G588">
        <v>67</v>
      </c>
    </row>
    <row r="589" spans="1:7" x14ac:dyDescent="0.2">
      <c r="A589" s="2">
        <v>45646</v>
      </c>
      <c r="B589" t="s">
        <v>1329</v>
      </c>
      <c r="C589" t="s">
        <v>1</v>
      </c>
      <c r="D589" t="s">
        <v>3</v>
      </c>
      <c r="E589">
        <v>1</v>
      </c>
      <c r="F589" t="s">
        <v>4027</v>
      </c>
      <c r="G589">
        <v>83</v>
      </c>
    </row>
    <row r="590" spans="1:7" x14ac:dyDescent="0.2">
      <c r="A590" s="2">
        <v>45646</v>
      </c>
      <c r="B590" t="s">
        <v>1332</v>
      </c>
      <c r="C590" t="s">
        <v>1</v>
      </c>
      <c r="D590" t="s">
        <v>3</v>
      </c>
      <c r="E590">
        <v>1</v>
      </c>
      <c r="F590" t="s">
        <v>4027</v>
      </c>
      <c r="G590">
        <v>75</v>
      </c>
    </row>
    <row r="591" spans="1:7" x14ac:dyDescent="0.2">
      <c r="A591" s="2">
        <v>45646</v>
      </c>
      <c r="B591" t="s">
        <v>1327</v>
      </c>
      <c r="C591" t="s">
        <v>1</v>
      </c>
      <c r="D591" t="s">
        <v>3</v>
      </c>
      <c r="E591">
        <v>1</v>
      </c>
      <c r="F591" t="s">
        <v>4027</v>
      </c>
      <c r="G591">
        <v>67</v>
      </c>
    </row>
    <row r="592" spans="1:7" x14ac:dyDescent="0.2">
      <c r="A592" s="2">
        <v>45646</v>
      </c>
      <c r="B592" t="s">
        <v>1326</v>
      </c>
      <c r="C592" t="s">
        <v>1</v>
      </c>
      <c r="D592" t="s">
        <v>3</v>
      </c>
      <c r="E592">
        <v>1</v>
      </c>
      <c r="F592" t="s">
        <v>4027</v>
      </c>
      <c r="G592">
        <v>71</v>
      </c>
    </row>
    <row r="593" spans="1:7" x14ac:dyDescent="0.2">
      <c r="A593" s="2">
        <v>45646</v>
      </c>
      <c r="B593" t="s">
        <v>1325</v>
      </c>
      <c r="C593" t="s">
        <v>1</v>
      </c>
      <c r="D593" t="s">
        <v>3</v>
      </c>
      <c r="E593">
        <v>1</v>
      </c>
      <c r="F593" t="s">
        <v>4027</v>
      </c>
      <c r="G593">
        <v>69</v>
      </c>
    </row>
    <row r="594" spans="1:7" x14ac:dyDescent="0.2">
      <c r="A594" s="2">
        <v>45646</v>
      </c>
      <c r="B594" t="s">
        <v>1324</v>
      </c>
      <c r="C594" t="s">
        <v>1</v>
      </c>
      <c r="D594" t="s">
        <v>3</v>
      </c>
      <c r="E594">
        <v>1</v>
      </c>
      <c r="F594" t="s">
        <v>4027</v>
      </c>
      <c r="G594">
        <v>61</v>
      </c>
    </row>
    <row r="595" spans="1:7" x14ac:dyDescent="0.2">
      <c r="A595" s="2">
        <v>45646</v>
      </c>
      <c r="B595" t="s">
        <v>1323</v>
      </c>
      <c r="C595" t="s">
        <v>1</v>
      </c>
      <c r="D595" t="s">
        <v>3</v>
      </c>
      <c r="E595">
        <v>1</v>
      </c>
      <c r="F595" t="s">
        <v>4027</v>
      </c>
      <c r="G595">
        <v>72</v>
      </c>
    </row>
    <row r="596" spans="1:7" x14ac:dyDescent="0.2">
      <c r="A596" s="2">
        <v>45646</v>
      </c>
      <c r="B596" t="s">
        <v>1328</v>
      </c>
      <c r="C596" t="s">
        <v>1</v>
      </c>
      <c r="D596" t="s">
        <v>3</v>
      </c>
      <c r="E596">
        <v>1</v>
      </c>
      <c r="F596" t="s">
        <v>4027</v>
      </c>
      <c r="G596">
        <v>75</v>
      </c>
    </row>
    <row r="597" spans="1:7" x14ac:dyDescent="0.2">
      <c r="A597" s="2">
        <v>45646</v>
      </c>
      <c r="B597" t="s">
        <v>1331</v>
      </c>
      <c r="C597" t="s">
        <v>1</v>
      </c>
      <c r="D597" t="s">
        <v>3</v>
      </c>
      <c r="E597">
        <v>1</v>
      </c>
      <c r="F597" t="s">
        <v>4027</v>
      </c>
      <c r="G597">
        <v>80</v>
      </c>
    </row>
    <row r="598" spans="1:7" x14ac:dyDescent="0.2">
      <c r="A598" s="2">
        <v>45650</v>
      </c>
      <c r="B598" t="s">
        <v>1341</v>
      </c>
      <c r="C598" t="s">
        <v>1</v>
      </c>
      <c r="D598" t="s">
        <v>3</v>
      </c>
      <c r="E598">
        <v>1</v>
      </c>
      <c r="F598" t="s">
        <v>4027</v>
      </c>
      <c r="G598">
        <v>70</v>
      </c>
    </row>
    <row r="599" spans="1:7" x14ac:dyDescent="0.2">
      <c r="A599" s="2">
        <v>45650</v>
      </c>
      <c r="B599" t="s">
        <v>1336</v>
      </c>
      <c r="C599" t="s">
        <v>1</v>
      </c>
      <c r="D599" t="s">
        <v>3</v>
      </c>
      <c r="E599">
        <v>1</v>
      </c>
      <c r="F599" t="s">
        <v>4027</v>
      </c>
      <c r="G599">
        <v>87</v>
      </c>
    </row>
    <row r="600" spans="1:7" x14ac:dyDescent="0.2">
      <c r="A600" s="2">
        <v>45650</v>
      </c>
      <c r="B600" t="s">
        <v>1337</v>
      </c>
      <c r="C600" t="s">
        <v>1</v>
      </c>
      <c r="D600" t="s">
        <v>3</v>
      </c>
      <c r="E600">
        <v>1</v>
      </c>
      <c r="F600" t="s">
        <v>4027</v>
      </c>
      <c r="G600">
        <v>73</v>
      </c>
    </row>
    <row r="601" spans="1:7" x14ac:dyDescent="0.2">
      <c r="A601" s="2">
        <v>45650</v>
      </c>
      <c r="B601" t="s">
        <v>1338</v>
      </c>
      <c r="C601" t="s">
        <v>1</v>
      </c>
      <c r="D601" t="s">
        <v>3</v>
      </c>
      <c r="E601">
        <v>1</v>
      </c>
      <c r="F601" t="s">
        <v>4027</v>
      </c>
      <c r="G601">
        <v>65</v>
      </c>
    </row>
    <row r="602" spans="1:7" x14ac:dyDescent="0.2">
      <c r="A602" s="2">
        <v>45650</v>
      </c>
      <c r="B602" t="s">
        <v>1339</v>
      </c>
      <c r="C602" t="s">
        <v>1</v>
      </c>
      <c r="D602" t="s">
        <v>3</v>
      </c>
      <c r="E602">
        <v>1</v>
      </c>
      <c r="F602" t="s">
        <v>4027</v>
      </c>
      <c r="G602">
        <v>65</v>
      </c>
    </row>
    <row r="603" spans="1:7" x14ac:dyDescent="0.2">
      <c r="A603" s="2">
        <v>45650</v>
      </c>
      <c r="B603" t="s">
        <v>1340</v>
      </c>
      <c r="C603" t="s">
        <v>1</v>
      </c>
      <c r="D603" t="s">
        <v>3</v>
      </c>
      <c r="E603">
        <v>1</v>
      </c>
      <c r="F603" t="s">
        <v>4027</v>
      </c>
      <c r="G603">
        <v>63</v>
      </c>
    </row>
    <row r="604" spans="1:7" x14ac:dyDescent="0.2">
      <c r="A604" s="2">
        <v>45652</v>
      </c>
      <c r="B604" t="s">
        <v>1342</v>
      </c>
      <c r="C604" t="s">
        <v>1</v>
      </c>
      <c r="D604" t="s">
        <v>3</v>
      </c>
      <c r="E604">
        <v>1</v>
      </c>
      <c r="F604" t="s">
        <v>4027</v>
      </c>
      <c r="G604">
        <v>73</v>
      </c>
    </row>
    <row r="605" spans="1:7" x14ac:dyDescent="0.2">
      <c r="A605" s="2">
        <v>45652</v>
      </c>
      <c r="B605" t="s">
        <v>1344</v>
      </c>
      <c r="C605" t="s">
        <v>1</v>
      </c>
      <c r="D605" t="s">
        <v>3</v>
      </c>
      <c r="E605">
        <v>1</v>
      </c>
      <c r="F605" t="s">
        <v>4027</v>
      </c>
      <c r="G605">
        <v>85</v>
      </c>
    </row>
    <row r="606" spans="1:7" x14ac:dyDescent="0.2">
      <c r="A606" s="2">
        <v>45652</v>
      </c>
      <c r="B606" t="s">
        <v>1345</v>
      </c>
      <c r="C606" t="s">
        <v>1</v>
      </c>
      <c r="D606" t="s">
        <v>3</v>
      </c>
      <c r="E606">
        <v>1</v>
      </c>
      <c r="F606" t="s">
        <v>4027</v>
      </c>
      <c r="G606">
        <v>64</v>
      </c>
    </row>
    <row r="607" spans="1:7" x14ac:dyDescent="0.2">
      <c r="A607" s="2">
        <v>45652</v>
      </c>
      <c r="B607" t="s">
        <v>1346</v>
      </c>
      <c r="C607" t="s">
        <v>1</v>
      </c>
      <c r="D607" t="s">
        <v>3</v>
      </c>
      <c r="E607">
        <v>1</v>
      </c>
      <c r="F607" t="s">
        <v>4027</v>
      </c>
      <c r="G607">
        <v>70</v>
      </c>
    </row>
    <row r="608" spans="1:7" x14ac:dyDescent="0.2">
      <c r="A608" s="2">
        <v>45652</v>
      </c>
      <c r="B608" t="s">
        <v>1347</v>
      </c>
      <c r="C608" t="s">
        <v>1</v>
      </c>
      <c r="D608" t="s">
        <v>3</v>
      </c>
      <c r="E608">
        <v>1</v>
      </c>
      <c r="F608" t="s">
        <v>4027</v>
      </c>
      <c r="G608">
        <v>63</v>
      </c>
    </row>
    <row r="609" spans="1:7" x14ac:dyDescent="0.2">
      <c r="A609" s="2">
        <v>45652</v>
      </c>
      <c r="B609" t="s">
        <v>1348</v>
      </c>
      <c r="C609" t="s">
        <v>1</v>
      </c>
      <c r="D609" t="s">
        <v>3</v>
      </c>
      <c r="E609">
        <v>1</v>
      </c>
      <c r="F609" t="s">
        <v>4027</v>
      </c>
      <c r="G609">
        <v>84</v>
      </c>
    </row>
    <row r="610" spans="1:7" x14ac:dyDescent="0.2">
      <c r="A610" s="2">
        <v>45652</v>
      </c>
      <c r="B610" t="s">
        <v>1349</v>
      </c>
      <c r="C610" t="s">
        <v>1</v>
      </c>
      <c r="D610" t="s">
        <v>3</v>
      </c>
      <c r="E610">
        <v>1</v>
      </c>
      <c r="F610" t="s">
        <v>4027</v>
      </c>
      <c r="G610">
        <v>65</v>
      </c>
    </row>
    <row r="611" spans="1:7" x14ac:dyDescent="0.2">
      <c r="A611" s="2">
        <v>45652</v>
      </c>
      <c r="B611" t="s">
        <v>1350</v>
      </c>
      <c r="C611" t="s">
        <v>1</v>
      </c>
      <c r="D611" t="s">
        <v>3</v>
      </c>
      <c r="E611">
        <v>1</v>
      </c>
      <c r="F611" t="s">
        <v>4027</v>
      </c>
      <c r="G611">
        <v>88</v>
      </c>
    </row>
    <row r="612" spans="1:7" x14ac:dyDescent="0.2">
      <c r="A612" s="2">
        <v>45652</v>
      </c>
      <c r="B612" t="s">
        <v>1351</v>
      </c>
      <c r="C612" t="s">
        <v>1</v>
      </c>
      <c r="D612" t="s">
        <v>3</v>
      </c>
      <c r="E612">
        <v>1</v>
      </c>
      <c r="F612" t="s">
        <v>4027</v>
      </c>
      <c r="G612">
        <v>69</v>
      </c>
    </row>
    <row r="613" spans="1:7" x14ac:dyDescent="0.2">
      <c r="A613" s="2">
        <v>45652</v>
      </c>
      <c r="B613" t="s">
        <v>1352</v>
      </c>
      <c r="C613" t="s">
        <v>1</v>
      </c>
      <c r="D613" t="s">
        <v>3</v>
      </c>
      <c r="E613">
        <v>1</v>
      </c>
      <c r="F613" t="s">
        <v>4027</v>
      </c>
      <c r="G613">
        <v>74</v>
      </c>
    </row>
    <row r="614" spans="1:7" x14ac:dyDescent="0.2">
      <c r="A614" s="2">
        <v>45652</v>
      </c>
      <c r="B614" t="s">
        <v>806</v>
      </c>
      <c r="C614" t="s">
        <v>2</v>
      </c>
      <c r="D614" t="s">
        <v>4</v>
      </c>
      <c r="E614">
        <v>1</v>
      </c>
      <c r="F614" t="s">
        <v>600</v>
      </c>
      <c r="G614">
        <v>22</v>
      </c>
    </row>
    <row r="615" spans="1:7" x14ac:dyDescent="0.2">
      <c r="A615" s="2">
        <v>45652</v>
      </c>
      <c r="B615" t="s">
        <v>1343</v>
      </c>
      <c r="C615" t="s">
        <v>1</v>
      </c>
      <c r="D615" t="s">
        <v>3</v>
      </c>
      <c r="E615">
        <v>1</v>
      </c>
      <c r="F615" t="s">
        <v>4027</v>
      </c>
      <c r="G615">
        <v>68</v>
      </c>
    </row>
    <row r="616" spans="1:7" x14ac:dyDescent="0.2">
      <c r="A616" s="2">
        <v>45653</v>
      </c>
      <c r="B616" t="s">
        <v>1363</v>
      </c>
      <c r="C616" t="s">
        <v>1</v>
      </c>
      <c r="D616" t="s">
        <v>3</v>
      </c>
      <c r="E616">
        <v>1</v>
      </c>
      <c r="F616" t="s">
        <v>4027</v>
      </c>
      <c r="G616">
        <v>84</v>
      </c>
    </row>
    <row r="617" spans="1:7" x14ac:dyDescent="0.2">
      <c r="A617" s="2">
        <v>45653</v>
      </c>
      <c r="B617" t="s">
        <v>1362</v>
      </c>
      <c r="C617" t="s">
        <v>1</v>
      </c>
      <c r="D617" t="s">
        <v>3</v>
      </c>
      <c r="E617">
        <v>1</v>
      </c>
      <c r="F617" t="s">
        <v>4027</v>
      </c>
      <c r="G617">
        <v>85</v>
      </c>
    </row>
    <row r="618" spans="1:7" x14ac:dyDescent="0.2">
      <c r="A618" s="2">
        <v>45653</v>
      </c>
      <c r="B618" t="s">
        <v>1361</v>
      </c>
      <c r="C618" t="s">
        <v>1</v>
      </c>
      <c r="D618" t="s">
        <v>3</v>
      </c>
      <c r="E618">
        <v>1</v>
      </c>
      <c r="F618" t="s">
        <v>4027</v>
      </c>
      <c r="G618">
        <v>78</v>
      </c>
    </row>
    <row r="619" spans="1:7" x14ac:dyDescent="0.2">
      <c r="A619" s="2">
        <v>45653</v>
      </c>
      <c r="B619" t="s">
        <v>1360</v>
      </c>
      <c r="C619" t="s">
        <v>1</v>
      </c>
      <c r="D619" t="s">
        <v>3</v>
      </c>
      <c r="E619">
        <v>1</v>
      </c>
      <c r="F619" t="s">
        <v>4027</v>
      </c>
      <c r="G619">
        <v>63</v>
      </c>
    </row>
    <row r="620" spans="1:7" x14ac:dyDescent="0.2">
      <c r="A620" s="2">
        <v>45653</v>
      </c>
      <c r="B620" t="s">
        <v>1359</v>
      </c>
      <c r="C620" t="s">
        <v>1</v>
      </c>
      <c r="D620" t="s">
        <v>3</v>
      </c>
      <c r="E620">
        <v>1</v>
      </c>
      <c r="F620" t="s">
        <v>4027</v>
      </c>
      <c r="G620">
        <v>82</v>
      </c>
    </row>
    <row r="621" spans="1:7" x14ac:dyDescent="0.2">
      <c r="A621" s="2">
        <v>45653</v>
      </c>
      <c r="B621" t="s">
        <v>1355</v>
      </c>
      <c r="C621" t="s">
        <v>1</v>
      </c>
      <c r="D621" t="s">
        <v>3</v>
      </c>
      <c r="E621">
        <v>1</v>
      </c>
      <c r="F621" t="s">
        <v>4027</v>
      </c>
      <c r="G621">
        <v>74</v>
      </c>
    </row>
    <row r="622" spans="1:7" x14ac:dyDescent="0.2">
      <c r="A622" s="2">
        <v>45653</v>
      </c>
      <c r="B622" t="s">
        <v>1357</v>
      </c>
      <c r="C622" t="s">
        <v>1</v>
      </c>
      <c r="D622" t="s">
        <v>3</v>
      </c>
      <c r="E622">
        <v>1</v>
      </c>
      <c r="F622" t="s">
        <v>4027</v>
      </c>
      <c r="G622">
        <v>74</v>
      </c>
    </row>
    <row r="623" spans="1:7" x14ac:dyDescent="0.2">
      <c r="A623" s="2">
        <v>45653</v>
      </c>
      <c r="B623" t="s">
        <v>1356</v>
      </c>
      <c r="C623" t="s">
        <v>1</v>
      </c>
      <c r="D623" t="s">
        <v>3</v>
      </c>
      <c r="E623">
        <v>1</v>
      </c>
      <c r="F623" t="s">
        <v>4027</v>
      </c>
      <c r="G623">
        <v>65</v>
      </c>
    </row>
    <row r="624" spans="1:7" x14ac:dyDescent="0.2">
      <c r="A624" s="2">
        <v>45653</v>
      </c>
      <c r="B624" t="s">
        <v>1365</v>
      </c>
      <c r="C624" t="s">
        <v>1</v>
      </c>
      <c r="D624" t="s">
        <v>3</v>
      </c>
      <c r="E624">
        <v>1</v>
      </c>
      <c r="F624" t="s">
        <v>4027</v>
      </c>
      <c r="G624">
        <v>62</v>
      </c>
    </row>
    <row r="625" spans="1:7" x14ac:dyDescent="0.2">
      <c r="A625" s="2">
        <v>45653</v>
      </c>
      <c r="B625" t="s">
        <v>1354</v>
      </c>
      <c r="C625" t="s">
        <v>1</v>
      </c>
      <c r="D625" t="s">
        <v>3</v>
      </c>
      <c r="E625">
        <v>1</v>
      </c>
      <c r="F625" t="s">
        <v>4027</v>
      </c>
      <c r="G625">
        <v>61</v>
      </c>
    </row>
    <row r="626" spans="1:7" x14ac:dyDescent="0.2">
      <c r="A626" s="2">
        <v>45653</v>
      </c>
      <c r="B626" t="s">
        <v>1353</v>
      </c>
      <c r="C626" t="s">
        <v>1</v>
      </c>
      <c r="D626" t="s">
        <v>3</v>
      </c>
      <c r="E626">
        <v>1</v>
      </c>
      <c r="F626" t="s">
        <v>4027</v>
      </c>
      <c r="G626">
        <v>82</v>
      </c>
    </row>
    <row r="627" spans="1:7" x14ac:dyDescent="0.2">
      <c r="A627" s="2">
        <v>45653</v>
      </c>
      <c r="B627" t="s">
        <v>1358</v>
      </c>
      <c r="C627" t="s">
        <v>1</v>
      </c>
      <c r="D627" t="s">
        <v>3</v>
      </c>
      <c r="E627">
        <v>1</v>
      </c>
      <c r="F627" t="s">
        <v>4027</v>
      </c>
      <c r="G627">
        <v>65</v>
      </c>
    </row>
    <row r="628" spans="1:7" x14ac:dyDescent="0.2">
      <c r="A628" s="2">
        <v>45653</v>
      </c>
      <c r="B628" t="s">
        <v>1364</v>
      </c>
      <c r="C628" t="s">
        <v>1</v>
      </c>
      <c r="D628" t="s">
        <v>3</v>
      </c>
      <c r="E628">
        <v>1</v>
      </c>
      <c r="F628" t="s">
        <v>4027</v>
      </c>
      <c r="G628">
        <v>80</v>
      </c>
    </row>
    <row r="629" spans="1:7" x14ac:dyDescent="0.2">
      <c r="A629" s="2">
        <v>45654</v>
      </c>
      <c r="B629" t="s">
        <v>1366</v>
      </c>
      <c r="C629" t="s">
        <v>1</v>
      </c>
      <c r="D629" t="s">
        <v>3</v>
      </c>
      <c r="E629">
        <v>1</v>
      </c>
      <c r="F629" t="s">
        <v>4027</v>
      </c>
      <c r="G629">
        <v>82</v>
      </c>
    </row>
    <row r="630" spans="1:7" x14ac:dyDescent="0.2">
      <c r="A630" s="2">
        <v>45654</v>
      </c>
      <c r="B630" t="s">
        <v>1367</v>
      </c>
      <c r="C630" t="s">
        <v>1</v>
      </c>
      <c r="D630" t="s">
        <v>3</v>
      </c>
      <c r="E630">
        <v>1</v>
      </c>
      <c r="F630" t="s">
        <v>4027</v>
      </c>
      <c r="G630">
        <v>62</v>
      </c>
    </row>
    <row r="631" spans="1:7" x14ac:dyDescent="0.2">
      <c r="A631" s="2">
        <v>45654</v>
      </c>
      <c r="B631" t="s">
        <v>1368</v>
      </c>
      <c r="C631" t="s">
        <v>1</v>
      </c>
      <c r="D631" t="s">
        <v>3</v>
      </c>
      <c r="E631">
        <v>1</v>
      </c>
      <c r="F631" t="s">
        <v>4027</v>
      </c>
      <c r="G631">
        <v>84</v>
      </c>
    </row>
    <row r="632" spans="1:7" x14ac:dyDescent="0.2">
      <c r="A632" s="2">
        <v>45656</v>
      </c>
      <c r="B632" t="s">
        <v>1369</v>
      </c>
      <c r="C632" t="s">
        <v>1</v>
      </c>
      <c r="D632" t="s">
        <v>3</v>
      </c>
      <c r="E632">
        <v>1</v>
      </c>
      <c r="F632" t="s">
        <v>4027</v>
      </c>
      <c r="G632">
        <v>77</v>
      </c>
    </row>
    <row r="633" spans="1:7" x14ac:dyDescent="0.2">
      <c r="A633" s="2">
        <v>45656</v>
      </c>
      <c r="B633" t="s">
        <v>1370</v>
      </c>
      <c r="C633" t="s">
        <v>1</v>
      </c>
      <c r="D633" t="s">
        <v>3</v>
      </c>
      <c r="E633">
        <v>1</v>
      </c>
      <c r="F633" t="s">
        <v>4027</v>
      </c>
      <c r="G633">
        <v>62</v>
      </c>
    </row>
    <row r="634" spans="1:7" x14ac:dyDescent="0.2">
      <c r="A634" s="2">
        <v>45656</v>
      </c>
      <c r="B634" t="s">
        <v>1371</v>
      </c>
      <c r="C634" t="s">
        <v>1</v>
      </c>
      <c r="D634" t="s">
        <v>3</v>
      </c>
      <c r="E634">
        <v>1</v>
      </c>
      <c r="F634" t="s">
        <v>4027</v>
      </c>
      <c r="G634">
        <v>68</v>
      </c>
    </row>
    <row r="635" spans="1:7" x14ac:dyDescent="0.2">
      <c r="A635" s="2">
        <v>45656</v>
      </c>
      <c r="B635" t="s">
        <v>1372</v>
      </c>
      <c r="C635" t="s">
        <v>1</v>
      </c>
      <c r="D635" t="s">
        <v>3</v>
      </c>
      <c r="E635">
        <v>1</v>
      </c>
      <c r="F635" t="s">
        <v>4027</v>
      </c>
      <c r="G635">
        <v>61</v>
      </c>
    </row>
    <row r="636" spans="1:7" x14ac:dyDescent="0.2">
      <c r="A636" s="2">
        <v>45656</v>
      </c>
      <c r="B636" t="s">
        <v>1373</v>
      </c>
      <c r="C636" t="s">
        <v>1</v>
      </c>
      <c r="D636" t="s">
        <v>3</v>
      </c>
      <c r="E636">
        <v>1</v>
      </c>
      <c r="F636" t="s">
        <v>4027</v>
      </c>
      <c r="G636">
        <v>63</v>
      </c>
    </row>
    <row r="637" spans="1:7" x14ac:dyDescent="0.2">
      <c r="A637" s="2">
        <v>45657</v>
      </c>
      <c r="B637" t="s">
        <v>1381</v>
      </c>
      <c r="C637" t="s">
        <v>1</v>
      </c>
      <c r="D637" t="s">
        <v>3</v>
      </c>
      <c r="E637">
        <v>1</v>
      </c>
      <c r="F637" t="s">
        <v>4027</v>
      </c>
      <c r="G637">
        <v>78</v>
      </c>
    </row>
    <row r="638" spans="1:7" x14ac:dyDescent="0.2">
      <c r="A638" s="2">
        <v>45657</v>
      </c>
      <c r="B638" t="s">
        <v>1380</v>
      </c>
      <c r="C638" t="s">
        <v>1</v>
      </c>
      <c r="D638" t="s">
        <v>3</v>
      </c>
      <c r="E638">
        <v>1</v>
      </c>
      <c r="F638" t="s">
        <v>4027</v>
      </c>
      <c r="G638">
        <v>84</v>
      </c>
    </row>
    <row r="639" spans="1:7" x14ac:dyDescent="0.2">
      <c r="A639" s="2">
        <v>45657</v>
      </c>
      <c r="B639" t="s">
        <v>1379</v>
      </c>
      <c r="C639" t="s">
        <v>1</v>
      </c>
      <c r="D639" t="s">
        <v>3</v>
      </c>
      <c r="E639">
        <v>1</v>
      </c>
      <c r="F639" t="s">
        <v>4027</v>
      </c>
      <c r="G639">
        <v>61</v>
      </c>
    </row>
    <row r="640" spans="1:7" x14ac:dyDescent="0.2">
      <c r="A640" s="2">
        <v>45657</v>
      </c>
      <c r="B640" t="s">
        <v>1378</v>
      </c>
      <c r="C640" t="s">
        <v>1</v>
      </c>
      <c r="D640" t="s">
        <v>3</v>
      </c>
      <c r="E640">
        <v>1</v>
      </c>
      <c r="F640" t="s">
        <v>4027</v>
      </c>
      <c r="G640">
        <v>69</v>
      </c>
    </row>
    <row r="641" spans="1:7" x14ac:dyDescent="0.2">
      <c r="A641" s="2">
        <v>45657</v>
      </c>
      <c r="B641" t="s">
        <v>1377</v>
      </c>
      <c r="C641" t="s">
        <v>1</v>
      </c>
      <c r="D641" t="s">
        <v>3</v>
      </c>
      <c r="E641">
        <v>1</v>
      </c>
      <c r="F641" t="s">
        <v>4027</v>
      </c>
      <c r="G641">
        <v>83</v>
      </c>
    </row>
    <row r="642" spans="1:7" x14ac:dyDescent="0.2">
      <c r="A642" s="2">
        <v>45657</v>
      </c>
      <c r="B642" t="s">
        <v>1374</v>
      </c>
      <c r="C642" t="s">
        <v>1</v>
      </c>
      <c r="D642" t="s">
        <v>3</v>
      </c>
      <c r="E642">
        <v>1</v>
      </c>
      <c r="F642" t="s">
        <v>4027</v>
      </c>
      <c r="G642">
        <v>60</v>
      </c>
    </row>
    <row r="643" spans="1:7" x14ac:dyDescent="0.2">
      <c r="A643" s="2">
        <v>45657</v>
      </c>
      <c r="B643" t="s">
        <v>1375</v>
      </c>
      <c r="C643" t="s">
        <v>1</v>
      </c>
      <c r="D643" t="s">
        <v>3</v>
      </c>
      <c r="E643">
        <v>1</v>
      </c>
      <c r="F643" t="s">
        <v>4027</v>
      </c>
      <c r="G643">
        <v>75</v>
      </c>
    </row>
    <row r="644" spans="1:7" x14ac:dyDescent="0.2">
      <c r="A644" s="2">
        <v>45657</v>
      </c>
      <c r="B644" t="s">
        <v>1382</v>
      </c>
      <c r="C644" t="s">
        <v>1</v>
      </c>
      <c r="D644" t="s">
        <v>3</v>
      </c>
      <c r="E644">
        <v>1</v>
      </c>
      <c r="F644" t="s">
        <v>4027</v>
      </c>
      <c r="G644">
        <v>71</v>
      </c>
    </row>
    <row r="645" spans="1:7" x14ac:dyDescent="0.2">
      <c r="A645" s="2">
        <v>45657</v>
      </c>
      <c r="B645" t="s">
        <v>820</v>
      </c>
      <c r="C645" t="s">
        <v>2</v>
      </c>
      <c r="D645" t="s">
        <v>4</v>
      </c>
      <c r="E645">
        <v>1</v>
      </c>
      <c r="F645" t="s">
        <v>600</v>
      </c>
      <c r="G645">
        <v>22</v>
      </c>
    </row>
    <row r="646" spans="1:7" x14ac:dyDescent="0.2">
      <c r="A646" s="2">
        <v>45657</v>
      </c>
      <c r="B646" t="s">
        <v>821</v>
      </c>
      <c r="C646" t="s">
        <v>2</v>
      </c>
      <c r="D646" t="s">
        <v>4</v>
      </c>
      <c r="E646">
        <v>1</v>
      </c>
      <c r="F646" t="s">
        <v>600</v>
      </c>
      <c r="G646">
        <v>22</v>
      </c>
    </row>
    <row r="647" spans="1:7" x14ac:dyDescent="0.2">
      <c r="A647" s="2">
        <v>45657</v>
      </c>
      <c r="B647" t="s">
        <v>1376</v>
      </c>
      <c r="C647" t="s">
        <v>1</v>
      </c>
      <c r="D647" t="s">
        <v>3</v>
      </c>
      <c r="E647">
        <v>1</v>
      </c>
      <c r="F647" t="s">
        <v>4027</v>
      </c>
      <c r="G647">
        <v>74</v>
      </c>
    </row>
    <row r="648" spans="1:7" x14ac:dyDescent="0.2">
      <c r="A648" s="2">
        <v>45659</v>
      </c>
      <c r="B648" t="s">
        <v>1385</v>
      </c>
      <c r="C648" t="s">
        <v>1</v>
      </c>
      <c r="D648" t="s">
        <v>3</v>
      </c>
      <c r="E648">
        <v>1</v>
      </c>
      <c r="F648" t="s">
        <v>4027</v>
      </c>
      <c r="G648">
        <v>65</v>
      </c>
    </row>
    <row r="649" spans="1:7" x14ac:dyDescent="0.2">
      <c r="A649" s="2">
        <v>45659</v>
      </c>
      <c r="B649" t="s">
        <v>1384</v>
      </c>
      <c r="C649" t="s">
        <v>1</v>
      </c>
      <c r="D649" t="s">
        <v>3</v>
      </c>
      <c r="E649">
        <v>1</v>
      </c>
      <c r="F649" t="s">
        <v>4027</v>
      </c>
      <c r="G649">
        <v>83</v>
      </c>
    </row>
    <row r="650" spans="1:7" x14ac:dyDescent="0.2">
      <c r="A650" s="2">
        <v>45659</v>
      </c>
      <c r="B650" t="s">
        <v>1386</v>
      </c>
      <c r="C650" t="s">
        <v>1</v>
      </c>
      <c r="D650" t="s">
        <v>3</v>
      </c>
      <c r="E650">
        <v>1</v>
      </c>
      <c r="F650" t="s">
        <v>4027</v>
      </c>
      <c r="G650">
        <v>64</v>
      </c>
    </row>
    <row r="651" spans="1:7" x14ac:dyDescent="0.2">
      <c r="A651" s="2">
        <v>45659</v>
      </c>
      <c r="B651" t="s">
        <v>1383</v>
      </c>
      <c r="C651" t="s">
        <v>1</v>
      </c>
      <c r="D651" t="s">
        <v>3</v>
      </c>
      <c r="E651">
        <v>1</v>
      </c>
      <c r="F651" t="s">
        <v>4027</v>
      </c>
      <c r="G651">
        <v>87</v>
      </c>
    </row>
    <row r="652" spans="1:7" x14ac:dyDescent="0.2">
      <c r="A652" s="2">
        <v>45660</v>
      </c>
      <c r="B652" t="s">
        <v>1387</v>
      </c>
      <c r="C652" t="s">
        <v>1</v>
      </c>
      <c r="D652" t="s">
        <v>3</v>
      </c>
      <c r="E652">
        <v>1</v>
      </c>
      <c r="F652" t="s">
        <v>4027</v>
      </c>
      <c r="G652">
        <v>89</v>
      </c>
    </row>
    <row r="653" spans="1:7" x14ac:dyDescent="0.2">
      <c r="A653" s="2">
        <v>45660</v>
      </c>
      <c r="B653" t="s">
        <v>1388</v>
      </c>
      <c r="C653" t="s">
        <v>1</v>
      </c>
      <c r="D653" t="s">
        <v>3</v>
      </c>
      <c r="E653">
        <v>1</v>
      </c>
      <c r="F653" t="s">
        <v>4027</v>
      </c>
      <c r="G653">
        <v>73</v>
      </c>
    </row>
    <row r="654" spans="1:7" x14ac:dyDescent="0.2">
      <c r="A654" s="2">
        <v>45660</v>
      </c>
      <c r="B654" t="s">
        <v>1389</v>
      </c>
      <c r="C654" t="s">
        <v>1</v>
      </c>
      <c r="D654" t="s">
        <v>3</v>
      </c>
      <c r="E654">
        <v>1</v>
      </c>
      <c r="F654" t="s">
        <v>4027</v>
      </c>
      <c r="G654">
        <v>65</v>
      </c>
    </row>
    <row r="655" spans="1:7" x14ac:dyDescent="0.2">
      <c r="A655" s="2">
        <v>45660</v>
      </c>
      <c r="B655" t="s">
        <v>1390</v>
      </c>
      <c r="C655" t="s">
        <v>1</v>
      </c>
      <c r="D655" t="s">
        <v>3</v>
      </c>
      <c r="E655">
        <v>1</v>
      </c>
      <c r="F655" t="s">
        <v>4027</v>
      </c>
      <c r="G655">
        <v>74</v>
      </c>
    </row>
    <row r="656" spans="1:7" x14ac:dyDescent="0.2">
      <c r="A656" s="2">
        <v>45660</v>
      </c>
      <c r="B656" t="s">
        <v>1391</v>
      </c>
      <c r="C656" t="s">
        <v>1</v>
      </c>
      <c r="D656" t="s">
        <v>3</v>
      </c>
      <c r="E656">
        <v>1</v>
      </c>
      <c r="F656" t="s">
        <v>4027</v>
      </c>
      <c r="G656">
        <v>73</v>
      </c>
    </row>
    <row r="657" spans="1:7" x14ac:dyDescent="0.2">
      <c r="A657" s="2">
        <v>45660</v>
      </c>
      <c r="B657" t="s">
        <v>1392</v>
      </c>
      <c r="C657" t="s">
        <v>1</v>
      </c>
      <c r="D657" t="s">
        <v>3</v>
      </c>
      <c r="E657">
        <v>1</v>
      </c>
      <c r="F657" t="s">
        <v>4027</v>
      </c>
      <c r="G657">
        <v>64</v>
      </c>
    </row>
    <row r="658" spans="1:7" x14ac:dyDescent="0.2">
      <c r="A658" s="2">
        <v>45660</v>
      </c>
      <c r="B658" t="s">
        <v>1393</v>
      </c>
      <c r="C658" t="s">
        <v>1</v>
      </c>
      <c r="D658" t="s">
        <v>3</v>
      </c>
      <c r="E658">
        <v>1</v>
      </c>
      <c r="F658" t="s">
        <v>4027</v>
      </c>
      <c r="G658">
        <v>66</v>
      </c>
    </row>
    <row r="659" spans="1:7" x14ac:dyDescent="0.2">
      <c r="A659" s="2">
        <v>45660</v>
      </c>
      <c r="B659" t="s">
        <v>1394</v>
      </c>
      <c r="C659" t="s">
        <v>1</v>
      </c>
      <c r="D659" t="s">
        <v>3</v>
      </c>
      <c r="E659">
        <v>1</v>
      </c>
      <c r="F659" t="s">
        <v>4027</v>
      </c>
      <c r="G659">
        <v>72</v>
      </c>
    </row>
    <row r="660" spans="1:7" x14ac:dyDescent="0.2">
      <c r="A660" s="2">
        <v>45660</v>
      </c>
      <c r="B660" t="s">
        <v>1395</v>
      </c>
      <c r="C660" t="s">
        <v>1</v>
      </c>
      <c r="D660" t="s">
        <v>3</v>
      </c>
      <c r="E660">
        <v>1</v>
      </c>
      <c r="F660" t="s">
        <v>4027</v>
      </c>
      <c r="G660">
        <v>77</v>
      </c>
    </row>
    <row r="661" spans="1:7" x14ac:dyDescent="0.2">
      <c r="A661" s="2">
        <v>45660</v>
      </c>
      <c r="B661" t="s">
        <v>1396</v>
      </c>
      <c r="C661" t="s">
        <v>1</v>
      </c>
      <c r="D661" t="s">
        <v>3</v>
      </c>
      <c r="E661">
        <v>1</v>
      </c>
      <c r="F661" t="s">
        <v>4027</v>
      </c>
      <c r="G661">
        <v>79</v>
      </c>
    </row>
    <row r="662" spans="1:7" x14ac:dyDescent="0.2">
      <c r="A662" s="2">
        <v>45661</v>
      </c>
      <c r="B662" t="s">
        <v>1398</v>
      </c>
      <c r="C662" t="s">
        <v>1</v>
      </c>
      <c r="D662" t="s">
        <v>3</v>
      </c>
      <c r="E662">
        <v>1</v>
      </c>
      <c r="F662" t="s">
        <v>4027</v>
      </c>
      <c r="G662">
        <v>67</v>
      </c>
    </row>
    <row r="663" spans="1:7" x14ac:dyDescent="0.2">
      <c r="A663" s="2">
        <v>45661</v>
      </c>
      <c r="B663" t="s">
        <v>1401</v>
      </c>
      <c r="C663" t="s">
        <v>1</v>
      </c>
      <c r="D663" t="s">
        <v>3</v>
      </c>
      <c r="E663">
        <v>1</v>
      </c>
      <c r="F663" t="s">
        <v>4027</v>
      </c>
      <c r="G663">
        <v>73</v>
      </c>
    </row>
    <row r="664" spans="1:7" x14ac:dyDescent="0.2">
      <c r="A664" s="2">
        <v>45661</v>
      </c>
      <c r="B664" t="s">
        <v>1403</v>
      </c>
      <c r="C664" t="s">
        <v>1</v>
      </c>
      <c r="D664" t="s">
        <v>3</v>
      </c>
      <c r="E664">
        <v>1</v>
      </c>
      <c r="F664" t="s">
        <v>4027</v>
      </c>
      <c r="G664">
        <v>67</v>
      </c>
    </row>
    <row r="665" spans="1:7" x14ac:dyDescent="0.2">
      <c r="A665" s="2">
        <v>45661</v>
      </c>
      <c r="B665" t="s">
        <v>1402</v>
      </c>
      <c r="C665" t="s">
        <v>1</v>
      </c>
      <c r="D665" t="s">
        <v>3</v>
      </c>
      <c r="E665">
        <v>1</v>
      </c>
      <c r="F665" t="s">
        <v>4027</v>
      </c>
      <c r="G665">
        <v>78</v>
      </c>
    </row>
    <row r="666" spans="1:7" x14ac:dyDescent="0.2">
      <c r="A666" s="2">
        <v>45661</v>
      </c>
      <c r="B666" t="s">
        <v>1397</v>
      </c>
      <c r="C666" t="s">
        <v>1</v>
      </c>
      <c r="D666" t="s">
        <v>3</v>
      </c>
      <c r="E666">
        <v>1</v>
      </c>
      <c r="F666" t="s">
        <v>4027</v>
      </c>
      <c r="G666">
        <v>62</v>
      </c>
    </row>
    <row r="667" spans="1:7" x14ac:dyDescent="0.2">
      <c r="A667" s="2">
        <v>45661</v>
      </c>
      <c r="B667" t="s">
        <v>1400</v>
      </c>
      <c r="C667" t="s">
        <v>1</v>
      </c>
      <c r="D667" t="s">
        <v>3</v>
      </c>
      <c r="E667">
        <v>1</v>
      </c>
      <c r="F667" t="s">
        <v>4027</v>
      </c>
      <c r="G667">
        <v>65</v>
      </c>
    </row>
    <row r="668" spans="1:7" x14ac:dyDescent="0.2">
      <c r="A668" s="2">
        <v>45661</v>
      </c>
      <c r="B668" t="s">
        <v>1399</v>
      </c>
      <c r="C668" t="s">
        <v>1</v>
      </c>
      <c r="D668" t="s">
        <v>3</v>
      </c>
      <c r="E668">
        <v>1</v>
      </c>
      <c r="F668" t="s">
        <v>4027</v>
      </c>
      <c r="G668">
        <v>69</v>
      </c>
    </row>
    <row r="669" spans="1:7" x14ac:dyDescent="0.2">
      <c r="A669" s="2">
        <v>45663</v>
      </c>
      <c r="B669" t="s">
        <v>1407</v>
      </c>
      <c r="C669" t="s">
        <v>1</v>
      </c>
      <c r="D669" t="s">
        <v>3</v>
      </c>
      <c r="E669">
        <v>1</v>
      </c>
      <c r="F669" t="s">
        <v>4027</v>
      </c>
      <c r="G669">
        <v>71</v>
      </c>
    </row>
    <row r="670" spans="1:7" x14ac:dyDescent="0.2">
      <c r="A670" s="2">
        <v>45663</v>
      </c>
      <c r="B670" t="s">
        <v>1406</v>
      </c>
      <c r="C670" t="s">
        <v>1</v>
      </c>
      <c r="D670" t="s">
        <v>3</v>
      </c>
      <c r="E670">
        <v>1</v>
      </c>
      <c r="F670" t="s">
        <v>4027</v>
      </c>
      <c r="G670">
        <v>80</v>
      </c>
    </row>
    <row r="671" spans="1:7" x14ac:dyDescent="0.2">
      <c r="A671" s="2">
        <v>45663</v>
      </c>
      <c r="B671" t="s">
        <v>1405</v>
      </c>
      <c r="C671" t="s">
        <v>1</v>
      </c>
      <c r="D671" t="s">
        <v>3</v>
      </c>
      <c r="E671">
        <v>1</v>
      </c>
      <c r="F671" t="s">
        <v>4027</v>
      </c>
      <c r="G671">
        <v>72</v>
      </c>
    </row>
    <row r="672" spans="1:7" x14ac:dyDescent="0.2">
      <c r="A672" s="2">
        <v>45663</v>
      </c>
      <c r="B672" t="s">
        <v>1404</v>
      </c>
      <c r="C672" t="s">
        <v>1</v>
      </c>
      <c r="D672" t="s">
        <v>3</v>
      </c>
      <c r="E672">
        <v>1</v>
      </c>
      <c r="F672" t="s">
        <v>4027</v>
      </c>
      <c r="G672">
        <v>83</v>
      </c>
    </row>
    <row r="673" spans="1:7" x14ac:dyDescent="0.2">
      <c r="A673" s="2">
        <v>45663</v>
      </c>
      <c r="B673" t="s">
        <v>1409</v>
      </c>
      <c r="C673" t="s">
        <v>1</v>
      </c>
      <c r="D673" t="s">
        <v>3</v>
      </c>
      <c r="E673">
        <v>1</v>
      </c>
      <c r="F673" t="s">
        <v>4027</v>
      </c>
      <c r="G673">
        <v>85</v>
      </c>
    </row>
    <row r="674" spans="1:7" x14ac:dyDescent="0.2">
      <c r="A674" s="2">
        <v>45663</v>
      </c>
      <c r="B674" t="s">
        <v>1408</v>
      </c>
      <c r="C674" t="s">
        <v>1</v>
      </c>
      <c r="D674" t="s">
        <v>3</v>
      </c>
      <c r="E674">
        <v>1</v>
      </c>
      <c r="F674" t="s">
        <v>4027</v>
      </c>
      <c r="G674">
        <v>81</v>
      </c>
    </row>
    <row r="675" spans="1:7" x14ac:dyDescent="0.2">
      <c r="A675" s="2">
        <v>45664</v>
      </c>
      <c r="B675" t="s">
        <v>1417</v>
      </c>
      <c r="C675" t="s">
        <v>1</v>
      </c>
      <c r="D675" t="s">
        <v>3</v>
      </c>
      <c r="E675">
        <v>1</v>
      </c>
      <c r="F675" t="s">
        <v>4027</v>
      </c>
      <c r="G675">
        <v>72</v>
      </c>
    </row>
    <row r="676" spans="1:7" x14ac:dyDescent="0.2">
      <c r="A676" s="2">
        <v>45664</v>
      </c>
      <c r="B676" t="s">
        <v>1410</v>
      </c>
      <c r="C676" t="s">
        <v>1</v>
      </c>
      <c r="D676" t="s">
        <v>3</v>
      </c>
      <c r="E676">
        <v>1</v>
      </c>
      <c r="F676" t="s">
        <v>4027</v>
      </c>
      <c r="G676">
        <v>81</v>
      </c>
    </row>
    <row r="677" spans="1:7" x14ac:dyDescent="0.2">
      <c r="A677" s="2">
        <v>45664</v>
      </c>
      <c r="B677" t="s">
        <v>1411</v>
      </c>
      <c r="C677" t="s">
        <v>1</v>
      </c>
      <c r="D677" t="s">
        <v>3</v>
      </c>
      <c r="E677">
        <v>1</v>
      </c>
      <c r="F677" t="s">
        <v>4027</v>
      </c>
      <c r="G677">
        <v>78</v>
      </c>
    </row>
    <row r="678" spans="1:7" x14ac:dyDescent="0.2">
      <c r="A678" s="2">
        <v>45664</v>
      </c>
      <c r="B678" t="s">
        <v>1412</v>
      </c>
      <c r="C678" t="s">
        <v>1</v>
      </c>
      <c r="D678" t="s">
        <v>3</v>
      </c>
      <c r="E678">
        <v>1</v>
      </c>
      <c r="F678" t="s">
        <v>4027</v>
      </c>
      <c r="G678">
        <v>77</v>
      </c>
    </row>
    <row r="679" spans="1:7" x14ac:dyDescent="0.2">
      <c r="A679" s="2">
        <v>45664</v>
      </c>
      <c r="B679" t="s">
        <v>1413</v>
      </c>
      <c r="C679" t="s">
        <v>1</v>
      </c>
      <c r="D679" t="s">
        <v>3</v>
      </c>
      <c r="E679">
        <v>1</v>
      </c>
      <c r="F679" t="s">
        <v>4027</v>
      </c>
      <c r="G679">
        <v>83</v>
      </c>
    </row>
    <row r="680" spans="1:7" x14ac:dyDescent="0.2">
      <c r="A680" s="2">
        <v>45664</v>
      </c>
      <c r="B680" t="s">
        <v>1414</v>
      </c>
      <c r="C680" t="s">
        <v>1</v>
      </c>
      <c r="D680" t="s">
        <v>3</v>
      </c>
      <c r="E680">
        <v>1</v>
      </c>
      <c r="F680" t="s">
        <v>4027</v>
      </c>
      <c r="G680">
        <v>62</v>
      </c>
    </row>
    <row r="681" spans="1:7" x14ac:dyDescent="0.2">
      <c r="A681" s="2">
        <v>45664</v>
      </c>
      <c r="B681" t="s">
        <v>1415</v>
      </c>
      <c r="C681" t="s">
        <v>1</v>
      </c>
      <c r="D681" t="s">
        <v>3</v>
      </c>
      <c r="E681">
        <v>1</v>
      </c>
      <c r="F681" t="s">
        <v>4027</v>
      </c>
      <c r="G681">
        <v>78</v>
      </c>
    </row>
    <row r="682" spans="1:7" x14ac:dyDescent="0.2">
      <c r="A682" s="2">
        <v>45664</v>
      </c>
      <c r="B682" t="s">
        <v>1416</v>
      </c>
      <c r="C682" t="s">
        <v>1</v>
      </c>
      <c r="D682" t="s">
        <v>3</v>
      </c>
      <c r="E682">
        <v>1</v>
      </c>
      <c r="F682" t="s">
        <v>4027</v>
      </c>
      <c r="G682">
        <v>78</v>
      </c>
    </row>
    <row r="683" spans="1:7" x14ac:dyDescent="0.2">
      <c r="A683" s="2">
        <v>45664</v>
      </c>
      <c r="B683" t="s">
        <v>1418</v>
      </c>
      <c r="C683" t="s">
        <v>1</v>
      </c>
      <c r="D683" t="s">
        <v>3</v>
      </c>
      <c r="E683">
        <v>1</v>
      </c>
      <c r="F683" t="s">
        <v>4027</v>
      </c>
      <c r="G683">
        <v>85</v>
      </c>
    </row>
    <row r="684" spans="1:7" x14ac:dyDescent="0.2">
      <c r="A684" s="2">
        <v>45665</v>
      </c>
      <c r="B684" t="s">
        <v>1426</v>
      </c>
      <c r="C684" t="s">
        <v>1</v>
      </c>
      <c r="D684" t="s">
        <v>3</v>
      </c>
      <c r="E684">
        <v>1</v>
      </c>
      <c r="F684" t="s">
        <v>4027</v>
      </c>
      <c r="G684">
        <v>62</v>
      </c>
    </row>
    <row r="685" spans="1:7" x14ac:dyDescent="0.2">
      <c r="A685" s="2">
        <v>45665</v>
      </c>
      <c r="B685" t="s">
        <v>1425</v>
      </c>
      <c r="C685" t="s">
        <v>1</v>
      </c>
      <c r="D685" t="s">
        <v>3</v>
      </c>
      <c r="E685">
        <v>1</v>
      </c>
      <c r="F685" t="s">
        <v>4027</v>
      </c>
      <c r="G685">
        <v>66</v>
      </c>
    </row>
    <row r="686" spans="1:7" x14ac:dyDescent="0.2">
      <c r="A686" s="2">
        <v>45665</v>
      </c>
      <c r="B686" t="s">
        <v>1424</v>
      </c>
      <c r="C686" t="s">
        <v>1</v>
      </c>
      <c r="D686" t="s">
        <v>3</v>
      </c>
      <c r="E686">
        <v>1</v>
      </c>
      <c r="F686" t="s">
        <v>4027</v>
      </c>
      <c r="G686">
        <v>86</v>
      </c>
    </row>
    <row r="687" spans="1:7" x14ac:dyDescent="0.2">
      <c r="A687" s="2">
        <v>45665</v>
      </c>
      <c r="B687" t="s">
        <v>1423</v>
      </c>
      <c r="C687" t="s">
        <v>1</v>
      </c>
      <c r="D687" t="s">
        <v>3</v>
      </c>
      <c r="E687">
        <v>1</v>
      </c>
      <c r="F687" t="s">
        <v>4027</v>
      </c>
      <c r="G687">
        <v>82</v>
      </c>
    </row>
    <row r="688" spans="1:7" x14ac:dyDescent="0.2">
      <c r="A688" s="2">
        <v>45665</v>
      </c>
      <c r="B688" t="s">
        <v>1422</v>
      </c>
      <c r="C688" t="s">
        <v>1</v>
      </c>
      <c r="D688" t="s">
        <v>3</v>
      </c>
      <c r="E688">
        <v>1</v>
      </c>
      <c r="F688" t="s">
        <v>4027</v>
      </c>
      <c r="G688">
        <v>61</v>
      </c>
    </row>
    <row r="689" spans="1:7" x14ac:dyDescent="0.2">
      <c r="A689" s="2">
        <v>45665</v>
      </c>
      <c r="B689" t="s">
        <v>1419</v>
      </c>
      <c r="C689" t="s">
        <v>1</v>
      </c>
      <c r="D689" t="s">
        <v>3</v>
      </c>
      <c r="E689">
        <v>1</v>
      </c>
      <c r="F689" t="s">
        <v>4027</v>
      </c>
      <c r="G689">
        <v>85</v>
      </c>
    </row>
    <row r="690" spans="1:7" x14ac:dyDescent="0.2">
      <c r="A690" s="2">
        <v>45665</v>
      </c>
      <c r="B690" t="s">
        <v>1420</v>
      </c>
      <c r="C690" t="s">
        <v>1</v>
      </c>
      <c r="D690" t="s">
        <v>3</v>
      </c>
      <c r="E690">
        <v>1</v>
      </c>
      <c r="F690" t="s">
        <v>4027</v>
      </c>
      <c r="G690">
        <v>80</v>
      </c>
    </row>
    <row r="691" spans="1:7" x14ac:dyDescent="0.2">
      <c r="A691" s="2">
        <v>45665</v>
      </c>
      <c r="B691" t="s">
        <v>1427</v>
      </c>
      <c r="C691" t="s">
        <v>1</v>
      </c>
      <c r="D691" t="s">
        <v>3</v>
      </c>
      <c r="E691">
        <v>1</v>
      </c>
      <c r="F691" t="s">
        <v>4027</v>
      </c>
      <c r="G691">
        <v>77</v>
      </c>
    </row>
    <row r="692" spans="1:7" x14ac:dyDescent="0.2">
      <c r="A692" s="2">
        <v>45665</v>
      </c>
      <c r="B692" t="s">
        <v>823</v>
      </c>
      <c r="C692" t="s">
        <v>2</v>
      </c>
      <c r="D692" t="s">
        <v>4</v>
      </c>
      <c r="E692">
        <v>1</v>
      </c>
      <c r="F692" t="s">
        <v>600</v>
      </c>
      <c r="G692">
        <v>22</v>
      </c>
    </row>
    <row r="693" spans="1:7" x14ac:dyDescent="0.2">
      <c r="A693" s="2">
        <v>45665</v>
      </c>
      <c r="B693" t="s">
        <v>826</v>
      </c>
      <c r="C693" t="s">
        <v>2</v>
      </c>
      <c r="D693" t="s">
        <v>4</v>
      </c>
      <c r="E693">
        <v>1</v>
      </c>
      <c r="F693" t="s">
        <v>600</v>
      </c>
      <c r="G693">
        <v>22</v>
      </c>
    </row>
    <row r="694" spans="1:7" x14ac:dyDescent="0.2">
      <c r="A694" s="2">
        <v>45665</v>
      </c>
      <c r="B694" t="s">
        <v>834</v>
      </c>
      <c r="C694" t="s">
        <v>2</v>
      </c>
      <c r="D694" t="s">
        <v>4</v>
      </c>
      <c r="E694">
        <v>1</v>
      </c>
      <c r="F694" t="s">
        <v>600</v>
      </c>
      <c r="G694">
        <v>22</v>
      </c>
    </row>
    <row r="695" spans="1:7" x14ac:dyDescent="0.2">
      <c r="A695" s="2">
        <v>45665</v>
      </c>
      <c r="B695" t="s">
        <v>1421</v>
      </c>
      <c r="C695" t="s">
        <v>1</v>
      </c>
      <c r="D695" t="s">
        <v>3</v>
      </c>
      <c r="E695">
        <v>1</v>
      </c>
      <c r="F695" t="s">
        <v>4027</v>
      </c>
      <c r="G695">
        <v>77</v>
      </c>
    </row>
    <row r="696" spans="1:7" x14ac:dyDescent="0.2">
      <c r="A696" s="2">
        <v>45665</v>
      </c>
      <c r="B696" t="s">
        <v>1428</v>
      </c>
      <c r="C696" t="s">
        <v>1</v>
      </c>
      <c r="D696" t="s">
        <v>3</v>
      </c>
      <c r="E696">
        <v>1</v>
      </c>
      <c r="F696" t="s">
        <v>4027</v>
      </c>
      <c r="G696">
        <v>73</v>
      </c>
    </row>
    <row r="697" spans="1:7" x14ac:dyDescent="0.2">
      <c r="A697" s="2">
        <v>45665</v>
      </c>
      <c r="B697" t="s">
        <v>1431</v>
      </c>
      <c r="C697" t="s">
        <v>1</v>
      </c>
      <c r="D697" t="s">
        <v>3</v>
      </c>
      <c r="E697">
        <v>1</v>
      </c>
      <c r="F697" t="s">
        <v>4027</v>
      </c>
      <c r="G697">
        <v>80</v>
      </c>
    </row>
    <row r="698" spans="1:7" x14ac:dyDescent="0.2">
      <c r="A698" s="2">
        <v>45665</v>
      </c>
      <c r="B698" t="s">
        <v>1430</v>
      </c>
      <c r="C698" t="s">
        <v>1</v>
      </c>
      <c r="D698" t="s">
        <v>3</v>
      </c>
      <c r="E698">
        <v>1</v>
      </c>
      <c r="F698" t="s">
        <v>4027</v>
      </c>
      <c r="G698">
        <v>69</v>
      </c>
    </row>
    <row r="699" spans="1:7" x14ac:dyDescent="0.2">
      <c r="A699" s="2">
        <v>45665</v>
      </c>
      <c r="B699" t="s">
        <v>1433</v>
      </c>
      <c r="C699" t="s">
        <v>1</v>
      </c>
      <c r="D699" t="s">
        <v>3</v>
      </c>
      <c r="E699">
        <v>1</v>
      </c>
      <c r="F699" t="s">
        <v>4027</v>
      </c>
      <c r="G699">
        <v>68</v>
      </c>
    </row>
    <row r="700" spans="1:7" x14ac:dyDescent="0.2">
      <c r="A700" s="2">
        <v>45665</v>
      </c>
      <c r="B700" t="s">
        <v>1434</v>
      </c>
      <c r="C700" t="s">
        <v>1</v>
      </c>
      <c r="D700" t="s">
        <v>3</v>
      </c>
      <c r="E700">
        <v>1</v>
      </c>
      <c r="F700" t="s">
        <v>4027</v>
      </c>
      <c r="G700">
        <v>79</v>
      </c>
    </row>
    <row r="701" spans="1:7" x14ac:dyDescent="0.2">
      <c r="A701" s="2">
        <v>45665</v>
      </c>
      <c r="B701" t="s">
        <v>1429</v>
      </c>
      <c r="C701" t="s">
        <v>1</v>
      </c>
      <c r="D701" t="s">
        <v>3</v>
      </c>
      <c r="E701">
        <v>1</v>
      </c>
      <c r="F701" t="s">
        <v>4027</v>
      </c>
      <c r="G701">
        <v>72</v>
      </c>
    </row>
    <row r="702" spans="1:7" x14ac:dyDescent="0.2">
      <c r="A702" s="2">
        <v>45665</v>
      </c>
      <c r="B702" t="s">
        <v>1432</v>
      </c>
      <c r="C702" t="s">
        <v>1</v>
      </c>
      <c r="D702" t="s">
        <v>3</v>
      </c>
      <c r="E702">
        <v>1</v>
      </c>
      <c r="F702" t="s">
        <v>4027</v>
      </c>
      <c r="G702">
        <v>66</v>
      </c>
    </row>
    <row r="703" spans="1:7" x14ac:dyDescent="0.2">
      <c r="A703" s="2">
        <v>45666</v>
      </c>
      <c r="B703" t="s">
        <v>1435</v>
      </c>
      <c r="C703" t="s">
        <v>1</v>
      </c>
      <c r="D703" t="s">
        <v>3</v>
      </c>
      <c r="E703">
        <v>1</v>
      </c>
      <c r="F703" t="s">
        <v>4027</v>
      </c>
      <c r="G703">
        <v>71</v>
      </c>
    </row>
    <row r="704" spans="1:7" x14ac:dyDescent="0.2">
      <c r="A704" s="2">
        <v>45666</v>
      </c>
      <c r="B704" t="s">
        <v>1436</v>
      </c>
      <c r="C704" t="s">
        <v>1</v>
      </c>
      <c r="D704" t="s">
        <v>3</v>
      </c>
      <c r="E704">
        <v>1</v>
      </c>
      <c r="F704" t="s">
        <v>4027</v>
      </c>
      <c r="G704">
        <v>60</v>
      </c>
    </row>
    <row r="705" spans="1:7" x14ac:dyDescent="0.2">
      <c r="A705" s="2">
        <v>45667</v>
      </c>
      <c r="B705" t="s">
        <v>1437</v>
      </c>
      <c r="C705" t="s">
        <v>1</v>
      </c>
      <c r="D705" t="s">
        <v>3</v>
      </c>
      <c r="E705">
        <v>1</v>
      </c>
      <c r="F705" t="s">
        <v>4027</v>
      </c>
      <c r="G705">
        <v>73</v>
      </c>
    </row>
    <row r="706" spans="1:7" x14ac:dyDescent="0.2">
      <c r="A706" s="2">
        <v>45667</v>
      </c>
      <c r="B706" t="s">
        <v>1438</v>
      </c>
      <c r="C706" t="s">
        <v>1</v>
      </c>
      <c r="D706" t="s">
        <v>3</v>
      </c>
      <c r="E706">
        <v>1</v>
      </c>
      <c r="F706" t="s">
        <v>4027</v>
      </c>
      <c r="G706">
        <v>86</v>
      </c>
    </row>
    <row r="707" spans="1:7" x14ac:dyDescent="0.2">
      <c r="A707" s="2">
        <v>45667</v>
      </c>
      <c r="B707" t="s">
        <v>1439</v>
      </c>
      <c r="C707" t="s">
        <v>1</v>
      </c>
      <c r="D707" t="s">
        <v>3</v>
      </c>
      <c r="E707">
        <v>1</v>
      </c>
      <c r="F707" t="s">
        <v>4027</v>
      </c>
      <c r="G707">
        <v>76</v>
      </c>
    </row>
    <row r="708" spans="1:7" x14ac:dyDescent="0.2">
      <c r="A708" s="2">
        <v>45667</v>
      </c>
      <c r="B708" t="s">
        <v>1440</v>
      </c>
      <c r="C708" t="s">
        <v>1</v>
      </c>
      <c r="D708" t="s">
        <v>3</v>
      </c>
      <c r="E708">
        <v>1</v>
      </c>
      <c r="F708" t="s">
        <v>4027</v>
      </c>
      <c r="G708">
        <v>65</v>
      </c>
    </row>
    <row r="709" spans="1:7" x14ac:dyDescent="0.2">
      <c r="A709" s="2">
        <v>45667</v>
      </c>
      <c r="B709" t="s">
        <v>1441</v>
      </c>
      <c r="C709" t="s">
        <v>1</v>
      </c>
      <c r="D709" t="s">
        <v>3</v>
      </c>
      <c r="E709">
        <v>1</v>
      </c>
      <c r="F709" t="s">
        <v>4027</v>
      </c>
      <c r="G709">
        <v>75</v>
      </c>
    </row>
    <row r="710" spans="1:7" x14ac:dyDescent="0.2">
      <c r="A710" s="2">
        <v>45667</v>
      </c>
      <c r="B710" t="s">
        <v>1442</v>
      </c>
      <c r="C710" t="s">
        <v>1</v>
      </c>
      <c r="D710" t="s">
        <v>3</v>
      </c>
      <c r="E710">
        <v>1</v>
      </c>
      <c r="F710" t="s">
        <v>4027</v>
      </c>
      <c r="G710">
        <v>79</v>
      </c>
    </row>
    <row r="711" spans="1:7" x14ac:dyDescent="0.2">
      <c r="A711" s="2">
        <v>45667</v>
      </c>
      <c r="B711" t="s">
        <v>1443</v>
      </c>
      <c r="C711" t="s">
        <v>1</v>
      </c>
      <c r="D711" t="s">
        <v>3</v>
      </c>
      <c r="E711">
        <v>1</v>
      </c>
      <c r="F711" t="s">
        <v>4027</v>
      </c>
      <c r="G711">
        <v>67</v>
      </c>
    </row>
    <row r="712" spans="1:7" x14ac:dyDescent="0.2">
      <c r="A712" s="2">
        <v>45668</v>
      </c>
      <c r="B712" t="s">
        <v>841</v>
      </c>
      <c r="C712" t="s">
        <v>2</v>
      </c>
      <c r="D712" t="s">
        <v>4</v>
      </c>
      <c r="E712">
        <v>1</v>
      </c>
      <c r="F712" t="s">
        <v>600</v>
      </c>
      <c r="G712">
        <v>22</v>
      </c>
    </row>
    <row r="713" spans="1:7" x14ac:dyDescent="0.2">
      <c r="A713" s="2">
        <v>45668</v>
      </c>
      <c r="B713" t="s">
        <v>1455</v>
      </c>
      <c r="C713" t="s">
        <v>1</v>
      </c>
      <c r="D713" t="s">
        <v>3</v>
      </c>
      <c r="E713">
        <v>1</v>
      </c>
      <c r="F713" t="s">
        <v>4027</v>
      </c>
      <c r="G713">
        <v>69</v>
      </c>
    </row>
    <row r="714" spans="1:7" x14ac:dyDescent="0.2">
      <c r="A714" s="2">
        <v>45668</v>
      </c>
      <c r="B714" t="s">
        <v>1452</v>
      </c>
      <c r="C714" t="s">
        <v>1</v>
      </c>
      <c r="D714" t="s">
        <v>3</v>
      </c>
      <c r="E714">
        <v>1</v>
      </c>
      <c r="F714" t="s">
        <v>4027</v>
      </c>
      <c r="G714">
        <v>67</v>
      </c>
    </row>
    <row r="715" spans="1:7" x14ac:dyDescent="0.2">
      <c r="A715" s="2">
        <v>45668</v>
      </c>
      <c r="B715" t="s">
        <v>1444</v>
      </c>
      <c r="C715" t="s">
        <v>1</v>
      </c>
      <c r="D715" t="s">
        <v>3</v>
      </c>
      <c r="E715">
        <v>1</v>
      </c>
      <c r="F715" t="s">
        <v>4027</v>
      </c>
      <c r="G715">
        <v>69</v>
      </c>
    </row>
    <row r="716" spans="1:7" x14ac:dyDescent="0.2">
      <c r="A716" s="2">
        <v>45668</v>
      </c>
      <c r="B716" t="s">
        <v>1445</v>
      </c>
      <c r="C716" t="s">
        <v>1</v>
      </c>
      <c r="D716" t="s">
        <v>3</v>
      </c>
      <c r="E716">
        <v>1</v>
      </c>
      <c r="F716" t="s">
        <v>4027</v>
      </c>
      <c r="G716">
        <v>80</v>
      </c>
    </row>
    <row r="717" spans="1:7" x14ac:dyDescent="0.2">
      <c r="A717" s="2">
        <v>45668</v>
      </c>
      <c r="B717" t="s">
        <v>1446</v>
      </c>
      <c r="C717" t="s">
        <v>1</v>
      </c>
      <c r="D717" t="s">
        <v>3</v>
      </c>
      <c r="E717">
        <v>1</v>
      </c>
      <c r="F717" t="s">
        <v>4027</v>
      </c>
      <c r="G717">
        <v>86</v>
      </c>
    </row>
    <row r="718" spans="1:7" x14ac:dyDescent="0.2">
      <c r="A718" s="2">
        <v>45668</v>
      </c>
      <c r="B718" t="s">
        <v>1447</v>
      </c>
      <c r="C718" t="s">
        <v>1</v>
      </c>
      <c r="D718" t="s">
        <v>3</v>
      </c>
      <c r="E718">
        <v>1</v>
      </c>
      <c r="F718" t="s">
        <v>4027</v>
      </c>
      <c r="G718">
        <v>79</v>
      </c>
    </row>
    <row r="719" spans="1:7" x14ac:dyDescent="0.2">
      <c r="A719" s="2">
        <v>45668</v>
      </c>
      <c r="B719" t="s">
        <v>1448</v>
      </c>
      <c r="C719" t="s">
        <v>1</v>
      </c>
      <c r="D719" t="s">
        <v>3</v>
      </c>
      <c r="E719">
        <v>1</v>
      </c>
      <c r="F719" t="s">
        <v>4027</v>
      </c>
      <c r="G719">
        <v>83</v>
      </c>
    </row>
    <row r="720" spans="1:7" x14ac:dyDescent="0.2">
      <c r="A720" s="2">
        <v>45668</v>
      </c>
      <c r="B720" t="s">
        <v>1449</v>
      </c>
      <c r="C720" t="s">
        <v>1</v>
      </c>
      <c r="D720" t="s">
        <v>3</v>
      </c>
      <c r="E720">
        <v>1</v>
      </c>
      <c r="F720" t="s">
        <v>4027</v>
      </c>
      <c r="G720">
        <v>86</v>
      </c>
    </row>
    <row r="721" spans="1:7" x14ac:dyDescent="0.2">
      <c r="A721" s="2">
        <v>45668</v>
      </c>
      <c r="B721" t="s">
        <v>1450</v>
      </c>
      <c r="C721" t="s">
        <v>1</v>
      </c>
      <c r="D721" t="s">
        <v>3</v>
      </c>
      <c r="E721">
        <v>1</v>
      </c>
      <c r="F721" t="s">
        <v>4027</v>
      </c>
      <c r="G721">
        <v>74</v>
      </c>
    </row>
    <row r="722" spans="1:7" x14ac:dyDescent="0.2">
      <c r="A722" s="2">
        <v>45668</v>
      </c>
      <c r="B722" t="s">
        <v>1451</v>
      </c>
      <c r="C722" t="s">
        <v>1</v>
      </c>
      <c r="D722" t="s">
        <v>3</v>
      </c>
      <c r="E722">
        <v>1</v>
      </c>
      <c r="F722" t="s">
        <v>4027</v>
      </c>
      <c r="G722">
        <v>77</v>
      </c>
    </row>
    <row r="723" spans="1:7" x14ac:dyDescent="0.2">
      <c r="A723" s="2">
        <v>45668</v>
      </c>
      <c r="B723" t="s">
        <v>1453</v>
      </c>
      <c r="C723" t="s">
        <v>1</v>
      </c>
      <c r="D723" t="s">
        <v>3</v>
      </c>
      <c r="E723">
        <v>1</v>
      </c>
      <c r="F723" t="s">
        <v>4027</v>
      </c>
      <c r="G723">
        <v>77</v>
      </c>
    </row>
    <row r="724" spans="1:7" x14ac:dyDescent="0.2">
      <c r="A724" s="2">
        <v>45668</v>
      </c>
      <c r="B724" t="s">
        <v>1454</v>
      </c>
      <c r="C724" t="s">
        <v>1</v>
      </c>
      <c r="D724" t="s">
        <v>3</v>
      </c>
      <c r="E724">
        <v>1</v>
      </c>
      <c r="F724" t="s">
        <v>4027</v>
      </c>
      <c r="G724">
        <v>66</v>
      </c>
    </row>
    <row r="725" spans="1:7" x14ac:dyDescent="0.2">
      <c r="A725" s="2">
        <v>45670</v>
      </c>
      <c r="B725" t="s">
        <v>1456</v>
      </c>
      <c r="C725" t="s">
        <v>1</v>
      </c>
      <c r="D725" t="s">
        <v>3</v>
      </c>
      <c r="E725">
        <v>1</v>
      </c>
      <c r="F725" t="s">
        <v>4027</v>
      </c>
      <c r="G725">
        <v>63</v>
      </c>
    </row>
    <row r="726" spans="1:7" x14ac:dyDescent="0.2">
      <c r="A726" s="2">
        <v>45670</v>
      </c>
      <c r="B726" t="s">
        <v>1457</v>
      </c>
      <c r="C726" t="s">
        <v>1</v>
      </c>
      <c r="D726" t="s">
        <v>3</v>
      </c>
      <c r="E726">
        <v>1</v>
      </c>
      <c r="F726" t="s">
        <v>4027</v>
      </c>
      <c r="G726">
        <v>88</v>
      </c>
    </row>
    <row r="727" spans="1:7" x14ac:dyDescent="0.2">
      <c r="A727" s="2">
        <v>45670</v>
      </c>
      <c r="B727" t="s">
        <v>1458</v>
      </c>
      <c r="C727" t="s">
        <v>1</v>
      </c>
      <c r="D727" t="s">
        <v>3</v>
      </c>
      <c r="E727">
        <v>1</v>
      </c>
      <c r="F727" t="s">
        <v>4027</v>
      </c>
      <c r="G727">
        <v>81</v>
      </c>
    </row>
    <row r="728" spans="1:7" x14ac:dyDescent="0.2">
      <c r="A728" s="2">
        <v>45671</v>
      </c>
      <c r="B728" t="s">
        <v>1465</v>
      </c>
      <c r="C728" t="s">
        <v>1</v>
      </c>
      <c r="D728" t="s">
        <v>3</v>
      </c>
      <c r="E728">
        <v>1</v>
      </c>
      <c r="F728" t="s">
        <v>4027</v>
      </c>
      <c r="G728">
        <v>64</v>
      </c>
    </row>
    <row r="729" spans="1:7" x14ac:dyDescent="0.2">
      <c r="A729" s="2">
        <v>45671</v>
      </c>
      <c r="B729" t="s">
        <v>1467</v>
      </c>
      <c r="C729" t="s">
        <v>1</v>
      </c>
      <c r="D729" t="s">
        <v>3</v>
      </c>
      <c r="E729">
        <v>1</v>
      </c>
      <c r="F729" t="s">
        <v>4027</v>
      </c>
      <c r="G729">
        <v>70</v>
      </c>
    </row>
    <row r="730" spans="1:7" x14ac:dyDescent="0.2">
      <c r="A730" s="2">
        <v>45671</v>
      </c>
      <c r="B730" t="s">
        <v>1464</v>
      </c>
      <c r="C730" t="s">
        <v>1</v>
      </c>
      <c r="D730" t="s">
        <v>3</v>
      </c>
      <c r="E730">
        <v>1</v>
      </c>
      <c r="F730" t="s">
        <v>4027</v>
      </c>
      <c r="G730">
        <v>72</v>
      </c>
    </row>
    <row r="731" spans="1:7" x14ac:dyDescent="0.2">
      <c r="A731" s="2">
        <v>45671</v>
      </c>
      <c r="B731" t="s">
        <v>1466</v>
      </c>
      <c r="C731" t="s">
        <v>1</v>
      </c>
      <c r="D731" t="s">
        <v>3</v>
      </c>
      <c r="E731">
        <v>1</v>
      </c>
      <c r="F731" t="s">
        <v>4027</v>
      </c>
      <c r="G731">
        <v>84</v>
      </c>
    </row>
    <row r="732" spans="1:7" x14ac:dyDescent="0.2">
      <c r="A732" s="2">
        <v>45671</v>
      </c>
      <c r="B732" t="s">
        <v>1463</v>
      </c>
      <c r="C732" t="s">
        <v>1</v>
      </c>
      <c r="D732" t="s">
        <v>3</v>
      </c>
      <c r="E732">
        <v>1</v>
      </c>
      <c r="F732" t="s">
        <v>4027</v>
      </c>
      <c r="G732">
        <v>67</v>
      </c>
    </row>
    <row r="733" spans="1:7" x14ac:dyDescent="0.2">
      <c r="A733" s="2">
        <v>45671</v>
      </c>
      <c r="B733" t="s">
        <v>1461</v>
      </c>
      <c r="C733" t="s">
        <v>1</v>
      </c>
      <c r="D733" t="s">
        <v>3</v>
      </c>
      <c r="E733">
        <v>1</v>
      </c>
      <c r="F733" t="s">
        <v>4027</v>
      </c>
      <c r="G733">
        <v>82</v>
      </c>
    </row>
    <row r="734" spans="1:7" x14ac:dyDescent="0.2">
      <c r="A734" s="2">
        <v>45671</v>
      </c>
      <c r="B734" t="s">
        <v>1460</v>
      </c>
      <c r="C734" t="s">
        <v>1</v>
      </c>
      <c r="D734" t="s">
        <v>3</v>
      </c>
      <c r="E734">
        <v>1</v>
      </c>
      <c r="F734" t="s">
        <v>4027</v>
      </c>
      <c r="G734">
        <v>70</v>
      </c>
    </row>
    <row r="735" spans="1:7" x14ac:dyDescent="0.2">
      <c r="A735" s="2">
        <v>45671</v>
      </c>
      <c r="B735" t="s">
        <v>1459</v>
      </c>
      <c r="C735" t="s">
        <v>1</v>
      </c>
      <c r="D735" t="s">
        <v>3</v>
      </c>
      <c r="E735">
        <v>1</v>
      </c>
      <c r="F735" t="s">
        <v>4027</v>
      </c>
      <c r="G735">
        <v>86</v>
      </c>
    </row>
    <row r="736" spans="1:7" x14ac:dyDescent="0.2">
      <c r="A736" s="2">
        <v>45671</v>
      </c>
      <c r="B736" t="s">
        <v>1462</v>
      </c>
      <c r="C736" t="s">
        <v>1</v>
      </c>
      <c r="D736" t="s">
        <v>3</v>
      </c>
      <c r="E736">
        <v>1</v>
      </c>
      <c r="F736" t="s">
        <v>4027</v>
      </c>
      <c r="G736">
        <v>76</v>
      </c>
    </row>
    <row r="737" spans="1:7" x14ac:dyDescent="0.2">
      <c r="A737" s="2">
        <v>45672</v>
      </c>
      <c r="B737" t="s">
        <v>858</v>
      </c>
      <c r="C737" t="s">
        <v>2</v>
      </c>
      <c r="D737" t="s">
        <v>4</v>
      </c>
      <c r="E737">
        <v>1</v>
      </c>
      <c r="F737" t="s">
        <v>600</v>
      </c>
      <c r="G737">
        <v>22</v>
      </c>
    </row>
    <row r="738" spans="1:7" x14ac:dyDescent="0.2">
      <c r="A738" s="2">
        <v>45672</v>
      </c>
      <c r="B738" t="s">
        <v>1468</v>
      </c>
      <c r="C738" t="s">
        <v>1</v>
      </c>
      <c r="D738" t="s">
        <v>3</v>
      </c>
      <c r="E738">
        <v>1</v>
      </c>
      <c r="F738" t="s">
        <v>4027</v>
      </c>
      <c r="G738">
        <v>85</v>
      </c>
    </row>
    <row r="739" spans="1:7" x14ac:dyDescent="0.2">
      <c r="A739" s="2">
        <v>45672</v>
      </c>
      <c r="B739" t="s">
        <v>1469</v>
      </c>
      <c r="C739" t="s">
        <v>1</v>
      </c>
      <c r="D739" t="s">
        <v>3</v>
      </c>
      <c r="E739">
        <v>1</v>
      </c>
      <c r="F739" t="s">
        <v>4027</v>
      </c>
      <c r="G739">
        <v>71</v>
      </c>
    </row>
    <row r="740" spans="1:7" x14ac:dyDescent="0.2">
      <c r="A740" s="2">
        <v>45672</v>
      </c>
      <c r="B740" t="s">
        <v>1470</v>
      </c>
      <c r="C740" t="s">
        <v>1</v>
      </c>
      <c r="D740" t="s">
        <v>3</v>
      </c>
      <c r="E740">
        <v>1</v>
      </c>
      <c r="F740" t="s">
        <v>4027</v>
      </c>
      <c r="G740">
        <v>85</v>
      </c>
    </row>
    <row r="741" spans="1:7" x14ac:dyDescent="0.2">
      <c r="A741" s="2">
        <v>45672</v>
      </c>
      <c r="B741" t="s">
        <v>1471</v>
      </c>
      <c r="C741" t="s">
        <v>1</v>
      </c>
      <c r="D741" t="s">
        <v>3</v>
      </c>
      <c r="E741">
        <v>1</v>
      </c>
      <c r="F741" t="s">
        <v>4027</v>
      </c>
      <c r="G741">
        <v>85</v>
      </c>
    </row>
    <row r="742" spans="1:7" x14ac:dyDescent="0.2">
      <c r="A742" s="2">
        <v>45672</v>
      </c>
      <c r="B742" t="s">
        <v>1472</v>
      </c>
      <c r="C742" t="s">
        <v>1</v>
      </c>
      <c r="D742" t="s">
        <v>3</v>
      </c>
      <c r="E742">
        <v>1</v>
      </c>
      <c r="F742" t="s">
        <v>4027</v>
      </c>
      <c r="G742">
        <v>85</v>
      </c>
    </row>
    <row r="743" spans="1:7" x14ac:dyDescent="0.2">
      <c r="A743" s="2">
        <v>45672</v>
      </c>
      <c r="B743" t="s">
        <v>1473</v>
      </c>
      <c r="C743" t="s">
        <v>1</v>
      </c>
      <c r="D743" t="s">
        <v>3</v>
      </c>
      <c r="E743">
        <v>1</v>
      </c>
      <c r="F743" t="s">
        <v>4027</v>
      </c>
      <c r="G743">
        <v>70</v>
      </c>
    </row>
    <row r="744" spans="1:7" x14ac:dyDescent="0.2">
      <c r="A744" s="2">
        <v>45672</v>
      </c>
      <c r="B744" t="s">
        <v>1474</v>
      </c>
      <c r="C744" t="s">
        <v>1</v>
      </c>
      <c r="D744" t="s">
        <v>3</v>
      </c>
      <c r="E744">
        <v>1</v>
      </c>
      <c r="F744" t="s">
        <v>4027</v>
      </c>
      <c r="G744">
        <v>87</v>
      </c>
    </row>
    <row r="745" spans="1:7" x14ac:dyDescent="0.2">
      <c r="A745" s="2">
        <v>45672</v>
      </c>
      <c r="B745" t="s">
        <v>848</v>
      </c>
      <c r="C745" t="s">
        <v>2</v>
      </c>
      <c r="D745" t="s">
        <v>4</v>
      </c>
      <c r="E745">
        <v>1</v>
      </c>
      <c r="F745" t="s">
        <v>600</v>
      </c>
      <c r="G745">
        <v>22</v>
      </c>
    </row>
    <row r="746" spans="1:7" x14ac:dyDescent="0.2">
      <c r="A746" s="2">
        <v>45672</v>
      </c>
      <c r="B746" t="s">
        <v>855</v>
      </c>
      <c r="C746" t="s">
        <v>2</v>
      </c>
      <c r="D746" t="s">
        <v>4</v>
      </c>
      <c r="E746">
        <v>1</v>
      </c>
      <c r="F746" t="s">
        <v>600</v>
      </c>
      <c r="G746">
        <v>22</v>
      </c>
    </row>
    <row r="747" spans="1:7" x14ac:dyDescent="0.2">
      <c r="A747" s="2">
        <v>45672</v>
      </c>
      <c r="B747" t="s">
        <v>862</v>
      </c>
      <c r="C747" t="s">
        <v>2</v>
      </c>
      <c r="D747" t="s">
        <v>4</v>
      </c>
      <c r="E747">
        <v>1</v>
      </c>
      <c r="F747" t="s">
        <v>600</v>
      </c>
      <c r="G747">
        <v>22</v>
      </c>
    </row>
    <row r="748" spans="1:7" x14ac:dyDescent="0.2">
      <c r="A748" s="2">
        <v>45673</v>
      </c>
      <c r="B748" t="s">
        <v>1480</v>
      </c>
      <c r="C748" t="s">
        <v>1</v>
      </c>
      <c r="D748" t="s">
        <v>3</v>
      </c>
      <c r="E748">
        <v>1</v>
      </c>
      <c r="F748" t="s">
        <v>4027</v>
      </c>
      <c r="G748">
        <v>82</v>
      </c>
    </row>
    <row r="749" spans="1:7" x14ac:dyDescent="0.2">
      <c r="A749" s="2">
        <v>45673</v>
      </c>
      <c r="B749" t="s">
        <v>1479</v>
      </c>
      <c r="C749" t="s">
        <v>1</v>
      </c>
      <c r="D749" t="s">
        <v>3</v>
      </c>
      <c r="E749">
        <v>1</v>
      </c>
      <c r="F749" t="s">
        <v>4027</v>
      </c>
      <c r="G749">
        <v>74</v>
      </c>
    </row>
    <row r="750" spans="1:7" x14ac:dyDescent="0.2">
      <c r="A750" s="2">
        <v>45673</v>
      </c>
      <c r="B750" t="s">
        <v>1477</v>
      </c>
      <c r="C750" t="s">
        <v>1</v>
      </c>
      <c r="D750" t="s">
        <v>3</v>
      </c>
      <c r="E750">
        <v>1</v>
      </c>
      <c r="F750" t="s">
        <v>4027</v>
      </c>
      <c r="G750">
        <v>77</v>
      </c>
    </row>
    <row r="751" spans="1:7" x14ac:dyDescent="0.2">
      <c r="A751" s="2">
        <v>45673</v>
      </c>
      <c r="B751" t="s">
        <v>1476</v>
      </c>
      <c r="C751" t="s">
        <v>1</v>
      </c>
      <c r="D751" t="s">
        <v>3</v>
      </c>
      <c r="E751">
        <v>1</v>
      </c>
      <c r="F751" t="s">
        <v>4027</v>
      </c>
      <c r="G751">
        <v>66</v>
      </c>
    </row>
    <row r="752" spans="1:7" x14ac:dyDescent="0.2">
      <c r="A752" s="2">
        <v>45673</v>
      </c>
      <c r="B752" t="s">
        <v>1475</v>
      </c>
      <c r="C752" t="s">
        <v>1</v>
      </c>
      <c r="D752" t="s">
        <v>3</v>
      </c>
      <c r="E752">
        <v>1</v>
      </c>
      <c r="F752" t="s">
        <v>4027</v>
      </c>
      <c r="G752">
        <v>87</v>
      </c>
    </row>
    <row r="753" spans="1:7" x14ac:dyDescent="0.2">
      <c r="A753" s="2">
        <v>45673</v>
      </c>
      <c r="B753" t="s">
        <v>1478</v>
      </c>
      <c r="C753" t="s">
        <v>1</v>
      </c>
      <c r="D753" t="s">
        <v>3</v>
      </c>
      <c r="E753">
        <v>1</v>
      </c>
      <c r="F753" t="s">
        <v>4027</v>
      </c>
      <c r="G753">
        <v>60</v>
      </c>
    </row>
    <row r="754" spans="1:7" x14ac:dyDescent="0.2">
      <c r="A754" s="2">
        <v>45674</v>
      </c>
      <c r="B754" t="s">
        <v>1487</v>
      </c>
      <c r="C754" t="s">
        <v>1</v>
      </c>
      <c r="D754" t="s">
        <v>3</v>
      </c>
      <c r="E754">
        <v>1</v>
      </c>
      <c r="F754" t="s">
        <v>4027</v>
      </c>
      <c r="G754">
        <v>68</v>
      </c>
    </row>
    <row r="755" spans="1:7" x14ac:dyDescent="0.2">
      <c r="A755" s="2">
        <v>45674</v>
      </c>
      <c r="B755" t="s">
        <v>1481</v>
      </c>
      <c r="C755" t="s">
        <v>1</v>
      </c>
      <c r="D755" t="s">
        <v>3</v>
      </c>
      <c r="E755">
        <v>1</v>
      </c>
      <c r="F755" t="s">
        <v>4027</v>
      </c>
      <c r="G755">
        <v>83</v>
      </c>
    </row>
    <row r="756" spans="1:7" x14ac:dyDescent="0.2">
      <c r="A756" s="2">
        <v>45674</v>
      </c>
      <c r="B756" t="s">
        <v>1482</v>
      </c>
      <c r="C756" t="s">
        <v>1</v>
      </c>
      <c r="D756" t="s">
        <v>3</v>
      </c>
      <c r="E756">
        <v>1</v>
      </c>
      <c r="F756" t="s">
        <v>4027</v>
      </c>
      <c r="G756">
        <v>77</v>
      </c>
    </row>
    <row r="757" spans="1:7" x14ac:dyDescent="0.2">
      <c r="A757" s="2">
        <v>45674</v>
      </c>
      <c r="B757" t="s">
        <v>1483</v>
      </c>
      <c r="C757" t="s">
        <v>1</v>
      </c>
      <c r="D757" t="s">
        <v>3</v>
      </c>
      <c r="E757">
        <v>1</v>
      </c>
      <c r="F757" t="s">
        <v>4027</v>
      </c>
      <c r="G757">
        <v>69</v>
      </c>
    </row>
    <row r="758" spans="1:7" x14ac:dyDescent="0.2">
      <c r="A758" s="2">
        <v>45674</v>
      </c>
      <c r="B758" t="s">
        <v>1484</v>
      </c>
      <c r="C758" t="s">
        <v>1</v>
      </c>
      <c r="D758" t="s">
        <v>3</v>
      </c>
      <c r="E758">
        <v>1</v>
      </c>
      <c r="F758" t="s">
        <v>4027</v>
      </c>
      <c r="G758">
        <v>78</v>
      </c>
    </row>
    <row r="759" spans="1:7" x14ac:dyDescent="0.2">
      <c r="A759" s="2">
        <v>45674</v>
      </c>
      <c r="B759" t="s">
        <v>1485</v>
      </c>
      <c r="C759" t="s">
        <v>1</v>
      </c>
      <c r="D759" t="s">
        <v>3</v>
      </c>
      <c r="E759">
        <v>1</v>
      </c>
      <c r="F759" t="s">
        <v>4027</v>
      </c>
      <c r="G759">
        <v>71</v>
      </c>
    </row>
    <row r="760" spans="1:7" x14ac:dyDescent="0.2">
      <c r="A760" s="2">
        <v>45674</v>
      </c>
      <c r="B760" t="s">
        <v>1486</v>
      </c>
      <c r="C760" t="s">
        <v>1</v>
      </c>
      <c r="D760" t="s">
        <v>3</v>
      </c>
      <c r="E760">
        <v>1</v>
      </c>
      <c r="F760" t="s">
        <v>4027</v>
      </c>
      <c r="G760">
        <v>87</v>
      </c>
    </row>
    <row r="761" spans="1:7" x14ac:dyDescent="0.2">
      <c r="A761" s="2">
        <v>45674</v>
      </c>
      <c r="B761" t="s">
        <v>1488</v>
      </c>
      <c r="C761" t="s">
        <v>1</v>
      </c>
      <c r="D761" t="s">
        <v>3</v>
      </c>
      <c r="E761">
        <v>1</v>
      </c>
      <c r="F761" t="s">
        <v>4027</v>
      </c>
      <c r="G761">
        <v>67</v>
      </c>
    </row>
    <row r="762" spans="1:7" x14ac:dyDescent="0.2">
      <c r="A762" s="2">
        <v>45674</v>
      </c>
      <c r="B762" t="s">
        <v>1490</v>
      </c>
      <c r="C762" t="s">
        <v>1</v>
      </c>
      <c r="D762" t="s">
        <v>3</v>
      </c>
      <c r="E762">
        <v>1</v>
      </c>
      <c r="F762" t="s">
        <v>4027</v>
      </c>
      <c r="G762">
        <v>61</v>
      </c>
    </row>
    <row r="763" spans="1:7" x14ac:dyDescent="0.2">
      <c r="A763" s="2">
        <v>45674</v>
      </c>
      <c r="B763" t="s">
        <v>1491</v>
      </c>
      <c r="C763" t="s">
        <v>1</v>
      </c>
      <c r="D763" t="s">
        <v>3</v>
      </c>
      <c r="E763">
        <v>1</v>
      </c>
      <c r="F763" t="s">
        <v>4027</v>
      </c>
      <c r="G763">
        <v>80</v>
      </c>
    </row>
    <row r="764" spans="1:7" x14ac:dyDescent="0.2">
      <c r="A764" s="2">
        <v>45674</v>
      </c>
      <c r="B764" t="s">
        <v>865</v>
      </c>
      <c r="C764" t="s">
        <v>2</v>
      </c>
      <c r="D764" t="s">
        <v>4</v>
      </c>
      <c r="E764">
        <v>1</v>
      </c>
      <c r="F764" t="s">
        <v>600</v>
      </c>
      <c r="G764">
        <v>22</v>
      </c>
    </row>
    <row r="765" spans="1:7" x14ac:dyDescent="0.2">
      <c r="A765" s="2">
        <v>45674</v>
      </c>
      <c r="B765" t="s">
        <v>1489</v>
      </c>
      <c r="C765" t="s">
        <v>1</v>
      </c>
      <c r="D765" t="s">
        <v>3</v>
      </c>
      <c r="E765">
        <v>1</v>
      </c>
      <c r="F765" t="s">
        <v>4027</v>
      </c>
      <c r="G765">
        <v>63</v>
      </c>
    </row>
    <row r="766" spans="1:7" x14ac:dyDescent="0.2">
      <c r="A766" s="2">
        <v>45675</v>
      </c>
      <c r="B766" t="s">
        <v>1492</v>
      </c>
      <c r="C766" t="s">
        <v>1</v>
      </c>
      <c r="D766" t="s">
        <v>3</v>
      </c>
      <c r="E766">
        <v>1</v>
      </c>
      <c r="F766" t="s">
        <v>4027</v>
      </c>
      <c r="G766">
        <v>69</v>
      </c>
    </row>
    <row r="767" spans="1:7" x14ac:dyDescent="0.2">
      <c r="A767" s="2">
        <v>45675</v>
      </c>
      <c r="B767" t="s">
        <v>1493</v>
      </c>
      <c r="C767" t="s">
        <v>1</v>
      </c>
      <c r="D767" t="s">
        <v>3</v>
      </c>
      <c r="E767">
        <v>1</v>
      </c>
      <c r="F767" t="s">
        <v>4027</v>
      </c>
      <c r="G767">
        <v>85</v>
      </c>
    </row>
    <row r="768" spans="1:7" x14ac:dyDescent="0.2">
      <c r="A768" s="2">
        <v>45675</v>
      </c>
      <c r="B768" t="s">
        <v>1494</v>
      </c>
      <c r="C768" t="s">
        <v>1</v>
      </c>
      <c r="D768" t="s">
        <v>3</v>
      </c>
      <c r="E768">
        <v>1</v>
      </c>
      <c r="F768" t="s">
        <v>4027</v>
      </c>
      <c r="G768">
        <v>89</v>
      </c>
    </row>
    <row r="769" spans="1:7" x14ac:dyDescent="0.2">
      <c r="A769" s="2">
        <v>45677</v>
      </c>
      <c r="B769" t="s">
        <v>1499</v>
      </c>
      <c r="C769" t="s">
        <v>1</v>
      </c>
      <c r="D769" t="s">
        <v>3</v>
      </c>
      <c r="E769">
        <v>1</v>
      </c>
      <c r="F769" t="s">
        <v>4027</v>
      </c>
      <c r="G769">
        <v>81</v>
      </c>
    </row>
    <row r="770" spans="1:7" x14ac:dyDescent="0.2">
      <c r="A770" s="2">
        <v>45677</v>
      </c>
      <c r="B770" t="s">
        <v>1501</v>
      </c>
      <c r="C770" t="s">
        <v>1</v>
      </c>
      <c r="D770" t="s">
        <v>3</v>
      </c>
      <c r="E770">
        <v>1</v>
      </c>
      <c r="F770" t="s">
        <v>4027</v>
      </c>
      <c r="G770">
        <v>75</v>
      </c>
    </row>
    <row r="771" spans="1:7" x14ac:dyDescent="0.2">
      <c r="A771" s="2">
        <v>45677</v>
      </c>
      <c r="B771" t="s">
        <v>1502</v>
      </c>
      <c r="C771" t="s">
        <v>1</v>
      </c>
      <c r="D771" t="s">
        <v>3</v>
      </c>
      <c r="E771">
        <v>1</v>
      </c>
      <c r="F771" t="s">
        <v>4027</v>
      </c>
      <c r="G771">
        <v>64</v>
      </c>
    </row>
    <row r="772" spans="1:7" x14ac:dyDescent="0.2">
      <c r="A772" s="2">
        <v>45677</v>
      </c>
      <c r="B772" t="s">
        <v>1503</v>
      </c>
      <c r="C772" t="s">
        <v>1</v>
      </c>
      <c r="D772" t="s">
        <v>3</v>
      </c>
      <c r="E772">
        <v>1</v>
      </c>
      <c r="F772" t="s">
        <v>4027</v>
      </c>
      <c r="G772">
        <v>61</v>
      </c>
    </row>
    <row r="773" spans="1:7" x14ac:dyDescent="0.2">
      <c r="A773" s="2">
        <v>45677</v>
      </c>
      <c r="B773" t="s">
        <v>1504</v>
      </c>
      <c r="C773" t="s">
        <v>1</v>
      </c>
      <c r="D773" t="s">
        <v>3</v>
      </c>
      <c r="E773">
        <v>1</v>
      </c>
      <c r="F773" t="s">
        <v>4027</v>
      </c>
      <c r="G773">
        <v>89</v>
      </c>
    </row>
    <row r="774" spans="1:7" x14ac:dyDescent="0.2">
      <c r="A774" s="2">
        <v>45677</v>
      </c>
      <c r="B774" t="s">
        <v>1505</v>
      </c>
      <c r="C774" t="s">
        <v>1</v>
      </c>
      <c r="D774" t="s">
        <v>3</v>
      </c>
      <c r="E774">
        <v>1</v>
      </c>
      <c r="F774" t="s">
        <v>4027</v>
      </c>
      <c r="G774">
        <v>89</v>
      </c>
    </row>
    <row r="775" spans="1:7" x14ac:dyDescent="0.2">
      <c r="A775" s="2">
        <v>45677</v>
      </c>
      <c r="B775" t="s">
        <v>1500</v>
      </c>
      <c r="C775" t="s">
        <v>1</v>
      </c>
      <c r="D775" t="s">
        <v>3</v>
      </c>
      <c r="E775">
        <v>1</v>
      </c>
      <c r="F775" t="s">
        <v>4027</v>
      </c>
      <c r="G775">
        <v>77</v>
      </c>
    </row>
    <row r="776" spans="1:7" x14ac:dyDescent="0.2">
      <c r="A776" s="2">
        <v>45677</v>
      </c>
      <c r="B776" t="s">
        <v>1495</v>
      </c>
      <c r="C776" t="s">
        <v>1</v>
      </c>
      <c r="D776" t="s">
        <v>3</v>
      </c>
      <c r="E776">
        <v>1</v>
      </c>
      <c r="F776" t="s">
        <v>4027</v>
      </c>
      <c r="G776">
        <v>75</v>
      </c>
    </row>
    <row r="777" spans="1:7" x14ac:dyDescent="0.2">
      <c r="A777" s="2">
        <v>45677</v>
      </c>
      <c r="B777" t="s">
        <v>1496</v>
      </c>
      <c r="C777" t="s">
        <v>1</v>
      </c>
      <c r="D777" t="s">
        <v>3</v>
      </c>
      <c r="E777">
        <v>1</v>
      </c>
      <c r="F777" t="s">
        <v>4027</v>
      </c>
      <c r="G777">
        <v>88</v>
      </c>
    </row>
    <row r="778" spans="1:7" x14ac:dyDescent="0.2">
      <c r="A778" s="2">
        <v>45677</v>
      </c>
      <c r="B778" t="s">
        <v>1497</v>
      </c>
      <c r="C778" t="s">
        <v>1</v>
      </c>
      <c r="D778" t="s">
        <v>3</v>
      </c>
      <c r="E778">
        <v>1</v>
      </c>
      <c r="F778" t="s">
        <v>4027</v>
      </c>
      <c r="G778">
        <v>66</v>
      </c>
    </row>
    <row r="779" spans="1:7" x14ac:dyDescent="0.2">
      <c r="A779" s="2">
        <v>45677</v>
      </c>
      <c r="B779" t="s">
        <v>1498</v>
      </c>
      <c r="C779" t="s">
        <v>1</v>
      </c>
      <c r="D779" t="s">
        <v>3</v>
      </c>
      <c r="E779">
        <v>1</v>
      </c>
      <c r="F779" t="s">
        <v>4027</v>
      </c>
      <c r="G779">
        <v>72</v>
      </c>
    </row>
    <row r="780" spans="1:7" x14ac:dyDescent="0.2">
      <c r="A780" s="2">
        <v>45679</v>
      </c>
      <c r="B780" t="s">
        <v>1508</v>
      </c>
      <c r="C780" t="s">
        <v>1</v>
      </c>
      <c r="D780" t="s">
        <v>3</v>
      </c>
      <c r="E780">
        <v>1</v>
      </c>
      <c r="F780" t="s">
        <v>4027</v>
      </c>
      <c r="G780">
        <v>77</v>
      </c>
    </row>
    <row r="781" spans="1:7" x14ac:dyDescent="0.2">
      <c r="A781" s="2">
        <v>45679</v>
      </c>
      <c r="B781" t="s">
        <v>1510</v>
      </c>
      <c r="C781" t="s">
        <v>1</v>
      </c>
      <c r="D781" t="s">
        <v>3</v>
      </c>
      <c r="E781">
        <v>1</v>
      </c>
      <c r="F781" t="s">
        <v>4027</v>
      </c>
      <c r="G781">
        <v>88</v>
      </c>
    </row>
    <row r="782" spans="1:7" x14ac:dyDescent="0.2">
      <c r="A782" s="2">
        <v>45679</v>
      </c>
      <c r="B782" t="s">
        <v>1506</v>
      </c>
      <c r="C782" t="s">
        <v>1</v>
      </c>
      <c r="D782" t="s">
        <v>3</v>
      </c>
      <c r="E782">
        <v>1</v>
      </c>
      <c r="F782" t="s">
        <v>4027</v>
      </c>
      <c r="G782">
        <v>76</v>
      </c>
    </row>
    <row r="783" spans="1:7" x14ac:dyDescent="0.2">
      <c r="A783" s="2">
        <v>45679</v>
      </c>
      <c r="B783" t="s">
        <v>1507</v>
      </c>
      <c r="C783" t="s">
        <v>1</v>
      </c>
      <c r="D783" t="s">
        <v>3</v>
      </c>
      <c r="E783">
        <v>1</v>
      </c>
      <c r="F783" t="s">
        <v>4027</v>
      </c>
      <c r="G783">
        <v>89</v>
      </c>
    </row>
    <row r="784" spans="1:7" x14ac:dyDescent="0.2">
      <c r="A784" s="2">
        <v>45679</v>
      </c>
      <c r="B784" t="s">
        <v>1511</v>
      </c>
      <c r="C784" t="s">
        <v>1</v>
      </c>
      <c r="D784" t="s">
        <v>3</v>
      </c>
      <c r="E784">
        <v>1</v>
      </c>
      <c r="F784" t="s">
        <v>4027</v>
      </c>
      <c r="G784">
        <v>80</v>
      </c>
    </row>
    <row r="785" spans="1:7" x14ac:dyDescent="0.2">
      <c r="A785" s="2">
        <v>45679</v>
      </c>
      <c r="B785" t="s">
        <v>1512</v>
      </c>
      <c r="C785" t="s">
        <v>1</v>
      </c>
      <c r="D785" t="s">
        <v>3</v>
      </c>
      <c r="E785">
        <v>1</v>
      </c>
      <c r="F785" t="s">
        <v>4027</v>
      </c>
      <c r="G785">
        <v>68</v>
      </c>
    </row>
    <row r="786" spans="1:7" x14ac:dyDescent="0.2">
      <c r="A786" s="2">
        <v>45679</v>
      </c>
      <c r="B786" t="s">
        <v>1509</v>
      </c>
      <c r="C786" t="s">
        <v>1</v>
      </c>
      <c r="D786" t="s">
        <v>3</v>
      </c>
      <c r="E786">
        <v>1</v>
      </c>
      <c r="F786" t="s">
        <v>4027</v>
      </c>
      <c r="G786">
        <v>83</v>
      </c>
    </row>
    <row r="787" spans="1:7" x14ac:dyDescent="0.2">
      <c r="A787" s="2">
        <v>45679</v>
      </c>
      <c r="B787" t="s">
        <v>1513</v>
      </c>
      <c r="C787" t="s">
        <v>1</v>
      </c>
      <c r="D787" t="s">
        <v>3</v>
      </c>
      <c r="E787">
        <v>1</v>
      </c>
      <c r="F787" t="s">
        <v>4027</v>
      </c>
      <c r="G787">
        <v>74</v>
      </c>
    </row>
    <row r="788" spans="1:7" x14ac:dyDescent="0.2">
      <c r="A788" s="2">
        <v>45680</v>
      </c>
      <c r="B788" t="s">
        <v>873</v>
      </c>
      <c r="C788" t="s">
        <v>2</v>
      </c>
      <c r="D788" t="s">
        <v>4</v>
      </c>
      <c r="E788">
        <v>1</v>
      </c>
      <c r="F788" t="s">
        <v>600</v>
      </c>
      <c r="G788">
        <v>22</v>
      </c>
    </row>
    <row r="789" spans="1:7" x14ac:dyDescent="0.2">
      <c r="A789" s="2">
        <v>45680</v>
      </c>
      <c r="B789" t="s">
        <v>1515</v>
      </c>
      <c r="C789" t="s">
        <v>1</v>
      </c>
      <c r="D789" t="s">
        <v>3</v>
      </c>
      <c r="E789">
        <v>1</v>
      </c>
      <c r="F789" t="s">
        <v>4027</v>
      </c>
      <c r="G789">
        <v>75</v>
      </c>
    </row>
    <row r="790" spans="1:7" x14ac:dyDescent="0.2">
      <c r="A790" s="2">
        <v>45680</v>
      </c>
      <c r="B790" t="s">
        <v>1519</v>
      </c>
      <c r="C790" t="s">
        <v>1</v>
      </c>
      <c r="D790" t="s">
        <v>3</v>
      </c>
      <c r="E790">
        <v>1</v>
      </c>
      <c r="F790" t="s">
        <v>4027</v>
      </c>
      <c r="G790">
        <v>87</v>
      </c>
    </row>
    <row r="791" spans="1:7" x14ac:dyDescent="0.2">
      <c r="A791" s="2">
        <v>45680</v>
      </c>
      <c r="B791" t="s">
        <v>1517</v>
      </c>
      <c r="C791" t="s">
        <v>1</v>
      </c>
      <c r="D791" t="s">
        <v>3</v>
      </c>
      <c r="E791">
        <v>1</v>
      </c>
      <c r="F791" t="s">
        <v>4027</v>
      </c>
      <c r="G791">
        <v>67</v>
      </c>
    </row>
    <row r="792" spans="1:7" x14ac:dyDescent="0.2">
      <c r="A792" s="2">
        <v>45680</v>
      </c>
      <c r="B792" t="s">
        <v>1518</v>
      </c>
      <c r="C792" t="s">
        <v>1</v>
      </c>
      <c r="D792" t="s">
        <v>3</v>
      </c>
      <c r="E792">
        <v>1</v>
      </c>
      <c r="F792" t="s">
        <v>4027</v>
      </c>
      <c r="G792">
        <v>61</v>
      </c>
    </row>
    <row r="793" spans="1:7" x14ac:dyDescent="0.2">
      <c r="A793" s="2">
        <v>45680</v>
      </c>
      <c r="B793" t="s">
        <v>1520</v>
      </c>
      <c r="C793" t="s">
        <v>1</v>
      </c>
      <c r="D793" t="s">
        <v>3</v>
      </c>
      <c r="E793">
        <v>1</v>
      </c>
      <c r="F793" t="s">
        <v>4027</v>
      </c>
      <c r="G793">
        <v>86</v>
      </c>
    </row>
    <row r="794" spans="1:7" x14ac:dyDescent="0.2">
      <c r="A794" s="2">
        <v>45680</v>
      </c>
      <c r="B794" t="s">
        <v>870</v>
      </c>
      <c r="C794" t="s">
        <v>2</v>
      </c>
      <c r="D794" t="s">
        <v>4</v>
      </c>
      <c r="E794">
        <v>1</v>
      </c>
      <c r="F794" t="s">
        <v>600</v>
      </c>
      <c r="G794">
        <v>22</v>
      </c>
    </row>
    <row r="795" spans="1:7" x14ac:dyDescent="0.2">
      <c r="A795" s="2">
        <v>45680</v>
      </c>
      <c r="B795" t="s">
        <v>867</v>
      </c>
      <c r="C795" t="s">
        <v>2</v>
      </c>
      <c r="D795" t="s">
        <v>4</v>
      </c>
      <c r="E795">
        <v>1</v>
      </c>
      <c r="F795" t="s">
        <v>600</v>
      </c>
      <c r="G795">
        <v>22</v>
      </c>
    </row>
    <row r="796" spans="1:7" x14ac:dyDescent="0.2">
      <c r="A796" s="2">
        <v>45680</v>
      </c>
      <c r="B796" t="s">
        <v>1516</v>
      </c>
      <c r="C796" t="s">
        <v>1</v>
      </c>
      <c r="D796" t="s">
        <v>3</v>
      </c>
      <c r="E796">
        <v>1</v>
      </c>
      <c r="F796" t="s">
        <v>4027</v>
      </c>
      <c r="G796">
        <v>86</v>
      </c>
    </row>
    <row r="797" spans="1:7" x14ac:dyDescent="0.2">
      <c r="A797" s="2">
        <v>45680</v>
      </c>
      <c r="B797" t="s">
        <v>1514</v>
      </c>
      <c r="C797" t="s">
        <v>1</v>
      </c>
      <c r="D797" t="s">
        <v>3</v>
      </c>
      <c r="E797">
        <v>1</v>
      </c>
      <c r="F797" t="s">
        <v>4027</v>
      </c>
      <c r="G797">
        <v>72</v>
      </c>
    </row>
    <row r="798" spans="1:7" x14ac:dyDescent="0.2">
      <c r="A798" s="2">
        <v>45681</v>
      </c>
      <c r="B798" t="s">
        <v>875</v>
      </c>
      <c r="C798" t="s">
        <v>2</v>
      </c>
      <c r="D798" t="s">
        <v>4</v>
      </c>
      <c r="E798">
        <v>1</v>
      </c>
      <c r="F798" t="s">
        <v>600</v>
      </c>
      <c r="G798">
        <v>22</v>
      </c>
    </row>
    <row r="799" spans="1:7" x14ac:dyDescent="0.2">
      <c r="A799" s="2">
        <v>45681</v>
      </c>
      <c r="B799" t="s">
        <v>1523</v>
      </c>
      <c r="C799" t="s">
        <v>1</v>
      </c>
      <c r="D799" t="s">
        <v>3</v>
      </c>
      <c r="E799">
        <v>1</v>
      </c>
      <c r="F799" t="s">
        <v>4027</v>
      </c>
      <c r="G799">
        <v>60</v>
      </c>
    </row>
    <row r="800" spans="1:7" x14ac:dyDescent="0.2">
      <c r="A800" s="2">
        <v>45681</v>
      </c>
      <c r="B800" t="s">
        <v>1524</v>
      </c>
      <c r="C800" t="s">
        <v>1</v>
      </c>
      <c r="D800" t="s">
        <v>3</v>
      </c>
      <c r="E800">
        <v>1</v>
      </c>
      <c r="F800" t="s">
        <v>4027</v>
      </c>
      <c r="G800">
        <v>73</v>
      </c>
    </row>
    <row r="801" spans="1:7" x14ac:dyDescent="0.2">
      <c r="A801" s="2">
        <v>45681</v>
      </c>
      <c r="B801" t="s">
        <v>1525</v>
      </c>
      <c r="C801" t="s">
        <v>1</v>
      </c>
      <c r="D801" t="s">
        <v>3</v>
      </c>
      <c r="E801">
        <v>1</v>
      </c>
      <c r="F801" t="s">
        <v>4027</v>
      </c>
      <c r="G801">
        <v>71</v>
      </c>
    </row>
    <row r="802" spans="1:7" x14ac:dyDescent="0.2">
      <c r="A802" s="2">
        <v>45681</v>
      </c>
      <c r="B802" t="s">
        <v>1526</v>
      </c>
      <c r="C802" t="s">
        <v>1</v>
      </c>
      <c r="D802" t="s">
        <v>3</v>
      </c>
      <c r="E802">
        <v>1</v>
      </c>
      <c r="F802" t="s">
        <v>4027</v>
      </c>
      <c r="G802">
        <v>64</v>
      </c>
    </row>
    <row r="803" spans="1:7" x14ac:dyDescent="0.2">
      <c r="A803" s="2">
        <v>45681</v>
      </c>
      <c r="B803" t="s">
        <v>1527</v>
      </c>
      <c r="C803" t="s">
        <v>1</v>
      </c>
      <c r="D803" t="s">
        <v>3</v>
      </c>
      <c r="E803">
        <v>1</v>
      </c>
      <c r="F803" t="s">
        <v>4027</v>
      </c>
      <c r="G803">
        <v>89</v>
      </c>
    </row>
    <row r="804" spans="1:7" x14ac:dyDescent="0.2">
      <c r="A804" s="2">
        <v>45681</v>
      </c>
      <c r="B804" t="s">
        <v>880</v>
      </c>
      <c r="C804" t="s">
        <v>2</v>
      </c>
      <c r="D804" t="s">
        <v>4</v>
      </c>
      <c r="E804">
        <v>1</v>
      </c>
      <c r="F804" t="s">
        <v>600</v>
      </c>
      <c r="G804">
        <v>22</v>
      </c>
    </row>
    <row r="805" spans="1:7" x14ac:dyDescent="0.2">
      <c r="A805" s="2">
        <v>45681</v>
      </c>
      <c r="B805" t="s">
        <v>1522</v>
      </c>
      <c r="C805" t="s">
        <v>1</v>
      </c>
      <c r="D805" t="s">
        <v>3</v>
      </c>
      <c r="E805">
        <v>1</v>
      </c>
      <c r="F805" t="s">
        <v>4027</v>
      </c>
      <c r="G805">
        <v>61</v>
      </c>
    </row>
    <row r="806" spans="1:7" x14ac:dyDescent="0.2">
      <c r="A806" s="2">
        <v>45681</v>
      </c>
      <c r="B806" t="s">
        <v>1521</v>
      </c>
      <c r="C806" t="s">
        <v>1</v>
      </c>
      <c r="D806" t="s">
        <v>3</v>
      </c>
      <c r="E806">
        <v>1</v>
      </c>
      <c r="F806" t="s">
        <v>4027</v>
      </c>
      <c r="G806">
        <v>71</v>
      </c>
    </row>
    <row r="807" spans="1:7" x14ac:dyDescent="0.2">
      <c r="A807" s="2">
        <v>45684</v>
      </c>
      <c r="B807" t="s">
        <v>1532</v>
      </c>
      <c r="C807" t="s">
        <v>1</v>
      </c>
      <c r="D807" t="s">
        <v>3</v>
      </c>
      <c r="E807">
        <v>1</v>
      </c>
      <c r="F807" t="s">
        <v>4027</v>
      </c>
      <c r="G807">
        <v>89</v>
      </c>
    </row>
    <row r="808" spans="1:7" x14ac:dyDescent="0.2">
      <c r="A808" s="2">
        <v>45684</v>
      </c>
      <c r="B808" t="s">
        <v>1531</v>
      </c>
      <c r="C808" t="s">
        <v>1</v>
      </c>
      <c r="D808" t="s">
        <v>3</v>
      </c>
      <c r="E808">
        <v>1</v>
      </c>
      <c r="F808" t="s">
        <v>4027</v>
      </c>
      <c r="G808">
        <v>84</v>
      </c>
    </row>
    <row r="809" spans="1:7" x14ac:dyDescent="0.2">
      <c r="A809" s="2">
        <v>45684</v>
      </c>
      <c r="B809" t="s">
        <v>1528</v>
      </c>
      <c r="C809" t="s">
        <v>1</v>
      </c>
      <c r="D809" t="s">
        <v>3</v>
      </c>
      <c r="E809">
        <v>1</v>
      </c>
      <c r="F809" t="s">
        <v>4027</v>
      </c>
      <c r="G809">
        <v>81</v>
      </c>
    </row>
    <row r="810" spans="1:7" x14ac:dyDescent="0.2">
      <c r="A810" s="2">
        <v>45684</v>
      </c>
      <c r="B810" t="s">
        <v>1529</v>
      </c>
      <c r="C810" t="s">
        <v>1</v>
      </c>
      <c r="D810" t="s">
        <v>3</v>
      </c>
      <c r="E810">
        <v>1</v>
      </c>
      <c r="F810" t="s">
        <v>4027</v>
      </c>
      <c r="G810">
        <v>61</v>
      </c>
    </row>
    <row r="811" spans="1:7" x14ac:dyDescent="0.2">
      <c r="A811" s="2">
        <v>45684</v>
      </c>
      <c r="B811" t="s">
        <v>1530</v>
      </c>
      <c r="C811" t="s">
        <v>1</v>
      </c>
      <c r="D811" t="s">
        <v>3</v>
      </c>
      <c r="E811">
        <v>1</v>
      </c>
      <c r="F811" t="s">
        <v>4027</v>
      </c>
      <c r="G811">
        <v>60</v>
      </c>
    </row>
    <row r="812" spans="1:7" x14ac:dyDescent="0.2">
      <c r="A812" s="2">
        <v>45684</v>
      </c>
      <c r="B812" t="s">
        <v>1535</v>
      </c>
      <c r="C812" t="s">
        <v>1</v>
      </c>
      <c r="D812" t="s">
        <v>3</v>
      </c>
      <c r="E812">
        <v>1</v>
      </c>
      <c r="F812" t="s">
        <v>4027</v>
      </c>
      <c r="G812">
        <v>76</v>
      </c>
    </row>
    <row r="813" spans="1:7" x14ac:dyDescent="0.2">
      <c r="A813" s="2">
        <v>45684</v>
      </c>
      <c r="B813" t="s">
        <v>1533</v>
      </c>
      <c r="C813" t="s">
        <v>1</v>
      </c>
      <c r="D813" t="s">
        <v>3</v>
      </c>
      <c r="E813">
        <v>1</v>
      </c>
      <c r="F813" t="s">
        <v>4027</v>
      </c>
      <c r="G813">
        <v>76</v>
      </c>
    </row>
    <row r="814" spans="1:7" x14ac:dyDescent="0.2">
      <c r="A814" s="2">
        <v>45684</v>
      </c>
      <c r="B814" t="s">
        <v>1534</v>
      </c>
      <c r="C814" t="s">
        <v>1</v>
      </c>
      <c r="D814" t="s">
        <v>3</v>
      </c>
      <c r="E814">
        <v>1</v>
      </c>
      <c r="F814" t="s">
        <v>4027</v>
      </c>
      <c r="G814">
        <v>87</v>
      </c>
    </row>
    <row r="815" spans="1:7" x14ac:dyDescent="0.2">
      <c r="A815" s="2">
        <v>45685</v>
      </c>
      <c r="B815" t="s">
        <v>1541</v>
      </c>
      <c r="C815" t="s">
        <v>1</v>
      </c>
      <c r="D815" t="s">
        <v>3</v>
      </c>
      <c r="E815">
        <v>1</v>
      </c>
      <c r="F815" t="s">
        <v>4027</v>
      </c>
      <c r="G815">
        <v>86</v>
      </c>
    </row>
    <row r="816" spans="1:7" x14ac:dyDescent="0.2">
      <c r="A816" s="2">
        <v>45685</v>
      </c>
      <c r="B816" t="s">
        <v>1540</v>
      </c>
      <c r="C816" t="s">
        <v>1</v>
      </c>
      <c r="D816" t="s">
        <v>3</v>
      </c>
      <c r="E816">
        <v>1</v>
      </c>
      <c r="F816" t="s">
        <v>4027</v>
      </c>
      <c r="G816">
        <v>65</v>
      </c>
    </row>
    <row r="817" spans="1:7" x14ac:dyDescent="0.2">
      <c r="A817" s="2">
        <v>45685</v>
      </c>
      <c r="B817" t="s">
        <v>1539</v>
      </c>
      <c r="C817" t="s">
        <v>1</v>
      </c>
      <c r="D817" t="s">
        <v>3</v>
      </c>
      <c r="E817">
        <v>1</v>
      </c>
      <c r="F817" t="s">
        <v>4027</v>
      </c>
      <c r="G817">
        <v>77</v>
      </c>
    </row>
    <row r="818" spans="1:7" x14ac:dyDescent="0.2">
      <c r="A818" s="2">
        <v>45685</v>
      </c>
      <c r="B818" t="s">
        <v>1538</v>
      </c>
      <c r="C818" t="s">
        <v>1</v>
      </c>
      <c r="D818" t="s">
        <v>3</v>
      </c>
      <c r="E818">
        <v>1</v>
      </c>
      <c r="F818" t="s">
        <v>4027</v>
      </c>
      <c r="G818">
        <v>60</v>
      </c>
    </row>
    <row r="819" spans="1:7" x14ac:dyDescent="0.2">
      <c r="A819" s="2">
        <v>45685</v>
      </c>
      <c r="B819" t="s">
        <v>1537</v>
      </c>
      <c r="C819" t="s">
        <v>1</v>
      </c>
      <c r="D819" t="s">
        <v>3</v>
      </c>
      <c r="E819">
        <v>1</v>
      </c>
      <c r="F819" t="s">
        <v>4027</v>
      </c>
      <c r="G819">
        <v>66</v>
      </c>
    </row>
    <row r="820" spans="1:7" x14ac:dyDescent="0.2">
      <c r="A820" s="2">
        <v>45685</v>
      </c>
      <c r="B820" t="s">
        <v>1544</v>
      </c>
      <c r="C820" t="s">
        <v>1</v>
      </c>
      <c r="D820" t="s">
        <v>3</v>
      </c>
      <c r="E820">
        <v>1</v>
      </c>
      <c r="F820" t="s">
        <v>4027</v>
      </c>
      <c r="G820">
        <v>76</v>
      </c>
    </row>
    <row r="821" spans="1:7" x14ac:dyDescent="0.2">
      <c r="A821" s="2">
        <v>45685</v>
      </c>
      <c r="B821" t="s">
        <v>1536</v>
      </c>
      <c r="C821" t="s">
        <v>1</v>
      </c>
      <c r="D821" t="s">
        <v>3</v>
      </c>
      <c r="E821">
        <v>1</v>
      </c>
      <c r="F821" t="s">
        <v>4027</v>
      </c>
      <c r="G821">
        <v>85</v>
      </c>
    </row>
    <row r="822" spans="1:7" x14ac:dyDescent="0.2">
      <c r="A822" s="2">
        <v>45685</v>
      </c>
      <c r="B822" t="s">
        <v>884</v>
      </c>
      <c r="C822" t="s">
        <v>2</v>
      </c>
      <c r="D822" t="s">
        <v>4</v>
      </c>
      <c r="E822">
        <v>1</v>
      </c>
      <c r="F822" t="s">
        <v>600</v>
      </c>
      <c r="G822">
        <v>22</v>
      </c>
    </row>
    <row r="823" spans="1:7" x14ac:dyDescent="0.2">
      <c r="A823" s="2">
        <v>45685</v>
      </c>
      <c r="B823" t="s">
        <v>1545</v>
      </c>
      <c r="C823" t="s">
        <v>1</v>
      </c>
      <c r="D823" t="s">
        <v>3</v>
      </c>
      <c r="E823">
        <v>1</v>
      </c>
      <c r="F823" t="s">
        <v>4027</v>
      </c>
      <c r="G823">
        <v>70</v>
      </c>
    </row>
    <row r="824" spans="1:7" x14ac:dyDescent="0.2">
      <c r="A824" s="2">
        <v>45685</v>
      </c>
      <c r="B824" t="s">
        <v>1546</v>
      </c>
      <c r="C824" t="s">
        <v>1</v>
      </c>
      <c r="D824" t="s">
        <v>3</v>
      </c>
      <c r="E824">
        <v>1</v>
      </c>
      <c r="F824" t="s">
        <v>4027</v>
      </c>
      <c r="G824">
        <v>82</v>
      </c>
    </row>
    <row r="825" spans="1:7" x14ac:dyDescent="0.2">
      <c r="A825" s="2">
        <v>45685</v>
      </c>
      <c r="B825" t="s">
        <v>1547</v>
      </c>
      <c r="C825" t="s">
        <v>1</v>
      </c>
      <c r="D825" t="s">
        <v>3</v>
      </c>
      <c r="E825">
        <v>1</v>
      </c>
      <c r="F825" t="s">
        <v>4027</v>
      </c>
      <c r="G825">
        <v>77</v>
      </c>
    </row>
    <row r="826" spans="1:7" x14ac:dyDescent="0.2">
      <c r="A826" s="2">
        <v>45685</v>
      </c>
      <c r="B826" t="s">
        <v>1548</v>
      </c>
      <c r="C826" t="s">
        <v>1</v>
      </c>
      <c r="D826" t="s">
        <v>3</v>
      </c>
      <c r="E826">
        <v>1</v>
      </c>
      <c r="F826" t="s">
        <v>4027</v>
      </c>
      <c r="G826">
        <v>82</v>
      </c>
    </row>
    <row r="827" spans="1:7" x14ac:dyDescent="0.2">
      <c r="A827" s="2">
        <v>45685</v>
      </c>
      <c r="B827" t="s">
        <v>1542</v>
      </c>
      <c r="C827" t="s">
        <v>1</v>
      </c>
      <c r="D827" t="s">
        <v>3</v>
      </c>
      <c r="E827">
        <v>1</v>
      </c>
      <c r="F827" t="s">
        <v>4027</v>
      </c>
      <c r="G827">
        <v>86</v>
      </c>
    </row>
    <row r="828" spans="1:7" x14ac:dyDescent="0.2">
      <c r="A828" s="2">
        <v>45685</v>
      </c>
      <c r="B828" t="s">
        <v>1543</v>
      </c>
      <c r="C828" t="s">
        <v>1</v>
      </c>
      <c r="D828" t="s">
        <v>3</v>
      </c>
      <c r="E828">
        <v>1</v>
      </c>
      <c r="F828" t="s">
        <v>4027</v>
      </c>
      <c r="G828">
        <v>68</v>
      </c>
    </row>
    <row r="829" spans="1:7" x14ac:dyDescent="0.2">
      <c r="A829" s="2">
        <v>45686</v>
      </c>
      <c r="B829" t="s">
        <v>1552</v>
      </c>
      <c r="C829" t="s">
        <v>1</v>
      </c>
      <c r="D829" t="s">
        <v>3</v>
      </c>
      <c r="E829">
        <v>1</v>
      </c>
      <c r="F829" t="s">
        <v>4027</v>
      </c>
      <c r="G829">
        <v>87</v>
      </c>
    </row>
    <row r="830" spans="1:7" x14ac:dyDescent="0.2">
      <c r="A830" s="2">
        <v>45686</v>
      </c>
      <c r="B830" t="s">
        <v>1549</v>
      </c>
      <c r="C830" t="s">
        <v>1</v>
      </c>
      <c r="D830" t="s">
        <v>3</v>
      </c>
      <c r="E830">
        <v>1</v>
      </c>
      <c r="F830" t="s">
        <v>4027</v>
      </c>
      <c r="G830">
        <v>71</v>
      </c>
    </row>
    <row r="831" spans="1:7" x14ac:dyDescent="0.2">
      <c r="A831" s="2">
        <v>45686</v>
      </c>
      <c r="B831" t="s">
        <v>1553</v>
      </c>
      <c r="C831" t="s">
        <v>1</v>
      </c>
      <c r="D831" t="s">
        <v>3</v>
      </c>
      <c r="E831">
        <v>1</v>
      </c>
      <c r="F831" t="s">
        <v>4027</v>
      </c>
      <c r="G831">
        <v>80</v>
      </c>
    </row>
    <row r="832" spans="1:7" x14ac:dyDescent="0.2">
      <c r="A832" s="2">
        <v>45686</v>
      </c>
      <c r="B832" t="s">
        <v>1554</v>
      </c>
      <c r="C832" t="s">
        <v>1</v>
      </c>
      <c r="D832" t="s">
        <v>3</v>
      </c>
      <c r="E832">
        <v>1</v>
      </c>
      <c r="F832" t="s">
        <v>4027</v>
      </c>
      <c r="G832">
        <v>89</v>
      </c>
    </row>
    <row r="833" spans="1:7" x14ac:dyDescent="0.2">
      <c r="A833" s="2">
        <v>45686</v>
      </c>
      <c r="B833" t="s">
        <v>1550</v>
      </c>
      <c r="C833" t="s">
        <v>1</v>
      </c>
      <c r="D833" t="s">
        <v>3</v>
      </c>
      <c r="E833">
        <v>1</v>
      </c>
      <c r="F833" t="s">
        <v>4027</v>
      </c>
      <c r="G833">
        <v>81</v>
      </c>
    </row>
    <row r="834" spans="1:7" x14ac:dyDescent="0.2">
      <c r="A834" s="2">
        <v>45686</v>
      </c>
      <c r="B834" t="s">
        <v>1551</v>
      </c>
      <c r="C834" t="s">
        <v>1</v>
      </c>
      <c r="D834" t="s">
        <v>3</v>
      </c>
      <c r="E834">
        <v>1</v>
      </c>
      <c r="F834" t="s">
        <v>4027</v>
      </c>
      <c r="G834">
        <v>82</v>
      </c>
    </row>
    <row r="835" spans="1:7" x14ac:dyDescent="0.2">
      <c r="A835" s="2">
        <v>45687</v>
      </c>
      <c r="B835" t="s">
        <v>1556</v>
      </c>
      <c r="C835" t="s">
        <v>1</v>
      </c>
      <c r="D835" t="s">
        <v>3</v>
      </c>
      <c r="E835">
        <v>1</v>
      </c>
      <c r="F835" t="s">
        <v>4027</v>
      </c>
      <c r="G835">
        <v>75</v>
      </c>
    </row>
    <row r="836" spans="1:7" x14ac:dyDescent="0.2">
      <c r="A836" s="2">
        <v>45687</v>
      </c>
      <c r="B836" t="s">
        <v>1557</v>
      </c>
      <c r="C836" t="s">
        <v>1</v>
      </c>
      <c r="D836" t="s">
        <v>3</v>
      </c>
      <c r="E836">
        <v>1</v>
      </c>
      <c r="F836" t="s">
        <v>4027</v>
      </c>
      <c r="G836">
        <v>72</v>
      </c>
    </row>
    <row r="837" spans="1:7" x14ac:dyDescent="0.2">
      <c r="A837" s="2">
        <v>45687</v>
      </c>
      <c r="B837" t="s">
        <v>1558</v>
      </c>
      <c r="C837" t="s">
        <v>1</v>
      </c>
      <c r="D837" t="s">
        <v>3</v>
      </c>
      <c r="E837">
        <v>1</v>
      </c>
      <c r="F837" t="s">
        <v>4027</v>
      </c>
      <c r="G837">
        <v>71</v>
      </c>
    </row>
    <row r="838" spans="1:7" x14ac:dyDescent="0.2">
      <c r="A838" s="2">
        <v>45687</v>
      </c>
      <c r="B838" t="s">
        <v>1555</v>
      </c>
      <c r="C838" t="s">
        <v>1</v>
      </c>
      <c r="D838" t="s">
        <v>3</v>
      </c>
      <c r="E838">
        <v>1</v>
      </c>
      <c r="F838" t="s">
        <v>4027</v>
      </c>
      <c r="G838">
        <v>74</v>
      </c>
    </row>
    <row r="839" spans="1:7" x14ac:dyDescent="0.2">
      <c r="A839" s="2">
        <v>45687</v>
      </c>
      <c r="B839" t="s">
        <v>888</v>
      </c>
      <c r="C839" t="s">
        <v>2</v>
      </c>
      <c r="D839" t="s">
        <v>4</v>
      </c>
      <c r="E839">
        <v>1</v>
      </c>
      <c r="F839" t="s">
        <v>600</v>
      </c>
      <c r="G839">
        <v>22</v>
      </c>
    </row>
    <row r="840" spans="1:7" x14ac:dyDescent="0.2">
      <c r="A840" s="2">
        <v>45687</v>
      </c>
      <c r="B840" t="s">
        <v>895</v>
      </c>
      <c r="C840" t="s">
        <v>2</v>
      </c>
      <c r="D840" t="s">
        <v>4</v>
      </c>
      <c r="E840">
        <v>1</v>
      </c>
      <c r="F840" t="s">
        <v>600</v>
      </c>
      <c r="G840">
        <v>22</v>
      </c>
    </row>
    <row r="841" spans="1:7" x14ac:dyDescent="0.2">
      <c r="A841" s="2">
        <v>45687</v>
      </c>
      <c r="B841" t="s">
        <v>897</v>
      </c>
      <c r="C841" t="s">
        <v>2</v>
      </c>
      <c r="D841" t="s">
        <v>4</v>
      </c>
      <c r="E841">
        <v>1</v>
      </c>
      <c r="F841" t="s">
        <v>600</v>
      </c>
      <c r="G841">
        <v>22</v>
      </c>
    </row>
    <row r="842" spans="1:7" x14ac:dyDescent="0.2">
      <c r="A842" s="2">
        <v>45688</v>
      </c>
      <c r="B842" t="s">
        <v>1568</v>
      </c>
      <c r="C842" t="s">
        <v>1</v>
      </c>
      <c r="D842" t="s">
        <v>3</v>
      </c>
      <c r="E842">
        <v>1</v>
      </c>
      <c r="F842" t="s">
        <v>4027</v>
      </c>
      <c r="G842">
        <v>81</v>
      </c>
    </row>
    <row r="843" spans="1:7" x14ac:dyDescent="0.2">
      <c r="A843" s="2">
        <v>45688</v>
      </c>
      <c r="B843" t="s">
        <v>1567</v>
      </c>
      <c r="C843" t="s">
        <v>1</v>
      </c>
      <c r="D843" t="s">
        <v>3</v>
      </c>
      <c r="E843">
        <v>1</v>
      </c>
      <c r="F843" t="s">
        <v>4027</v>
      </c>
      <c r="G843">
        <v>72</v>
      </c>
    </row>
    <row r="844" spans="1:7" x14ac:dyDescent="0.2">
      <c r="A844" s="2">
        <v>45688</v>
      </c>
      <c r="B844" t="s">
        <v>1566</v>
      </c>
      <c r="C844" t="s">
        <v>1</v>
      </c>
      <c r="D844" t="s">
        <v>3</v>
      </c>
      <c r="E844">
        <v>1</v>
      </c>
      <c r="F844" t="s">
        <v>4027</v>
      </c>
      <c r="G844">
        <v>60</v>
      </c>
    </row>
    <row r="845" spans="1:7" x14ac:dyDescent="0.2">
      <c r="A845" s="2">
        <v>45688</v>
      </c>
      <c r="B845" t="s">
        <v>1565</v>
      </c>
      <c r="C845" t="s">
        <v>1</v>
      </c>
      <c r="D845" t="s">
        <v>3</v>
      </c>
      <c r="E845">
        <v>1</v>
      </c>
      <c r="F845" t="s">
        <v>4027</v>
      </c>
      <c r="G845">
        <v>84</v>
      </c>
    </row>
    <row r="846" spans="1:7" x14ac:dyDescent="0.2">
      <c r="A846" s="2">
        <v>45688</v>
      </c>
      <c r="B846" t="s">
        <v>1563</v>
      </c>
      <c r="C846" t="s">
        <v>1</v>
      </c>
      <c r="D846" t="s">
        <v>3</v>
      </c>
      <c r="E846">
        <v>1</v>
      </c>
      <c r="F846" t="s">
        <v>4027</v>
      </c>
      <c r="G846">
        <v>73</v>
      </c>
    </row>
    <row r="847" spans="1:7" x14ac:dyDescent="0.2">
      <c r="A847" s="2">
        <v>45688</v>
      </c>
      <c r="B847" t="s">
        <v>1562</v>
      </c>
      <c r="C847" t="s">
        <v>1</v>
      </c>
      <c r="D847" t="s">
        <v>3</v>
      </c>
      <c r="E847">
        <v>1</v>
      </c>
      <c r="F847" t="s">
        <v>4027</v>
      </c>
      <c r="G847">
        <v>84</v>
      </c>
    </row>
    <row r="848" spans="1:7" x14ac:dyDescent="0.2">
      <c r="A848" s="2">
        <v>45688</v>
      </c>
      <c r="B848" t="s">
        <v>1564</v>
      </c>
      <c r="C848" t="s">
        <v>1</v>
      </c>
      <c r="D848" t="s">
        <v>3</v>
      </c>
      <c r="E848">
        <v>1</v>
      </c>
      <c r="F848" t="s">
        <v>4027</v>
      </c>
      <c r="G848">
        <v>87</v>
      </c>
    </row>
    <row r="849" spans="1:7" x14ac:dyDescent="0.2">
      <c r="A849" s="2">
        <v>45688</v>
      </c>
      <c r="B849" t="s">
        <v>1560</v>
      </c>
      <c r="C849" t="s">
        <v>1</v>
      </c>
      <c r="D849" t="s">
        <v>3</v>
      </c>
      <c r="E849">
        <v>1</v>
      </c>
      <c r="F849" t="s">
        <v>4027</v>
      </c>
      <c r="G849">
        <v>74</v>
      </c>
    </row>
    <row r="850" spans="1:7" x14ac:dyDescent="0.2">
      <c r="A850" s="2">
        <v>45688</v>
      </c>
      <c r="B850" t="s">
        <v>1559</v>
      </c>
      <c r="C850" t="s">
        <v>1</v>
      </c>
      <c r="D850" t="s">
        <v>3</v>
      </c>
      <c r="E850">
        <v>1</v>
      </c>
      <c r="F850" t="s">
        <v>4027</v>
      </c>
      <c r="G850">
        <v>69</v>
      </c>
    </row>
    <row r="851" spans="1:7" x14ac:dyDescent="0.2">
      <c r="A851" s="2">
        <v>45688</v>
      </c>
      <c r="B851" t="s">
        <v>1561</v>
      </c>
      <c r="C851" t="s">
        <v>1</v>
      </c>
      <c r="D851" t="s">
        <v>3</v>
      </c>
      <c r="E851">
        <v>1</v>
      </c>
      <c r="F851" t="s">
        <v>4027</v>
      </c>
      <c r="G851">
        <v>83</v>
      </c>
    </row>
    <row r="852" spans="1:7" x14ac:dyDescent="0.2">
      <c r="A852" s="2">
        <v>45689</v>
      </c>
      <c r="B852" t="s">
        <v>1569</v>
      </c>
      <c r="C852" t="s">
        <v>1</v>
      </c>
      <c r="D852" t="s">
        <v>3</v>
      </c>
      <c r="E852">
        <v>1</v>
      </c>
      <c r="F852" t="s">
        <v>4027</v>
      </c>
      <c r="G852">
        <v>61</v>
      </c>
    </row>
    <row r="853" spans="1:7" x14ac:dyDescent="0.2">
      <c r="A853" s="2">
        <v>45691</v>
      </c>
      <c r="B853" t="s">
        <v>1570</v>
      </c>
      <c r="C853" t="s">
        <v>1</v>
      </c>
      <c r="D853" t="s">
        <v>3</v>
      </c>
      <c r="E853">
        <v>1</v>
      </c>
      <c r="F853" t="s">
        <v>4027</v>
      </c>
      <c r="G853">
        <v>61</v>
      </c>
    </row>
    <row r="854" spans="1:7" x14ac:dyDescent="0.2">
      <c r="A854" s="2">
        <v>45691</v>
      </c>
      <c r="B854" t="s">
        <v>1571</v>
      </c>
      <c r="C854" t="s">
        <v>1</v>
      </c>
      <c r="D854" t="s">
        <v>3</v>
      </c>
      <c r="E854">
        <v>1</v>
      </c>
      <c r="F854" t="s">
        <v>4027</v>
      </c>
      <c r="G854">
        <v>88</v>
      </c>
    </row>
    <row r="855" spans="1:7" x14ac:dyDescent="0.2">
      <c r="A855" s="2">
        <v>45691</v>
      </c>
      <c r="B855" t="s">
        <v>1572</v>
      </c>
      <c r="C855" t="s">
        <v>1</v>
      </c>
      <c r="D855" t="s">
        <v>3</v>
      </c>
      <c r="E855">
        <v>1</v>
      </c>
      <c r="F855" t="s">
        <v>4027</v>
      </c>
      <c r="G855">
        <v>79</v>
      </c>
    </row>
    <row r="856" spans="1:7" x14ac:dyDescent="0.2">
      <c r="A856" s="2">
        <v>45692</v>
      </c>
      <c r="B856" t="s">
        <v>1579</v>
      </c>
      <c r="C856" t="s">
        <v>1</v>
      </c>
      <c r="D856" t="s">
        <v>3</v>
      </c>
      <c r="E856">
        <v>1</v>
      </c>
      <c r="F856" t="s">
        <v>4027</v>
      </c>
      <c r="G856">
        <v>83</v>
      </c>
    </row>
    <row r="857" spans="1:7" x14ac:dyDescent="0.2">
      <c r="A857" s="2">
        <v>45692</v>
      </c>
      <c r="B857" t="s">
        <v>1585</v>
      </c>
      <c r="C857" t="s">
        <v>1</v>
      </c>
      <c r="D857" t="s">
        <v>3</v>
      </c>
      <c r="E857">
        <v>1</v>
      </c>
      <c r="F857" t="s">
        <v>4027</v>
      </c>
      <c r="G857">
        <v>61</v>
      </c>
    </row>
    <row r="858" spans="1:7" x14ac:dyDescent="0.2">
      <c r="A858" s="2">
        <v>45692</v>
      </c>
      <c r="B858" t="s">
        <v>1584</v>
      </c>
      <c r="C858" t="s">
        <v>1</v>
      </c>
      <c r="D858" t="s">
        <v>3</v>
      </c>
      <c r="E858">
        <v>1</v>
      </c>
      <c r="F858" t="s">
        <v>4027</v>
      </c>
      <c r="G858">
        <v>61</v>
      </c>
    </row>
    <row r="859" spans="1:7" x14ac:dyDescent="0.2">
      <c r="A859" s="2">
        <v>45692</v>
      </c>
      <c r="B859" t="s">
        <v>1583</v>
      </c>
      <c r="C859" t="s">
        <v>1</v>
      </c>
      <c r="D859" t="s">
        <v>3</v>
      </c>
      <c r="E859">
        <v>1</v>
      </c>
      <c r="F859" t="s">
        <v>4027</v>
      </c>
      <c r="G859">
        <v>78</v>
      </c>
    </row>
    <row r="860" spans="1:7" x14ac:dyDescent="0.2">
      <c r="A860" s="2">
        <v>45692</v>
      </c>
      <c r="B860" t="s">
        <v>1582</v>
      </c>
      <c r="C860" t="s">
        <v>1</v>
      </c>
      <c r="D860" t="s">
        <v>3</v>
      </c>
      <c r="E860">
        <v>1</v>
      </c>
      <c r="F860" t="s">
        <v>4027</v>
      </c>
      <c r="G860">
        <v>79</v>
      </c>
    </row>
    <row r="861" spans="1:7" x14ac:dyDescent="0.2">
      <c r="A861" s="2">
        <v>45692</v>
      </c>
      <c r="B861" t="s">
        <v>1581</v>
      </c>
      <c r="C861" t="s">
        <v>1</v>
      </c>
      <c r="D861" t="s">
        <v>3</v>
      </c>
      <c r="E861">
        <v>1</v>
      </c>
      <c r="F861" t="s">
        <v>4027</v>
      </c>
      <c r="G861">
        <v>88</v>
      </c>
    </row>
    <row r="862" spans="1:7" x14ac:dyDescent="0.2">
      <c r="A862" s="2">
        <v>45692</v>
      </c>
      <c r="B862" t="s">
        <v>1578</v>
      </c>
      <c r="C862" t="s">
        <v>1</v>
      </c>
      <c r="D862" t="s">
        <v>3</v>
      </c>
      <c r="E862">
        <v>1</v>
      </c>
      <c r="F862" t="s">
        <v>4027</v>
      </c>
      <c r="G862">
        <v>63</v>
      </c>
    </row>
    <row r="863" spans="1:7" x14ac:dyDescent="0.2">
      <c r="A863" s="2">
        <v>45692</v>
      </c>
      <c r="B863" t="s">
        <v>1580</v>
      </c>
      <c r="C863" t="s">
        <v>1</v>
      </c>
      <c r="D863" t="s">
        <v>3</v>
      </c>
      <c r="E863">
        <v>1</v>
      </c>
      <c r="F863" t="s">
        <v>4027</v>
      </c>
      <c r="G863">
        <v>82</v>
      </c>
    </row>
    <row r="864" spans="1:7" x14ac:dyDescent="0.2">
      <c r="A864" s="2">
        <v>45692</v>
      </c>
      <c r="B864" t="s">
        <v>1576</v>
      </c>
      <c r="C864" t="s">
        <v>1</v>
      </c>
      <c r="D864" t="s">
        <v>3</v>
      </c>
      <c r="E864">
        <v>1</v>
      </c>
      <c r="F864" t="s">
        <v>4027</v>
      </c>
      <c r="G864">
        <v>89</v>
      </c>
    </row>
    <row r="865" spans="1:7" x14ac:dyDescent="0.2">
      <c r="A865" s="2">
        <v>45692</v>
      </c>
      <c r="B865" t="s">
        <v>1575</v>
      </c>
      <c r="C865" t="s">
        <v>1</v>
      </c>
      <c r="D865" t="s">
        <v>3</v>
      </c>
      <c r="E865">
        <v>1</v>
      </c>
      <c r="F865" t="s">
        <v>4027</v>
      </c>
      <c r="G865">
        <v>71</v>
      </c>
    </row>
    <row r="866" spans="1:7" x14ac:dyDescent="0.2">
      <c r="A866" s="2">
        <v>45692</v>
      </c>
      <c r="B866" t="s">
        <v>1574</v>
      </c>
      <c r="C866" t="s">
        <v>1</v>
      </c>
      <c r="D866" t="s">
        <v>3</v>
      </c>
      <c r="E866">
        <v>1</v>
      </c>
      <c r="F866" t="s">
        <v>4027</v>
      </c>
      <c r="G866">
        <v>72</v>
      </c>
    </row>
    <row r="867" spans="1:7" x14ac:dyDescent="0.2">
      <c r="A867" s="2">
        <v>45692</v>
      </c>
      <c r="B867" t="s">
        <v>1573</v>
      </c>
      <c r="C867" t="s">
        <v>1</v>
      </c>
      <c r="D867" t="s">
        <v>3</v>
      </c>
      <c r="E867">
        <v>1</v>
      </c>
      <c r="F867" t="s">
        <v>4027</v>
      </c>
      <c r="G867">
        <v>73</v>
      </c>
    </row>
    <row r="868" spans="1:7" x14ac:dyDescent="0.2">
      <c r="A868" s="2">
        <v>45692</v>
      </c>
      <c r="B868" t="s">
        <v>901</v>
      </c>
      <c r="C868" t="s">
        <v>2</v>
      </c>
      <c r="D868" t="s">
        <v>4</v>
      </c>
      <c r="E868">
        <v>1</v>
      </c>
      <c r="F868" t="s">
        <v>600</v>
      </c>
      <c r="G868">
        <v>22</v>
      </c>
    </row>
    <row r="869" spans="1:7" x14ac:dyDescent="0.2">
      <c r="A869" s="2">
        <v>45692</v>
      </c>
      <c r="B869" t="s">
        <v>1577</v>
      </c>
      <c r="C869" t="s">
        <v>1</v>
      </c>
      <c r="D869" t="s">
        <v>3</v>
      </c>
      <c r="E869">
        <v>1</v>
      </c>
      <c r="F869" t="s">
        <v>4027</v>
      </c>
      <c r="G869">
        <v>80</v>
      </c>
    </row>
    <row r="870" spans="1:7" x14ac:dyDescent="0.2">
      <c r="A870" s="2">
        <v>45693</v>
      </c>
      <c r="B870" t="s">
        <v>1593</v>
      </c>
      <c r="C870" t="s">
        <v>1</v>
      </c>
      <c r="D870" t="s">
        <v>3</v>
      </c>
      <c r="E870">
        <v>1</v>
      </c>
      <c r="F870" t="s">
        <v>4027</v>
      </c>
      <c r="G870">
        <v>69</v>
      </c>
    </row>
    <row r="871" spans="1:7" x14ac:dyDescent="0.2">
      <c r="A871" s="2">
        <v>45693</v>
      </c>
      <c r="B871" t="s">
        <v>1587</v>
      </c>
      <c r="C871" t="s">
        <v>1</v>
      </c>
      <c r="D871" t="s">
        <v>3</v>
      </c>
      <c r="E871">
        <v>1</v>
      </c>
      <c r="F871" t="s">
        <v>4027</v>
      </c>
      <c r="G871">
        <v>62</v>
      </c>
    </row>
    <row r="872" spans="1:7" x14ac:dyDescent="0.2">
      <c r="A872" s="2">
        <v>45693</v>
      </c>
      <c r="B872" t="s">
        <v>903</v>
      </c>
      <c r="C872" t="s">
        <v>2</v>
      </c>
      <c r="D872" t="s">
        <v>4</v>
      </c>
      <c r="E872">
        <v>1</v>
      </c>
      <c r="F872" t="s">
        <v>600</v>
      </c>
      <c r="G872">
        <v>22</v>
      </c>
    </row>
    <row r="873" spans="1:7" x14ac:dyDescent="0.2">
      <c r="A873" s="2">
        <v>45693</v>
      </c>
      <c r="B873" t="s">
        <v>1586</v>
      </c>
      <c r="C873" t="s">
        <v>1</v>
      </c>
      <c r="D873" t="s">
        <v>3</v>
      </c>
      <c r="E873">
        <v>1</v>
      </c>
      <c r="F873" t="s">
        <v>4027</v>
      </c>
      <c r="G873">
        <v>77</v>
      </c>
    </row>
    <row r="874" spans="1:7" x14ac:dyDescent="0.2">
      <c r="A874" s="2">
        <v>45693</v>
      </c>
      <c r="B874" t="s">
        <v>1588</v>
      </c>
      <c r="C874" t="s">
        <v>1</v>
      </c>
      <c r="D874" t="s">
        <v>3</v>
      </c>
      <c r="E874">
        <v>1</v>
      </c>
      <c r="F874" t="s">
        <v>4027</v>
      </c>
      <c r="G874">
        <v>67</v>
      </c>
    </row>
    <row r="875" spans="1:7" x14ac:dyDescent="0.2">
      <c r="A875" s="2">
        <v>45693</v>
      </c>
      <c r="B875" t="s">
        <v>1594</v>
      </c>
      <c r="C875" t="s">
        <v>1</v>
      </c>
      <c r="D875" t="s">
        <v>3</v>
      </c>
      <c r="E875">
        <v>1</v>
      </c>
      <c r="F875" t="s">
        <v>4027</v>
      </c>
      <c r="G875">
        <v>62</v>
      </c>
    </row>
    <row r="876" spans="1:7" x14ac:dyDescent="0.2">
      <c r="A876" s="2">
        <v>45693</v>
      </c>
      <c r="B876" t="s">
        <v>1590</v>
      </c>
      <c r="C876" t="s">
        <v>1</v>
      </c>
      <c r="D876" t="s">
        <v>3</v>
      </c>
      <c r="E876">
        <v>1</v>
      </c>
      <c r="F876" t="s">
        <v>4027</v>
      </c>
      <c r="G876">
        <v>83</v>
      </c>
    </row>
    <row r="877" spans="1:7" x14ac:dyDescent="0.2">
      <c r="A877" s="2">
        <v>45693</v>
      </c>
      <c r="B877" t="s">
        <v>1591</v>
      </c>
      <c r="C877" t="s">
        <v>1</v>
      </c>
      <c r="D877" t="s">
        <v>3</v>
      </c>
      <c r="E877">
        <v>1</v>
      </c>
      <c r="F877" t="s">
        <v>4027</v>
      </c>
      <c r="G877">
        <v>81</v>
      </c>
    </row>
    <row r="878" spans="1:7" x14ac:dyDescent="0.2">
      <c r="A878" s="2">
        <v>45693</v>
      </c>
      <c r="B878" t="s">
        <v>1592</v>
      </c>
      <c r="C878" t="s">
        <v>1</v>
      </c>
      <c r="D878" t="s">
        <v>3</v>
      </c>
      <c r="E878">
        <v>1</v>
      </c>
      <c r="F878" t="s">
        <v>4027</v>
      </c>
      <c r="G878">
        <v>82</v>
      </c>
    </row>
    <row r="879" spans="1:7" x14ac:dyDescent="0.2">
      <c r="A879" s="2">
        <v>45693</v>
      </c>
      <c r="B879" t="s">
        <v>1589</v>
      </c>
      <c r="C879" t="s">
        <v>1</v>
      </c>
      <c r="D879" t="s">
        <v>3</v>
      </c>
      <c r="E879">
        <v>1</v>
      </c>
      <c r="F879" t="s">
        <v>4027</v>
      </c>
      <c r="G879">
        <v>73</v>
      </c>
    </row>
    <row r="880" spans="1:7" x14ac:dyDescent="0.2">
      <c r="A880" s="2">
        <v>45693</v>
      </c>
      <c r="B880" t="s">
        <v>1595</v>
      </c>
      <c r="C880" t="s">
        <v>1</v>
      </c>
      <c r="D880" t="s">
        <v>3</v>
      </c>
      <c r="E880">
        <v>1</v>
      </c>
      <c r="F880" t="s">
        <v>4027</v>
      </c>
      <c r="G880">
        <v>66</v>
      </c>
    </row>
    <row r="881" spans="1:7" x14ac:dyDescent="0.2">
      <c r="A881" s="2">
        <v>45694</v>
      </c>
      <c r="B881" t="s">
        <v>1599</v>
      </c>
      <c r="C881" t="s">
        <v>1</v>
      </c>
      <c r="D881" t="s">
        <v>3</v>
      </c>
      <c r="E881">
        <v>1</v>
      </c>
      <c r="F881" t="s">
        <v>4027</v>
      </c>
      <c r="G881">
        <v>83</v>
      </c>
    </row>
    <row r="882" spans="1:7" x14ac:dyDescent="0.2">
      <c r="A882" s="2">
        <v>45694</v>
      </c>
      <c r="B882" t="s">
        <v>1598</v>
      </c>
      <c r="C882" t="s">
        <v>1</v>
      </c>
      <c r="D882" t="s">
        <v>3</v>
      </c>
      <c r="E882">
        <v>1</v>
      </c>
      <c r="F882" t="s">
        <v>4027</v>
      </c>
      <c r="G882">
        <v>65</v>
      </c>
    </row>
    <row r="883" spans="1:7" x14ac:dyDescent="0.2">
      <c r="A883" s="2">
        <v>45694</v>
      </c>
      <c r="B883" t="s">
        <v>1597</v>
      </c>
      <c r="C883" t="s">
        <v>1</v>
      </c>
      <c r="D883" t="s">
        <v>3</v>
      </c>
      <c r="E883">
        <v>1</v>
      </c>
      <c r="F883" t="s">
        <v>4027</v>
      </c>
      <c r="G883">
        <v>73</v>
      </c>
    </row>
    <row r="884" spans="1:7" x14ac:dyDescent="0.2">
      <c r="A884" s="2">
        <v>45694</v>
      </c>
      <c r="B884" t="s">
        <v>1596</v>
      </c>
      <c r="C884" t="s">
        <v>1</v>
      </c>
      <c r="D884" t="s">
        <v>3</v>
      </c>
      <c r="E884">
        <v>1</v>
      </c>
      <c r="F884" t="s">
        <v>4027</v>
      </c>
      <c r="G884">
        <v>75</v>
      </c>
    </row>
    <row r="885" spans="1:7" x14ac:dyDescent="0.2">
      <c r="A885" s="2">
        <v>45695</v>
      </c>
      <c r="B885" t="s">
        <v>1601</v>
      </c>
      <c r="C885" t="s">
        <v>1</v>
      </c>
      <c r="D885" t="s">
        <v>3</v>
      </c>
      <c r="E885">
        <v>1</v>
      </c>
      <c r="F885" t="s">
        <v>4027</v>
      </c>
      <c r="G885">
        <v>65</v>
      </c>
    </row>
    <row r="886" spans="1:7" x14ac:dyDescent="0.2">
      <c r="A886" s="2">
        <v>45695</v>
      </c>
      <c r="B886" t="s">
        <v>1603</v>
      </c>
      <c r="C886" t="s">
        <v>1</v>
      </c>
      <c r="D886" t="s">
        <v>3</v>
      </c>
      <c r="E886">
        <v>1</v>
      </c>
      <c r="F886" t="s">
        <v>4027</v>
      </c>
      <c r="G886">
        <v>82</v>
      </c>
    </row>
    <row r="887" spans="1:7" x14ac:dyDescent="0.2">
      <c r="A887" s="2">
        <v>45695</v>
      </c>
      <c r="B887" t="s">
        <v>1602</v>
      </c>
      <c r="C887" t="s">
        <v>1</v>
      </c>
      <c r="D887" t="s">
        <v>3</v>
      </c>
      <c r="E887">
        <v>1</v>
      </c>
      <c r="F887" t="s">
        <v>4027</v>
      </c>
      <c r="G887">
        <v>68</v>
      </c>
    </row>
    <row r="888" spans="1:7" x14ac:dyDescent="0.2">
      <c r="A888" s="2">
        <v>45695</v>
      </c>
      <c r="B888" t="s">
        <v>1600</v>
      </c>
      <c r="C888" t="s">
        <v>1</v>
      </c>
      <c r="D888" t="s">
        <v>3</v>
      </c>
      <c r="E888">
        <v>1</v>
      </c>
      <c r="F888" t="s">
        <v>4027</v>
      </c>
      <c r="G888">
        <v>85</v>
      </c>
    </row>
    <row r="889" spans="1:7" x14ac:dyDescent="0.2">
      <c r="A889" s="2">
        <v>45695</v>
      </c>
      <c r="B889" t="s">
        <v>1604</v>
      </c>
      <c r="C889" t="s">
        <v>1</v>
      </c>
      <c r="D889" t="s">
        <v>3</v>
      </c>
      <c r="E889">
        <v>1</v>
      </c>
      <c r="F889" t="s">
        <v>4027</v>
      </c>
      <c r="G889">
        <v>75</v>
      </c>
    </row>
    <row r="890" spans="1:7" x14ac:dyDescent="0.2">
      <c r="A890" s="2">
        <v>45695</v>
      </c>
      <c r="B890" t="s">
        <v>1605</v>
      </c>
      <c r="C890" t="s">
        <v>1</v>
      </c>
      <c r="D890" t="s">
        <v>3</v>
      </c>
      <c r="E890">
        <v>1</v>
      </c>
      <c r="F890" t="s">
        <v>4027</v>
      </c>
      <c r="G890">
        <v>62</v>
      </c>
    </row>
    <row r="891" spans="1:7" x14ac:dyDescent="0.2">
      <c r="A891" s="2">
        <v>45696</v>
      </c>
      <c r="B891" t="s">
        <v>930</v>
      </c>
      <c r="C891" t="s">
        <v>2</v>
      </c>
      <c r="D891" t="s">
        <v>4</v>
      </c>
      <c r="E891">
        <v>1</v>
      </c>
      <c r="F891" t="s">
        <v>600</v>
      </c>
      <c r="G891">
        <v>22</v>
      </c>
    </row>
    <row r="892" spans="1:7" x14ac:dyDescent="0.2">
      <c r="A892" s="2">
        <v>45696</v>
      </c>
      <c r="B892" t="s">
        <v>924</v>
      </c>
      <c r="C892" t="s">
        <v>2</v>
      </c>
      <c r="D892" t="s">
        <v>4</v>
      </c>
      <c r="E892">
        <v>1</v>
      </c>
      <c r="F892" t="s">
        <v>600</v>
      </c>
      <c r="G892">
        <v>22</v>
      </c>
    </row>
    <row r="893" spans="1:7" x14ac:dyDescent="0.2">
      <c r="A893" s="2">
        <v>45696</v>
      </c>
      <c r="B893" t="s">
        <v>918</v>
      </c>
      <c r="C893" t="s">
        <v>2</v>
      </c>
      <c r="D893" t="s">
        <v>4</v>
      </c>
      <c r="E893">
        <v>1</v>
      </c>
      <c r="F893" t="s">
        <v>600</v>
      </c>
      <c r="G893">
        <v>22</v>
      </c>
    </row>
    <row r="894" spans="1:7" x14ac:dyDescent="0.2">
      <c r="A894" s="2">
        <v>45696</v>
      </c>
      <c r="B894" t="s">
        <v>912</v>
      </c>
      <c r="C894" t="s">
        <v>2</v>
      </c>
      <c r="D894" t="s">
        <v>4</v>
      </c>
      <c r="E894">
        <v>1</v>
      </c>
      <c r="F894" t="s">
        <v>600</v>
      </c>
      <c r="G894">
        <v>22</v>
      </c>
    </row>
    <row r="895" spans="1:7" x14ac:dyDescent="0.2">
      <c r="A895" s="2">
        <v>45696</v>
      </c>
      <c r="B895" t="s">
        <v>943</v>
      </c>
      <c r="C895" t="s">
        <v>2</v>
      </c>
      <c r="D895" t="s">
        <v>4</v>
      </c>
      <c r="E895">
        <v>1</v>
      </c>
      <c r="F895" t="s">
        <v>600</v>
      </c>
      <c r="G895">
        <v>22</v>
      </c>
    </row>
    <row r="896" spans="1:7" x14ac:dyDescent="0.2">
      <c r="A896" s="2">
        <v>45696</v>
      </c>
      <c r="B896" t="s">
        <v>1610</v>
      </c>
      <c r="C896" t="s">
        <v>1</v>
      </c>
      <c r="D896" t="s">
        <v>3</v>
      </c>
      <c r="E896">
        <v>1</v>
      </c>
      <c r="F896" t="s">
        <v>4027</v>
      </c>
      <c r="G896">
        <v>73</v>
      </c>
    </row>
    <row r="897" spans="1:7" x14ac:dyDescent="0.2">
      <c r="A897" s="2">
        <v>45696</v>
      </c>
      <c r="B897" t="s">
        <v>1609</v>
      </c>
      <c r="C897" t="s">
        <v>1</v>
      </c>
      <c r="D897" t="s">
        <v>3</v>
      </c>
      <c r="E897">
        <v>1</v>
      </c>
      <c r="F897" t="s">
        <v>4027</v>
      </c>
      <c r="G897">
        <v>84</v>
      </c>
    </row>
    <row r="898" spans="1:7" x14ac:dyDescent="0.2">
      <c r="A898" s="2">
        <v>45696</v>
      </c>
      <c r="B898" t="s">
        <v>1608</v>
      </c>
      <c r="C898" t="s">
        <v>1</v>
      </c>
      <c r="D898" t="s">
        <v>3</v>
      </c>
      <c r="E898">
        <v>1</v>
      </c>
      <c r="F898" t="s">
        <v>4027</v>
      </c>
      <c r="G898">
        <v>73</v>
      </c>
    </row>
    <row r="899" spans="1:7" x14ac:dyDescent="0.2">
      <c r="A899" s="2">
        <v>45696</v>
      </c>
      <c r="B899" t="s">
        <v>1607</v>
      </c>
      <c r="C899" t="s">
        <v>1</v>
      </c>
      <c r="D899" t="s">
        <v>3</v>
      </c>
      <c r="E899">
        <v>1</v>
      </c>
      <c r="F899" t="s">
        <v>4027</v>
      </c>
      <c r="G899">
        <v>77</v>
      </c>
    </row>
    <row r="900" spans="1:7" x14ac:dyDescent="0.2">
      <c r="A900" s="2">
        <v>45696</v>
      </c>
      <c r="B900" t="s">
        <v>1606</v>
      </c>
      <c r="C900" t="s">
        <v>1</v>
      </c>
      <c r="D900" t="s">
        <v>3</v>
      </c>
      <c r="E900">
        <v>1</v>
      </c>
      <c r="F900" t="s">
        <v>4027</v>
      </c>
      <c r="G900">
        <v>73</v>
      </c>
    </row>
    <row r="901" spans="1:7" x14ac:dyDescent="0.2">
      <c r="A901" s="2">
        <v>45696</v>
      </c>
      <c r="B901" t="s">
        <v>941</v>
      </c>
      <c r="C901" t="s">
        <v>2</v>
      </c>
      <c r="D901" t="s">
        <v>4</v>
      </c>
      <c r="E901">
        <v>1</v>
      </c>
      <c r="F901" t="s">
        <v>600</v>
      </c>
      <c r="G901">
        <v>22</v>
      </c>
    </row>
    <row r="902" spans="1:7" x14ac:dyDescent="0.2">
      <c r="A902" s="2">
        <v>45696</v>
      </c>
      <c r="B902" t="s">
        <v>908</v>
      </c>
      <c r="C902" t="s">
        <v>2</v>
      </c>
      <c r="D902" t="s">
        <v>4</v>
      </c>
      <c r="E902">
        <v>1</v>
      </c>
      <c r="F902" t="s">
        <v>600</v>
      </c>
      <c r="G902">
        <v>22</v>
      </c>
    </row>
    <row r="903" spans="1:7" x14ac:dyDescent="0.2">
      <c r="A903" s="2">
        <v>45699</v>
      </c>
      <c r="B903" t="s">
        <v>1611</v>
      </c>
      <c r="C903" t="s">
        <v>1</v>
      </c>
      <c r="D903" t="s">
        <v>3</v>
      </c>
      <c r="E903">
        <v>1</v>
      </c>
      <c r="F903" t="s">
        <v>4027</v>
      </c>
      <c r="G903">
        <v>74</v>
      </c>
    </row>
    <row r="904" spans="1:7" x14ac:dyDescent="0.2">
      <c r="A904" s="2">
        <v>45699</v>
      </c>
      <c r="B904" t="s">
        <v>1612</v>
      </c>
      <c r="C904" t="s">
        <v>1</v>
      </c>
      <c r="D904" t="s">
        <v>3</v>
      </c>
      <c r="E904">
        <v>1</v>
      </c>
      <c r="F904" t="s">
        <v>4027</v>
      </c>
      <c r="G904">
        <v>67</v>
      </c>
    </row>
    <row r="905" spans="1:7" x14ac:dyDescent="0.2">
      <c r="A905" s="2">
        <v>45699</v>
      </c>
      <c r="B905" t="s">
        <v>1613</v>
      </c>
      <c r="C905" t="s">
        <v>1</v>
      </c>
      <c r="D905" t="s">
        <v>3</v>
      </c>
      <c r="E905">
        <v>1</v>
      </c>
      <c r="F905" t="s">
        <v>4027</v>
      </c>
      <c r="G905">
        <v>86</v>
      </c>
    </row>
    <row r="906" spans="1:7" x14ac:dyDescent="0.2">
      <c r="A906" s="2">
        <v>45699</v>
      </c>
      <c r="B906" t="s">
        <v>1614</v>
      </c>
      <c r="C906" t="s">
        <v>1</v>
      </c>
      <c r="D906" t="s">
        <v>3</v>
      </c>
      <c r="E906">
        <v>1</v>
      </c>
      <c r="F906" t="s">
        <v>4027</v>
      </c>
      <c r="G906">
        <v>65</v>
      </c>
    </row>
    <row r="907" spans="1:7" x14ac:dyDescent="0.2">
      <c r="A907" s="2">
        <v>45699</v>
      </c>
      <c r="B907" t="s">
        <v>960</v>
      </c>
      <c r="C907" t="s">
        <v>2</v>
      </c>
      <c r="D907" t="s">
        <v>4</v>
      </c>
      <c r="E907">
        <v>1</v>
      </c>
      <c r="F907" t="s">
        <v>600</v>
      </c>
      <c r="G907">
        <v>22</v>
      </c>
    </row>
    <row r="908" spans="1:7" x14ac:dyDescent="0.2">
      <c r="A908" s="2">
        <v>45699</v>
      </c>
      <c r="B908" t="s">
        <v>968</v>
      </c>
      <c r="C908" t="s">
        <v>2</v>
      </c>
      <c r="D908" t="s">
        <v>4</v>
      </c>
      <c r="E908">
        <v>1</v>
      </c>
      <c r="F908" t="s">
        <v>600</v>
      </c>
      <c r="G908">
        <v>22</v>
      </c>
    </row>
    <row r="909" spans="1:7" x14ac:dyDescent="0.2">
      <c r="A909" s="2">
        <v>45699</v>
      </c>
      <c r="B909" t="s">
        <v>946</v>
      </c>
      <c r="C909" t="s">
        <v>2</v>
      </c>
      <c r="D909" t="s">
        <v>4</v>
      </c>
      <c r="E909">
        <v>1</v>
      </c>
      <c r="F909" t="s">
        <v>600</v>
      </c>
      <c r="G909">
        <v>22</v>
      </c>
    </row>
    <row r="910" spans="1:7" x14ac:dyDescent="0.2">
      <c r="A910" s="2">
        <v>45699</v>
      </c>
      <c r="B910" t="s">
        <v>952</v>
      </c>
      <c r="C910" t="s">
        <v>2</v>
      </c>
      <c r="D910" t="s">
        <v>4</v>
      </c>
      <c r="E910">
        <v>1</v>
      </c>
      <c r="F910" t="s">
        <v>600</v>
      </c>
      <c r="G910">
        <v>22</v>
      </c>
    </row>
    <row r="911" spans="1:7" x14ac:dyDescent="0.2">
      <c r="A911" s="2">
        <v>45699</v>
      </c>
      <c r="B911" t="s">
        <v>956</v>
      </c>
      <c r="C911" t="s">
        <v>2</v>
      </c>
      <c r="D911" t="s">
        <v>4</v>
      </c>
      <c r="E911">
        <v>1</v>
      </c>
      <c r="F911" t="s">
        <v>600</v>
      </c>
      <c r="G911">
        <v>22</v>
      </c>
    </row>
    <row r="912" spans="1:7" x14ac:dyDescent="0.2">
      <c r="A912" s="2">
        <v>45699</v>
      </c>
      <c r="B912" t="s">
        <v>964</v>
      </c>
      <c r="C912" t="s">
        <v>2</v>
      </c>
      <c r="D912" t="s">
        <v>4</v>
      </c>
      <c r="E912">
        <v>1</v>
      </c>
      <c r="F912" t="s">
        <v>600</v>
      </c>
      <c r="G912">
        <v>22</v>
      </c>
    </row>
    <row r="913" spans="1:7" x14ac:dyDescent="0.2">
      <c r="A913" s="2">
        <v>45700</v>
      </c>
      <c r="B913" t="s">
        <v>980</v>
      </c>
      <c r="C913" t="s">
        <v>2</v>
      </c>
      <c r="D913" t="s">
        <v>4</v>
      </c>
      <c r="E913">
        <v>1</v>
      </c>
      <c r="F913" t="s">
        <v>600</v>
      </c>
      <c r="G913">
        <v>22</v>
      </c>
    </row>
    <row r="914" spans="1:7" x14ac:dyDescent="0.2">
      <c r="A914" s="2">
        <v>45700</v>
      </c>
      <c r="B914" t="s">
        <v>978</v>
      </c>
      <c r="C914" t="s">
        <v>2</v>
      </c>
      <c r="D914" t="s">
        <v>4</v>
      </c>
      <c r="E914">
        <v>1</v>
      </c>
      <c r="F914" t="s">
        <v>600</v>
      </c>
      <c r="G914">
        <v>22</v>
      </c>
    </row>
    <row r="915" spans="1:7" x14ac:dyDescent="0.2">
      <c r="A915" s="2">
        <v>45700</v>
      </c>
      <c r="B915" t="s">
        <v>975</v>
      </c>
      <c r="C915" t="s">
        <v>2</v>
      </c>
      <c r="D915" t="s">
        <v>4</v>
      </c>
      <c r="E915">
        <v>1</v>
      </c>
      <c r="F915" t="s">
        <v>600</v>
      </c>
      <c r="G915">
        <v>22</v>
      </c>
    </row>
    <row r="916" spans="1:7" x14ac:dyDescent="0.2">
      <c r="A916" s="2">
        <v>45700</v>
      </c>
      <c r="B916" t="s">
        <v>972</v>
      </c>
      <c r="C916" t="s">
        <v>2</v>
      </c>
      <c r="D916" t="s">
        <v>4</v>
      </c>
      <c r="E916">
        <v>1</v>
      </c>
      <c r="F916" t="s">
        <v>600</v>
      </c>
      <c r="G916">
        <v>22</v>
      </c>
    </row>
    <row r="917" spans="1:7" x14ac:dyDescent="0.2">
      <c r="A917" s="2">
        <v>45700</v>
      </c>
      <c r="B917" t="s">
        <v>1615</v>
      </c>
      <c r="C917" t="s">
        <v>1</v>
      </c>
      <c r="D917" t="s">
        <v>3</v>
      </c>
      <c r="E917">
        <v>1</v>
      </c>
      <c r="F917" t="s">
        <v>4027</v>
      </c>
      <c r="G917">
        <v>74</v>
      </c>
    </row>
    <row r="918" spans="1:7" x14ac:dyDescent="0.2">
      <c r="A918" s="2">
        <v>45700</v>
      </c>
      <c r="B918" t="s">
        <v>1616</v>
      </c>
      <c r="C918" t="s">
        <v>1</v>
      </c>
      <c r="D918" t="s">
        <v>3</v>
      </c>
      <c r="E918">
        <v>1</v>
      </c>
      <c r="F918" t="s">
        <v>4027</v>
      </c>
      <c r="G918">
        <v>70</v>
      </c>
    </row>
    <row r="919" spans="1:7" x14ac:dyDescent="0.2">
      <c r="A919" s="2">
        <v>45700</v>
      </c>
      <c r="B919" t="s">
        <v>1617</v>
      </c>
      <c r="C919" t="s">
        <v>1</v>
      </c>
      <c r="D919" t="s">
        <v>3</v>
      </c>
      <c r="E919">
        <v>1</v>
      </c>
      <c r="F919" t="s">
        <v>4027</v>
      </c>
      <c r="G919">
        <v>72</v>
      </c>
    </row>
    <row r="920" spans="1:7" x14ac:dyDescent="0.2">
      <c r="A920" s="2">
        <v>45700</v>
      </c>
      <c r="B920" t="s">
        <v>1619</v>
      </c>
      <c r="C920" t="s">
        <v>1</v>
      </c>
      <c r="D920" t="s">
        <v>3</v>
      </c>
      <c r="E920">
        <v>1</v>
      </c>
      <c r="F920" t="s">
        <v>4027</v>
      </c>
      <c r="G920">
        <v>77</v>
      </c>
    </row>
    <row r="921" spans="1:7" x14ac:dyDescent="0.2">
      <c r="A921" s="2">
        <v>45700</v>
      </c>
      <c r="B921" t="s">
        <v>1620</v>
      </c>
      <c r="C921" t="s">
        <v>1</v>
      </c>
      <c r="D921" t="s">
        <v>3</v>
      </c>
      <c r="E921">
        <v>1</v>
      </c>
      <c r="F921" t="s">
        <v>4027</v>
      </c>
      <c r="G921">
        <v>87</v>
      </c>
    </row>
    <row r="922" spans="1:7" x14ac:dyDescent="0.2">
      <c r="A922" s="2">
        <v>45700</v>
      </c>
      <c r="B922" t="s">
        <v>1618</v>
      </c>
      <c r="C922" t="s">
        <v>1</v>
      </c>
      <c r="D922" t="s">
        <v>3</v>
      </c>
      <c r="E922">
        <v>1</v>
      </c>
      <c r="F922" t="s">
        <v>4027</v>
      </c>
      <c r="G922">
        <v>88</v>
      </c>
    </row>
    <row r="923" spans="1:7" x14ac:dyDescent="0.2">
      <c r="A923" s="2">
        <v>45700</v>
      </c>
      <c r="B923" t="s">
        <v>983</v>
      </c>
      <c r="C923" t="s">
        <v>2</v>
      </c>
      <c r="D923" t="s">
        <v>4</v>
      </c>
      <c r="E923">
        <v>1</v>
      </c>
      <c r="F923" t="s">
        <v>600</v>
      </c>
      <c r="G923">
        <v>22</v>
      </c>
    </row>
    <row r="924" spans="1:7" x14ac:dyDescent="0.2">
      <c r="A924" s="2">
        <v>45700</v>
      </c>
      <c r="B924" t="s">
        <v>1625</v>
      </c>
      <c r="C924" t="s">
        <v>1</v>
      </c>
      <c r="D924" t="s">
        <v>3</v>
      </c>
      <c r="E924">
        <v>1</v>
      </c>
      <c r="F924" t="s">
        <v>4027</v>
      </c>
      <c r="G924">
        <v>76</v>
      </c>
    </row>
    <row r="925" spans="1:7" x14ac:dyDescent="0.2">
      <c r="A925" s="2">
        <v>45700</v>
      </c>
      <c r="B925" t="s">
        <v>991</v>
      </c>
      <c r="C925" t="s">
        <v>2</v>
      </c>
      <c r="D925" t="s">
        <v>4</v>
      </c>
      <c r="E925">
        <v>1</v>
      </c>
      <c r="F925" t="s">
        <v>600</v>
      </c>
      <c r="G925">
        <v>22</v>
      </c>
    </row>
    <row r="926" spans="1:7" x14ac:dyDescent="0.2">
      <c r="A926" s="2">
        <v>45700</v>
      </c>
      <c r="B926" t="s">
        <v>1623</v>
      </c>
      <c r="C926" t="s">
        <v>1</v>
      </c>
      <c r="D926" t="s">
        <v>3</v>
      </c>
      <c r="E926">
        <v>1</v>
      </c>
      <c r="F926" t="s">
        <v>4027</v>
      </c>
      <c r="G926">
        <v>66</v>
      </c>
    </row>
    <row r="927" spans="1:7" x14ac:dyDescent="0.2">
      <c r="A927" s="2">
        <v>45700</v>
      </c>
      <c r="B927" t="s">
        <v>1622</v>
      </c>
      <c r="C927" t="s">
        <v>1</v>
      </c>
      <c r="D927" t="s">
        <v>3</v>
      </c>
      <c r="E927">
        <v>1</v>
      </c>
      <c r="F927" t="s">
        <v>4027</v>
      </c>
      <c r="G927">
        <v>79</v>
      </c>
    </row>
    <row r="928" spans="1:7" x14ac:dyDescent="0.2">
      <c r="A928" s="2">
        <v>45700</v>
      </c>
      <c r="B928" t="s">
        <v>1624</v>
      </c>
      <c r="C928" t="s">
        <v>1</v>
      </c>
      <c r="D928" t="s">
        <v>3</v>
      </c>
      <c r="E928">
        <v>1</v>
      </c>
      <c r="F928" t="s">
        <v>4027</v>
      </c>
      <c r="G928">
        <v>81</v>
      </c>
    </row>
    <row r="929" spans="1:7" x14ac:dyDescent="0.2">
      <c r="A929" s="2">
        <v>45700</v>
      </c>
      <c r="B929" t="s">
        <v>1621</v>
      </c>
      <c r="C929" t="s">
        <v>1</v>
      </c>
      <c r="D929" t="s">
        <v>3</v>
      </c>
      <c r="E929">
        <v>1</v>
      </c>
      <c r="F929" t="s">
        <v>4027</v>
      </c>
      <c r="G929">
        <v>61</v>
      </c>
    </row>
    <row r="930" spans="1:7" x14ac:dyDescent="0.2">
      <c r="A930" s="2">
        <v>45701</v>
      </c>
      <c r="B930" t="s">
        <v>1626</v>
      </c>
      <c r="C930" t="s">
        <v>1</v>
      </c>
      <c r="D930" t="s">
        <v>3</v>
      </c>
      <c r="E930">
        <v>1</v>
      </c>
      <c r="F930" t="s">
        <v>4027</v>
      </c>
      <c r="G930">
        <v>84</v>
      </c>
    </row>
    <row r="931" spans="1:7" x14ac:dyDescent="0.2">
      <c r="A931" s="2">
        <v>45701</v>
      </c>
      <c r="B931" t="s">
        <v>1627</v>
      </c>
      <c r="C931" t="s">
        <v>1</v>
      </c>
      <c r="D931" t="s">
        <v>3</v>
      </c>
      <c r="E931">
        <v>1</v>
      </c>
      <c r="F931" t="s">
        <v>4027</v>
      </c>
      <c r="G931">
        <v>89</v>
      </c>
    </row>
    <row r="932" spans="1:7" x14ac:dyDescent="0.2">
      <c r="A932" s="2">
        <v>45701</v>
      </c>
      <c r="B932" t="s">
        <v>1628</v>
      </c>
      <c r="C932" t="s">
        <v>1</v>
      </c>
      <c r="D932" t="s">
        <v>3</v>
      </c>
      <c r="E932">
        <v>1</v>
      </c>
      <c r="F932" t="s">
        <v>4027</v>
      </c>
      <c r="G932">
        <v>75</v>
      </c>
    </row>
    <row r="933" spans="1:7" x14ac:dyDescent="0.2">
      <c r="A933" s="2">
        <v>45701</v>
      </c>
      <c r="B933" t="s">
        <v>1629</v>
      </c>
      <c r="C933" t="s">
        <v>1</v>
      </c>
      <c r="D933" t="s">
        <v>3</v>
      </c>
      <c r="E933">
        <v>1</v>
      </c>
      <c r="F933" t="s">
        <v>4027</v>
      </c>
      <c r="G933">
        <v>85</v>
      </c>
    </row>
    <row r="934" spans="1:7" x14ac:dyDescent="0.2">
      <c r="A934" s="2">
        <v>45702</v>
      </c>
      <c r="B934" t="s">
        <v>1630</v>
      </c>
      <c r="C934" t="s">
        <v>1</v>
      </c>
      <c r="D934" t="s">
        <v>3</v>
      </c>
      <c r="E934">
        <v>1</v>
      </c>
      <c r="F934" t="s">
        <v>4027</v>
      </c>
      <c r="G934">
        <v>76</v>
      </c>
    </row>
    <row r="935" spans="1:7" x14ac:dyDescent="0.2">
      <c r="A935" s="2">
        <v>45702</v>
      </c>
      <c r="B935" t="s">
        <v>1631</v>
      </c>
      <c r="C935" t="s">
        <v>1</v>
      </c>
      <c r="D935" t="s">
        <v>3</v>
      </c>
      <c r="E935">
        <v>1</v>
      </c>
      <c r="F935" t="s">
        <v>4027</v>
      </c>
      <c r="G935">
        <v>87</v>
      </c>
    </row>
    <row r="936" spans="1:7" x14ac:dyDescent="0.2">
      <c r="A936" s="2">
        <v>45702</v>
      </c>
      <c r="B936" t="s">
        <v>1632</v>
      </c>
      <c r="C936" t="s">
        <v>1</v>
      </c>
      <c r="D936" t="s">
        <v>3</v>
      </c>
      <c r="E936">
        <v>1</v>
      </c>
      <c r="F936" t="s">
        <v>4027</v>
      </c>
      <c r="G936">
        <v>68</v>
      </c>
    </row>
    <row r="937" spans="1:7" x14ac:dyDescent="0.2">
      <c r="A937" s="2">
        <v>45702</v>
      </c>
      <c r="B937" t="s">
        <v>1633</v>
      </c>
      <c r="C937" t="s">
        <v>1</v>
      </c>
      <c r="D937" t="s">
        <v>3</v>
      </c>
      <c r="E937">
        <v>1</v>
      </c>
      <c r="F937" t="s">
        <v>4027</v>
      </c>
      <c r="G937">
        <v>85</v>
      </c>
    </row>
    <row r="938" spans="1:7" x14ac:dyDescent="0.2">
      <c r="A938" s="2">
        <v>45705</v>
      </c>
      <c r="B938" t="s">
        <v>1640</v>
      </c>
      <c r="C938" t="s">
        <v>1</v>
      </c>
      <c r="D938" t="s">
        <v>3</v>
      </c>
      <c r="E938">
        <v>1</v>
      </c>
      <c r="F938" t="s">
        <v>4027</v>
      </c>
      <c r="G938">
        <v>74</v>
      </c>
    </row>
    <row r="939" spans="1:7" x14ac:dyDescent="0.2">
      <c r="A939" s="2">
        <v>45705</v>
      </c>
      <c r="B939" t="s">
        <v>1638</v>
      </c>
      <c r="C939" t="s">
        <v>1</v>
      </c>
      <c r="D939" t="s">
        <v>3</v>
      </c>
      <c r="E939">
        <v>1</v>
      </c>
      <c r="F939" t="s">
        <v>4027</v>
      </c>
      <c r="G939">
        <v>76</v>
      </c>
    </row>
    <row r="940" spans="1:7" x14ac:dyDescent="0.2">
      <c r="A940" s="2">
        <v>45705</v>
      </c>
      <c r="B940" t="s">
        <v>1641</v>
      </c>
      <c r="C940" t="s">
        <v>1</v>
      </c>
      <c r="D940" t="s">
        <v>3</v>
      </c>
      <c r="E940">
        <v>1</v>
      </c>
      <c r="F940" t="s">
        <v>4027</v>
      </c>
      <c r="G940">
        <v>84</v>
      </c>
    </row>
    <row r="941" spans="1:7" x14ac:dyDescent="0.2">
      <c r="A941" s="2">
        <v>45705</v>
      </c>
      <c r="B941" t="s">
        <v>1636</v>
      </c>
      <c r="C941" t="s">
        <v>1</v>
      </c>
      <c r="D941" t="s">
        <v>3</v>
      </c>
      <c r="E941">
        <v>1</v>
      </c>
      <c r="F941" t="s">
        <v>4027</v>
      </c>
      <c r="G941">
        <v>63</v>
      </c>
    </row>
    <row r="942" spans="1:7" x14ac:dyDescent="0.2">
      <c r="A942" s="2">
        <v>45705</v>
      </c>
      <c r="B942" t="s">
        <v>1637</v>
      </c>
      <c r="C942" t="s">
        <v>1</v>
      </c>
      <c r="D942" t="s">
        <v>3</v>
      </c>
      <c r="E942">
        <v>1</v>
      </c>
      <c r="F942" t="s">
        <v>4027</v>
      </c>
      <c r="G942">
        <v>86</v>
      </c>
    </row>
    <row r="943" spans="1:7" x14ac:dyDescent="0.2">
      <c r="A943" s="2">
        <v>45705</v>
      </c>
      <c r="B943" t="s">
        <v>1639</v>
      </c>
      <c r="C943" t="s">
        <v>1</v>
      </c>
      <c r="D943" t="s">
        <v>3</v>
      </c>
      <c r="E943">
        <v>1</v>
      </c>
      <c r="F943" t="s">
        <v>4027</v>
      </c>
      <c r="G943">
        <v>87</v>
      </c>
    </row>
    <row r="944" spans="1:7" x14ac:dyDescent="0.2">
      <c r="A944" s="2">
        <v>45705</v>
      </c>
      <c r="B944" t="s">
        <v>1635</v>
      </c>
      <c r="C944" t="s">
        <v>1</v>
      </c>
      <c r="D944" t="s">
        <v>3</v>
      </c>
      <c r="E944">
        <v>1</v>
      </c>
      <c r="F944" t="s">
        <v>4027</v>
      </c>
      <c r="G944">
        <v>69</v>
      </c>
    </row>
    <row r="945" spans="1:7" x14ac:dyDescent="0.2">
      <c r="A945" s="2">
        <v>45705</v>
      </c>
      <c r="B945" t="s">
        <v>1634</v>
      </c>
      <c r="C945" t="s">
        <v>1</v>
      </c>
      <c r="D945" t="s">
        <v>3</v>
      </c>
      <c r="E945">
        <v>1</v>
      </c>
      <c r="F945" t="s">
        <v>4027</v>
      </c>
      <c r="G945">
        <v>89</v>
      </c>
    </row>
    <row r="946" spans="1:7" x14ac:dyDescent="0.2">
      <c r="A946" s="2">
        <v>45706</v>
      </c>
      <c r="B946" t="s">
        <v>1642</v>
      </c>
      <c r="C946" t="s">
        <v>1</v>
      </c>
      <c r="D946" t="s">
        <v>3</v>
      </c>
      <c r="E946">
        <v>1</v>
      </c>
      <c r="F946" t="s">
        <v>4027</v>
      </c>
      <c r="G946">
        <v>76</v>
      </c>
    </row>
    <row r="947" spans="1:7" x14ac:dyDescent="0.2">
      <c r="A947" s="2">
        <v>45706</v>
      </c>
      <c r="B947" t="s">
        <v>1643</v>
      </c>
      <c r="C947" t="s">
        <v>1</v>
      </c>
      <c r="D947" t="s">
        <v>3</v>
      </c>
      <c r="E947">
        <v>1</v>
      </c>
      <c r="F947" t="s">
        <v>4027</v>
      </c>
      <c r="G947">
        <v>64</v>
      </c>
    </row>
    <row r="948" spans="1:7" x14ac:dyDescent="0.2">
      <c r="A948" s="2">
        <v>45706</v>
      </c>
      <c r="B948" t="s">
        <v>1644</v>
      </c>
      <c r="C948" t="s">
        <v>1</v>
      </c>
      <c r="D948" t="s">
        <v>3</v>
      </c>
      <c r="E948">
        <v>1</v>
      </c>
      <c r="F948" t="s">
        <v>4027</v>
      </c>
      <c r="G948">
        <v>61</v>
      </c>
    </row>
    <row r="949" spans="1:7" x14ac:dyDescent="0.2">
      <c r="A949" s="2">
        <v>45706</v>
      </c>
      <c r="B949" t="s">
        <v>1645</v>
      </c>
      <c r="C949" t="s">
        <v>1</v>
      </c>
      <c r="D949" t="s">
        <v>3</v>
      </c>
      <c r="E949">
        <v>1</v>
      </c>
      <c r="F949" t="s">
        <v>4027</v>
      </c>
      <c r="G949">
        <v>68</v>
      </c>
    </row>
    <row r="950" spans="1:7" x14ac:dyDescent="0.2">
      <c r="A950" s="2">
        <v>45706</v>
      </c>
      <c r="B950" t="s">
        <v>1646</v>
      </c>
      <c r="C950" t="s">
        <v>1</v>
      </c>
      <c r="D950" t="s">
        <v>3</v>
      </c>
      <c r="E950">
        <v>1</v>
      </c>
      <c r="F950" t="s">
        <v>4027</v>
      </c>
      <c r="G950">
        <v>85</v>
      </c>
    </row>
    <row r="951" spans="1:7" x14ac:dyDescent="0.2">
      <c r="A951" s="2">
        <v>45706</v>
      </c>
      <c r="B951" t="s">
        <v>1647</v>
      </c>
      <c r="C951" t="s">
        <v>1</v>
      </c>
      <c r="D951" t="s">
        <v>3</v>
      </c>
      <c r="E951">
        <v>1</v>
      </c>
      <c r="F951" t="s">
        <v>4027</v>
      </c>
      <c r="G951">
        <v>88</v>
      </c>
    </row>
    <row r="952" spans="1:7" x14ac:dyDescent="0.2">
      <c r="A952" s="2">
        <v>45706</v>
      </c>
      <c r="B952" t="s">
        <v>1648</v>
      </c>
      <c r="C952" t="s">
        <v>1</v>
      </c>
      <c r="D952" t="s">
        <v>3</v>
      </c>
      <c r="E952">
        <v>1</v>
      </c>
      <c r="F952" t="s">
        <v>4027</v>
      </c>
      <c r="G952">
        <v>83</v>
      </c>
    </row>
    <row r="953" spans="1:7" x14ac:dyDescent="0.2">
      <c r="A953" s="2">
        <v>45707</v>
      </c>
      <c r="B953" t="s">
        <v>1657</v>
      </c>
      <c r="C953" t="s">
        <v>1</v>
      </c>
      <c r="D953" t="s">
        <v>3</v>
      </c>
      <c r="E953">
        <v>1</v>
      </c>
      <c r="F953" t="s">
        <v>4027</v>
      </c>
      <c r="G953">
        <v>81</v>
      </c>
    </row>
    <row r="954" spans="1:7" x14ac:dyDescent="0.2">
      <c r="A954" s="2">
        <v>45707</v>
      </c>
      <c r="B954" t="s">
        <v>1656</v>
      </c>
      <c r="C954" t="s">
        <v>1</v>
      </c>
      <c r="D954" t="s">
        <v>3</v>
      </c>
      <c r="E954">
        <v>1</v>
      </c>
      <c r="F954" t="s">
        <v>4027</v>
      </c>
      <c r="G954">
        <v>71</v>
      </c>
    </row>
    <row r="955" spans="1:7" x14ac:dyDescent="0.2">
      <c r="A955" s="2">
        <v>45707</v>
      </c>
      <c r="B955" t="s">
        <v>1655</v>
      </c>
      <c r="C955" t="s">
        <v>1</v>
      </c>
      <c r="D955" t="s">
        <v>3</v>
      </c>
      <c r="E955">
        <v>1</v>
      </c>
      <c r="F955" t="s">
        <v>4027</v>
      </c>
      <c r="G955">
        <v>63</v>
      </c>
    </row>
    <row r="956" spans="1:7" x14ac:dyDescent="0.2">
      <c r="A956" s="2">
        <v>45707</v>
      </c>
      <c r="B956" t="s">
        <v>1650</v>
      </c>
      <c r="C956" t="s">
        <v>1</v>
      </c>
      <c r="D956" t="s">
        <v>3</v>
      </c>
      <c r="E956">
        <v>1</v>
      </c>
      <c r="F956" t="s">
        <v>4027</v>
      </c>
      <c r="G956">
        <v>89</v>
      </c>
    </row>
    <row r="957" spans="1:7" x14ac:dyDescent="0.2">
      <c r="A957" s="2">
        <v>45707</v>
      </c>
      <c r="B957" t="s">
        <v>1653</v>
      </c>
      <c r="C957" t="s">
        <v>1</v>
      </c>
      <c r="D957" t="s">
        <v>3</v>
      </c>
      <c r="E957">
        <v>1</v>
      </c>
      <c r="F957" t="s">
        <v>4027</v>
      </c>
      <c r="G957">
        <v>75</v>
      </c>
    </row>
    <row r="958" spans="1:7" x14ac:dyDescent="0.2">
      <c r="A958" s="2">
        <v>45707</v>
      </c>
      <c r="B958" t="s">
        <v>1652</v>
      </c>
      <c r="C958" t="s">
        <v>1</v>
      </c>
      <c r="D958" t="s">
        <v>3</v>
      </c>
      <c r="E958">
        <v>1</v>
      </c>
      <c r="F958" t="s">
        <v>4027</v>
      </c>
      <c r="G958">
        <v>67</v>
      </c>
    </row>
    <row r="959" spans="1:7" x14ac:dyDescent="0.2">
      <c r="A959" s="2">
        <v>45707</v>
      </c>
      <c r="B959" t="s">
        <v>1651</v>
      </c>
      <c r="C959" t="s">
        <v>1</v>
      </c>
      <c r="D959" t="s">
        <v>3</v>
      </c>
      <c r="E959">
        <v>1</v>
      </c>
      <c r="F959" t="s">
        <v>4027</v>
      </c>
      <c r="G959">
        <v>66</v>
      </c>
    </row>
    <row r="960" spans="1:7" x14ac:dyDescent="0.2">
      <c r="A960" s="2">
        <v>45707</v>
      </c>
      <c r="B960" t="s">
        <v>1654</v>
      </c>
      <c r="C960" t="s">
        <v>1</v>
      </c>
      <c r="D960" t="s">
        <v>3</v>
      </c>
      <c r="E960">
        <v>1</v>
      </c>
      <c r="F960" t="s">
        <v>4027</v>
      </c>
      <c r="G960">
        <v>63</v>
      </c>
    </row>
    <row r="961" spans="1:7" x14ac:dyDescent="0.2">
      <c r="A961" s="2">
        <v>45707</v>
      </c>
      <c r="B961" t="s">
        <v>1649</v>
      </c>
      <c r="C961" t="s">
        <v>1</v>
      </c>
      <c r="D961" t="s">
        <v>3</v>
      </c>
      <c r="E961">
        <v>1</v>
      </c>
      <c r="F961" t="s">
        <v>4027</v>
      </c>
      <c r="G961">
        <v>85</v>
      </c>
    </row>
    <row r="962" spans="1:7" x14ac:dyDescent="0.2">
      <c r="A962" s="2">
        <v>45708</v>
      </c>
      <c r="B962" t="s">
        <v>1658</v>
      </c>
      <c r="C962" t="s">
        <v>1</v>
      </c>
      <c r="D962" t="s">
        <v>3</v>
      </c>
      <c r="E962">
        <v>1</v>
      </c>
      <c r="F962" t="s">
        <v>4027</v>
      </c>
      <c r="G962">
        <v>83</v>
      </c>
    </row>
    <row r="963" spans="1:7" x14ac:dyDescent="0.2">
      <c r="A963" s="2">
        <v>45708</v>
      </c>
      <c r="B963" t="s">
        <v>1667</v>
      </c>
      <c r="C963" t="s">
        <v>1</v>
      </c>
      <c r="D963" t="s">
        <v>3</v>
      </c>
      <c r="E963">
        <v>1</v>
      </c>
      <c r="F963" t="s">
        <v>4027</v>
      </c>
      <c r="G963">
        <v>80</v>
      </c>
    </row>
    <row r="964" spans="1:7" x14ac:dyDescent="0.2">
      <c r="A964" s="2">
        <v>45708</v>
      </c>
      <c r="B964" t="s">
        <v>1659</v>
      </c>
      <c r="C964" t="s">
        <v>1</v>
      </c>
      <c r="D964" t="s">
        <v>3</v>
      </c>
      <c r="E964">
        <v>1</v>
      </c>
      <c r="F964" t="s">
        <v>4027</v>
      </c>
      <c r="G964">
        <v>73</v>
      </c>
    </row>
    <row r="965" spans="1:7" x14ac:dyDescent="0.2">
      <c r="A965" s="2">
        <v>45708</v>
      </c>
      <c r="B965" t="s">
        <v>1660</v>
      </c>
      <c r="C965" t="s">
        <v>1</v>
      </c>
      <c r="D965" t="s">
        <v>3</v>
      </c>
      <c r="E965">
        <v>1</v>
      </c>
      <c r="F965" t="s">
        <v>4027</v>
      </c>
      <c r="G965">
        <v>81</v>
      </c>
    </row>
    <row r="966" spans="1:7" x14ac:dyDescent="0.2">
      <c r="A966" s="2">
        <v>45708</v>
      </c>
      <c r="B966" t="s">
        <v>1661</v>
      </c>
      <c r="C966" t="s">
        <v>1</v>
      </c>
      <c r="D966" t="s">
        <v>3</v>
      </c>
      <c r="E966">
        <v>1</v>
      </c>
      <c r="F966" t="s">
        <v>4027</v>
      </c>
      <c r="G966">
        <v>62</v>
      </c>
    </row>
    <row r="967" spans="1:7" x14ac:dyDescent="0.2">
      <c r="A967" s="2">
        <v>45708</v>
      </c>
      <c r="B967" t="s">
        <v>1662</v>
      </c>
      <c r="C967" t="s">
        <v>1</v>
      </c>
      <c r="D967" t="s">
        <v>3</v>
      </c>
      <c r="E967">
        <v>1</v>
      </c>
      <c r="F967" t="s">
        <v>4027</v>
      </c>
      <c r="G967">
        <v>85</v>
      </c>
    </row>
    <row r="968" spans="1:7" x14ac:dyDescent="0.2">
      <c r="A968" s="2">
        <v>45708</v>
      </c>
      <c r="B968" t="s">
        <v>1663</v>
      </c>
      <c r="C968" t="s">
        <v>1</v>
      </c>
      <c r="D968" t="s">
        <v>3</v>
      </c>
      <c r="E968">
        <v>1</v>
      </c>
      <c r="F968" t="s">
        <v>4027</v>
      </c>
      <c r="G968">
        <v>82</v>
      </c>
    </row>
    <row r="969" spans="1:7" x14ac:dyDescent="0.2">
      <c r="A969" s="2">
        <v>45708</v>
      </c>
      <c r="B969" t="s">
        <v>1664</v>
      </c>
      <c r="C969" t="s">
        <v>1</v>
      </c>
      <c r="D969" t="s">
        <v>3</v>
      </c>
      <c r="E969">
        <v>1</v>
      </c>
      <c r="F969" t="s">
        <v>4027</v>
      </c>
      <c r="G969">
        <v>72</v>
      </c>
    </row>
    <row r="970" spans="1:7" x14ac:dyDescent="0.2">
      <c r="A970" s="2">
        <v>45708</v>
      </c>
      <c r="B970" t="s">
        <v>1665</v>
      </c>
      <c r="C970" t="s">
        <v>1</v>
      </c>
      <c r="D970" t="s">
        <v>3</v>
      </c>
      <c r="E970">
        <v>1</v>
      </c>
      <c r="F970" t="s">
        <v>4027</v>
      </c>
      <c r="G970">
        <v>64</v>
      </c>
    </row>
    <row r="971" spans="1:7" x14ac:dyDescent="0.2">
      <c r="A971" s="2">
        <v>45708</v>
      </c>
      <c r="B971" t="s">
        <v>1666</v>
      </c>
      <c r="C971" t="s">
        <v>1</v>
      </c>
      <c r="D971" t="s">
        <v>3</v>
      </c>
      <c r="E971">
        <v>1</v>
      </c>
      <c r="F971" t="s">
        <v>4027</v>
      </c>
      <c r="G971">
        <v>85</v>
      </c>
    </row>
    <row r="972" spans="1:7" x14ac:dyDescent="0.2">
      <c r="A972" s="2">
        <v>45709</v>
      </c>
      <c r="B972" t="s">
        <v>1674</v>
      </c>
      <c r="C972" t="s">
        <v>1</v>
      </c>
      <c r="D972" t="s">
        <v>3</v>
      </c>
      <c r="E972">
        <v>1</v>
      </c>
      <c r="F972" t="s">
        <v>4027</v>
      </c>
      <c r="G972">
        <v>63</v>
      </c>
    </row>
    <row r="973" spans="1:7" x14ac:dyDescent="0.2">
      <c r="A973" s="2">
        <v>45709</v>
      </c>
      <c r="B973" t="s">
        <v>1673</v>
      </c>
      <c r="C973" t="s">
        <v>1</v>
      </c>
      <c r="D973" t="s">
        <v>3</v>
      </c>
      <c r="E973">
        <v>1</v>
      </c>
      <c r="F973" t="s">
        <v>4027</v>
      </c>
      <c r="G973">
        <v>69</v>
      </c>
    </row>
    <row r="974" spans="1:7" x14ac:dyDescent="0.2">
      <c r="A974" s="2">
        <v>45709</v>
      </c>
      <c r="B974" t="s">
        <v>1672</v>
      </c>
      <c r="C974" t="s">
        <v>1</v>
      </c>
      <c r="D974" t="s">
        <v>3</v>
      </c>
      <c r="E974">
        <v>1</v>
      </c>
      <c r="F974" t="s">
        <v>4027</v>
      </c>
      <c r="G974">
        <v>78</v>
      </c>
    </row>
    <row r="975" spans="1:7" x14ac:dyDescent="0.2">
      <c r="A975" s="2">
        <v>45709</v>
      </c>
      <c r="B975" t="s">
        <v>1669</v>
      </c>
      <c r="C975" t="s">
        <v>1</v>
      </c>
      <c r="D975" t="s">
        <v>3</v>
      </c>
      <c r="E975">
        <v>1</v>
      </c>
      <c r="F975" t="s">
        <v>4027</v>
      </c>
      <c r="G975">
        <v>77</v>
      </c>
    </row>
    <row r="976" spans="1:7" x14ac:dyDescent="0.2">
      <c r="A976" s="2">
        <v>45709</v>
      </c>
      <c r="B976" t="s">
        <v>1670</v>
      </c>
      <c r="C976" t="s">
        <v>1</v>
      </c>
      <c r="D976" t="s">
        <v>3</v>
      </c>
      <c r="E976">
        <v>1</v>
      </c>
      <c r="F976" t="s">
        <v>4027</v>
      </c>
      <c r="G976">
        <v>66</v>
      </c>
    </row>
    <row r="977" spans="1:7" x14ac:dyDescent="0.2">
      <c r="A977" s="2">
        <v>45709</v>
      </c>
      <c r="B977" t="s">
        <v>1668</v>
      </c>
      <c r="C977" t="s">
        <v>1</v>
      </c>
      <c r="D977" t="s">
        <v>3</v>
      </c>
      <c r="E977">
        <v>1</v>
      </c>
      <c r="F977" t="s">
        <v>4027</v>
      </c>
      <c r="G977">
        <v>63</v>
      </c>
    </row>
    <row r="978" spans="1:7" x14ac:dyDescent="0.2">
      <c r="A978" s="2">
        <v>45709</v>
      </c>
      <c r="B978" t="s">
        <v>1671</v>
      </c>
      <c r="C978" t="s">
        <v>1</v>
      </c>
      <c r="D978" t="s">
        <v>3</v>
      </c>
      <c r="E978">
        <v>1</v>
      </c>
      <c r="F978" t="s">
        <v>4027</v>
      </c>
      <c r="G978">
        <v>61</v>
      </c>
    </row>
    <row r="979" spans="1:7" x14ac:dyDescent="0.2">
      <c r="A979" s="2">
        <v>45710</v>
      </c>
      <c r="B979" t="s">
        <v>1680</v>
      </c>
      <c r="C979" t="s">
        <v>1</v>
      </c>
      <c r="D979" t="s">
        <v>3</v>
      </c>
      <c r="E979">
        <v>1</v>
      </c>
      <c r="F979" t="s">
        <v>4027</v>
      </c>
      <c r="G979">
        <v>66</v>
      </c>
    </row>
    <row r="980" spans="1:7" x14ac:dyDescent="0.2">
      <c r="A980" s="2">
        <v>45710</v>
      </c>
      <c r="B980" t="s">
        <v>1002</v>
      </c>
      <c r="C980" t="s">
        <v>2</v>
      </c>
      <c r="D980" t="s">
        <v>4</v>
      </c>
      <c r="E980">
        <v>1</v>
      </c>
      <c r="F980" t="s">
        <v>600</v>
      </c>
      <c r="G980">
        <v>22</v>
      </c>
    </row>
    <row r="981" spans="1:7" x14ac:dyDescent="0.2">
      <c r="A981" s="2">
        <v>45710</v>
      </c>
      <c r="B981" t="s">
        <v>1681</v>
      </c>
      <c r="C981" t="s">
        <v>1</v>
      </c>
      <c r="D981" t="s">
        <v>3</v>
      </c>
      <c r="E981">
        <v>1</v>
      </c>
      <c r="F981" t="s">
        <v>4027</v>
      </c>
      <c r="G981">
        <v>63</v>
      </c>
    </row>
    <row r="982" spans="1:7" x14ac:dyDescent="0.2">
      <c r="A982" s="2">
        <v>45710</v>
      </c>
      <c r="B982" t="s">
        <v>1679</v>
      </c>
      <c r="C982" t="s">
        <v>1</v>
      </c>
      <c r="D982" t="s">
        <v>3</v>
      </c>
      <c r="E982">
        <v>1</v>
      </c>
      <c r="F982" t="s">
        <v>4027</v>
      </c>
      <c r="G982">
        <v>86</v>
      </c>
    </row>
    <row r="983" spans="1:7" x14ac:dyDescent="0.2">
      <c r="A983" s="2">
        <v>45710</v>
      </c>
      <c r="B983" t="s">
        <v>995</v>
      </c>
      <c r="C983" t="s">
        <v>2</v>
      </c>
      <c r="D983" t="s">
        <v>4</v>
      </c>
      <c r="E983">
        <v>1</v>
      </c>
      <c r="F983" t="s">
        <v>600</v>
      </c>
      <c r="G983">
        <v>22</v>
      </c>
    </row>
    <row r="984" spans="1:7" x14ac:dyDescent="0.2">
      <c r="A984" s="2">
        <v>45710</v>
      </c>
      <c r="B984" t="s">
        <v>1677</v>
      </c>
      <c r="C984" t="s">
        <v>1</v>
      </c>
      <c r="D984" t="s">
        <v>3</v>
      </c>
      <c r="E984">
        <v>1</v>
      </c>
      <c r="F984" t="s">
        <v>4027</v>
      </c>
      <c r="G984">
        <v>60</v>
      </c>
    </row>
    <row r="985" spans="1:7" x14ac:dyDescent="0.2">
      <c r="A985" s="2">
        <v>45710</v>
      </c>
      <c r="B985" t="s">
        <v>1676</v>
      </c>
      <c r="C985" t="s">
        <v>1</v>
      </c>
      <c r="D985" t="s">
        <v>3</v>
      </c>
      <c r="E985">
        <v>1</v>
      </c>
      <c r="F985" t="s">
        <v>4027</v>
      </c>
      <c r="G985">
        <v>83</v>
      </c>
    </row>
    <row r="986" spans="1:7" x14ac:dyDescent="0.2">
      <c r="A986" s="2">
        <v>45710</v>
      </c>
      <c r="B986" t="s">
        <v>1675</v>
      </c>
      <c r="C986" t="s">
        <v>1</v>
      </c>
      <c r="D986" t="s">
        <v>3</v>
      </c>
      <c r="E986">
        <v>1</v>
      </c>
      <c r="F986" t="s">
        <v>4027</v>
      </c>
      <c r="G986">
        <v>73</v>
      </c>
    </row>
    <row r="987" spans="1:7" x14ac:dyDescent="0.2">
      <c r="A987" s="2">
        <v>45710</v>
      </c>
      <c r="B987" t="s">
        <v>1678</v>
      </c>
      <c r="C987" t="s">
        <v>1</v>
      </c>
      <c r="D987" t="s">
        <v>3</v>
      </c>
      <c r="E987">
        <v>1</v>
      </c>
      <c r="F987" t="s">
        <v>4027</v>
      </c>
      <c r="G987">
        <v>72</v>
      </c>
    </row>
    <row r="988" spans="1:7" x14ac:dyDescent="0.2">
      <c r="A988" s="2">
        <v>45712</v>
      </c>
      <c r="B988" t="s">
        <v>1682</v>
      </c>
      <c r="C988" t="s">
        <v>1</v>
      </c>
      <c r="D988" t="s">
        <v>3</v>
      </c>
      <c r="E988">
        <v>1</v>
      </c>
      <c r="F988" t="s">
        <v>4027</v>
      </c>
      <c r="G988">
        <v>63</v>
      </c>
    </row>
    <row r="989" spans="1:7" x14ac:dyDescent="0.2">
      <c r="A989" s="2">
        <v>45712</v>
      </c>
      <c r="B989" t="s">
        <v>1004</v>
      </c>
      <c r="C989" t="s">
        <v>2</v>
      </c>
      <c r="D989" t="s">
        <v>4</v>
      </c>
      <c r="E989">
        <v>1</v>
      </c>
      <c r="F989" t="s">
        <v>600</v>
      </c>
      <c r="G989">
        <v>22</v>
      </c>
    </row>
    <row r="990" spans="1:7" x14ac:dyDescent="0.2">
      <c r="A990" s="2">
        <v>45712</v>
      </c>
      <c r="B990" t="s">
        <v>1011</v>
      </c>
      <c r="C990" t="s">
        <v>2</v>
      </c>
      <c r="D990" t="s">
        <v>4</v>
      </c>
      <c r="E990">
        <v>1</v>
      </c>
      <c r="F990" t="s">
        <v>600</v>
      </c>
      <c r="G990">
        <v>22</v>
      </c>
    </row>
    <row r="991" spans="1:7" x14ac:dyDescent="0.2">
      <c r="A991" s="2">
        <v>45712</v>
      </c>
      <c r="B991" t="s">
        <v>1013</v>
      </c>
      <c r="C991" t="s">
        <v>2</v>
      </c>
      <c r="D991" t="s">
        <v>4</v>
      </c>
      <c r="E991">
        <v>1</v>
      </c>
      <c r="F991" t="s">
        <v>600</v>
      </c>
      <c r="G991">
        <v>22</v>
      </c>
    </row>
    <row r="992" spans="1:7" x14ac:dyDescent="0.2">
      <c r="A992" s="2">
        <v>45712</v>
      </c>
      <c r="B992" t="s">
        <v>1015</v>
      </c>
      <c r="C992" t="s">
        <v>2</v>
      </c>
      <c r="D992" t="s">
        <v>4</v>
      </c>
      <c r="E992">
        <v>1</v>
      </c>
      <c r="F992" t="s">
        <v>600</v>
      </c>
      <c r="G992">
        <v>22</v>
      </c>
    </row>
    <row r="993" spans="1:7" x14ac:dyDescent="0.2">
      <c r="A993" s="2">
        <v>45712</v>
      </c>
      <c r="B993" t="s">
        <v>1019</v>
      </c>
      <c r="C993" t="s">
        <v>2</v>
      </c>
      <c r="D993" t="s">
        <v>4</v>
      </c>
      <c r="E993">
        <v>1</v>
      </c>
      <c r="F993" t="s">
        <v>600</v>
      </c>
      <c r="G993">
        <v>22</v>
      </c>
    </row>
    <row r="994" spans="1:7" x14ac:dyDescent="0.2">
      <c r="A994" s="2">
        <v>45713</v>
      </c>
      <c r="B994" t="s">
        <v>1023</v>
      </c>
      <c r="C994" t="s">
        <v>2</v>
      </c>
      <c r="D994" t="s">
        <v>4</v>
      </c>
      <c r="E994">
        <v>1</v>
      </c>
      <c r="F994" t="s">
        <v>600</v>
      </c>
      <c r="G994">
        <v>22</v>
      </c>
    </row>
    <row r="995" spans="1:7" x14ac:dyDescent="0.2">
      <c r="A995" s="2">
        <v>45713</v>
      </c>
      <c r="B995" t="s">
        <v>1026</v>
      </c>
      <c r="C995" t="s">
        <v>2</v>
      </c>
      <c r="D995" t="s">
        <v>4</v>
      </c>
      <c r="E995">
        <v>1</v>
      </c>
      <c r="F995" t="s">
        <v>600</v>
      </c>
      <c r="G995">
        <v>22</v>
      </c>
    </row>
    <row r="996" spans="1:7" x14ac:dyDescent="0.2">
      <c r="A996" s="2">
        <v>45713</v>
      </c>
      <c r="B996" t="s">
        <v>1031</v>
      </c>
      <c r="C996" t="s">
        <v>2</v>
      </c>
      <c r="D996" t="s">
        <v>4</v>
      </c>
      <c r="E996">
        <v>1</v>
      </c>
      <c r="F996" t="s">
        <v>600</v>
      </c>
      <c r="G996">
        <v>22</v>
      </c>
    </row>
    <row r="997" spans="1:7" x14ac:dyDescent="0.2">
      <c r="A997" s="2">
        <v>45713</v>
      </c>
      <c r="B997" t="s">
        <v>1689</v>
      </c>
      <c r="C997" t="s">
        <v>1</v>
      </c>
      <c r="D997" t="s">
        <v>3</v>
      </c>
      <c r="E997">
        <v>1</v>
      </c>
      <c r="F997" t="s">
        <v>4027</v>
      </c>
      <c r="G997">
        <v>82</v>
      </c>
    </row>
    <row r="998" spans="1:7" x14ac:dyDescent="0.2">
      <c r="A998" s="2">
        <v>45713</v>
      </c>
      <c r="B998" t="s">
        <v>1683</v>
      </c>
      <c r="C998" t="s">
        <v>1</v>
      </c>
      <c r="D998" t="s">
        <v>3</v>
      </c>
      <c r="E998">
        <v>1</v>
      </c>
      <c r="F998" t="s">
        <v>4027</v>
      </c>
      <c r="G998">
        <v>73</v>
      </c>
    </row>
    <row r="999" spans="1:7" x14ac:dyDescent="0.2">
      <c r="A999" s="2">
        <v>45713</v>
      </c>
      <c r="B999" t="s">
        <v>1684</v>
      </c>
      <c r="C999" t="s">
        <v>1</v>
      </c>
      <c r="D999" t="s">
        <v>3</v>
      </c>
      <c r="E999">
        <v>1</v>
      </c>
      <c r="F999" t="s">
        <v>4027</v>
      </c>
      <c r="G999">
        <v>85</v>
      </c>
    </row>
    <row r="1000" spans="1:7" x14ac:dyDescent="0.2">
      <c r="A1000" s="2">
        <v>45713</v>
      </c>
      <c r="B1000" t="s">
        <v>1685</v>
      </c>
      <c r="C1000" t="s">
        <v>1</v>
      </c>
      <c r="D1000" t="s">
        <v>3</v>
      </c>
      <c r="E1000">
        <v>1</v>
      </c>
      <c r="F1000" t="s">
        <v>4027</v>
      </c>
      <c r="G1000">
        <v>84</v>
      </c>
    </row>
    <row r="1001" spans="1:7" x14ac:dyDescent="0.2">
      <c r="A1001" s="2">
        <v>45713</v>
      </c>
      <c r="B1001" t="s">
        <v>1686</v>
      </c>
      <c r="C1001" t="s">
        <v>1</v>
      </c>
      <c r="D1001" t="s">
        <v>3</v>
      </c>
      <c r="E1001">
        <v>1</v>
      </c>
      <c r="F1001" t="s">
        <v>4027</v>
      </c>
      <c r="G1001">
        <v>77</v>
      </c>
    </row>
    <row r="1002" spans="1:7" x14ac:dyDescent="0.2">
      <c r="A1002" s="2">
        <v>45713</v>
      </c>
      <c r="B1002" t="s">
        <v>1692</v>
      </c>
      <c r="C1002" t="s">
        <v>1</v>
      </c>
      <c r="D1002" t="s">
        <v>3</v>
      </c>
      <c r="E1002">
        <v>1</v>
      </c>
      <c r="F1002" t="s">
        <v>4027</v>
      </c>
      <c r="G1002">
        <v>74</v>
      </c>
    </row>
    <row r="1003" spans="1:7" x14ac:dyDescent="0.2">
      <c r="A1003" s="2">
        <v>45713</v>
      </c>
      <c r="B1003" t="s">
        <v>1687</v>
      </c>
      <c r="C1003" t="s">
        <v>1</v>
      </c>
      <c r="D1003" t="s">
        <v>3</v>
      </c>
      <c r="E1003">
        <v>1</v>
      </c>
      <c r="F1003" t="s">
        <v>4027</v>
      </c>
      <c r="G1003">
        <v>68</v>
      </c>
    </row>
    <row r="1004" spans="1:7" x14ac:dyDescent="0.2">
      <c r="A1004" s="2">
        <v>45713</v>
      </c>
      <c r="B1004" t="s">
        <v>1688</v>
      </c>
      <c r="C1004" t="s">
        <v>1</v>
      </c>
      <c r="D1004" t="s">
        <v>3</v>
      </c>
      <c r="E1004">
        <v>1</v>
      </c>
      <c r="F1004" t="s">
        <v>4027</v>
      </c>
      <c r="G1004">
        <v>89</v>
      </c>
    </row>
    <row r="1005" spans="1:7" x14ac:dyDescent="0.2">
      <c r="A1005" s="2">
        <v>45713</v>
      </c>
      <c r="B1005" t="s">
        <v>1690</v>
      </c>
      <c r="C1005" t="s">
        <v>1</v>
      </c>
      <c r="D1005" t="s">
        <v>3</v>
      </c>
      <c r="E1005">
        <v>1</v>
      </c>
      <c r="F1005" t="s">
        <v>4027</v>
      </c>
      <c r="G1005">
        <v>64</v>
      </c>
    </row>
    <row r="1006" spans="1:7" x14ac:dyDescent="0.2">
      <c r="A1006" s="2">
        <v>45713</v>
      </c>
      <c r="B1006" t="s">
        <v>1691</v>
      </c>
      <c r="C1006" t="s">
        <v>1</v>
      </c>
      <c r="D1006" t="s">
        <v>3</v>
      </c>
      <c r="E1006">
        <v>1</v>
      </c>
      <c r="F1006" t="s">
        <v>4027</v>
      </c>
      <c r="G1006">
        <v>68</v>
      </c>
    </row>
    <row r="1007" spans="1:7" x14ac:dyDescent="0.2">
      <c r="A1007" s="2">
        <v>45715</v>
      </c>
      <c r="B1007" t="s">
        <v>1694</v>
      </c>
      <c r="C1007" t="s">
        <v>1</v>
      </c>
      <c r="D1007" t="s">
        <v>3</v>
      </c>
      <c r="E1007">
        <v>1</v>
      </c>
      <c r="F1007" t="s">
        <v>4027</v>
      </c>
      <c r="G1007">
        <v>86</v>
      </c>
    </row>
    <row r="1008" spans="1:7" x14ac:dyDescent="0.2">
      <c r="A1008" s="2">
        <v>45715</v>
      </c>
      <c r="B1008" t="s">
        <v>1033</v>
      </c>
      <c r="C1008" t="s">
        <v>2</v>
      </c>
      <c r="D1008" t="s">
        <v>4</v>
      </c>
      <c r="E1008">
        <v>1</v>
      </c>
      <c r="F1008" t="s">
        <v>600</v>
      </c>
      <c r="G1008">
        <v>22</v>
      </c>
    </row>
    <row r="1009" spans="1:7" x14ac:dyDescent="0.2">
      <c r="A1009" s="2">
        <v>45715</v>
      </c>
      <c r="B1009" t="s">
        <v>1037</v>
      </c>
      <c r="C1009" t="s">
        <v>2</v>
      </c>
      <c r="D1009" t="s">
        <v>4</v>
      </c>
      <c r="E1009">
        <v>1</v>
      </c>
      <c r="F1009" t="s">
        <v>600</v>
      </c>
      <c r="G1009">
        <v>22</v>
      </c>
    </row>
    <row r="1010" spans="1:7" x14ac:dyDescent="0.2">
      <c r="A1010" s="2">
        <v>45715</v>
      </c>
      <c r="B1010" t="s">
        <v>1699</v>
      </c>
      <c r="C1010" t="s">
        <v>1</v>
      </c>
      <c r="D1010" t="s">
        <v>3</v>
      </c>
      <c r="E1010">
        <v>1</v>
      </c>
      <c r="F1010" t="s">
        <v>4027</v>
      </c>
      <c r="G1010">
        <v>74</v>
      </c>
    </row>
    <row r="1011" spans="1:7" x14ac:dyDescent="0.2">
      <c r="A1011" s="2">
        <v>45715</v>
      </c>
      <c r="B1011" t="s">
        <v>1701</v>
      </c>
      <c r="C1011" t="s">
        <v>1</v>
      </c>
      <c r="D1011" t="s">
        <v>3</v>
      </c>
      <c r="E1011">
        <v>1</v>
      </c>
      <c r="F1011" t="s">
        <v>4027</v>
      </c>
      <c r="G1011">
        <v>73</v>
      </c>
    </row>
    <row r="1012" spans="1:7" x14ac:dyDescent="0.2">
      <c r="A1012" s="2">
        <v>45715</v>
      </c>
      <c r="B1012" t="s">
        <v>1700</v>
      </c>
      <c r="C1012" t="s">
        <v>1</v>
      </c>
      <c r="D1012" t="s">
        <v>3</v>
      </c>
      <c r="E1012">
        <v>1</v>
      </c>
      <c r="F1012" t="s">
        <v>4027</v>
      </c>
      <c r="G1012">
        <v>81</v>
      </c>
    </row>
    <row r="1013" spans="1:7" x14ac:dyDescent="0.2">
      <c r="A1013" s="2">
        <v>45715</v>
      </c>
      <c r="B1013" t="s">
        <v>1698</v>
      </c>
      <c r="C1013" t="s">
        <v>1</v>
      </c>
      <c r="D1013" t="s">
        <v>3</v>
      </c>
      <c r="E1013">
        <v>1</v>
      </c>
      <c r="F1013" t="s">
        <v>4027</v>
      </c>
      <c r="G1013">
        <v>82</v>
      </c>
    </row>
    <row r="1014" spans="1:7" x14ac:dyDescent="0.2">
      <c r="A1014" s="2">
        <v>45715</v>
      </c>
      <c r="B1014" t="s">
        <v>1697</v>
      </c>
      <c r="C1014" t="s">
        <v>1</v>
      </c>
      <c r="D1014" t="s">
        <v>3</v>
      </c>
      <c r="E1014">
        <v>1</v>
      </c>
      <c r="F1014" t="s">
        <v>4027</v>
      </c>
      <c r="G1014">
        <v>77</v>
      </c>
    </row>
    <row r="1015" spans="1:7" x14ac:dyDescent="0.2">
      <c r="A1015" s="2">
        <v>45715</v>
      </c>
      <c r="B1015" t="s">
        <v>1696</v>
      </c>
      <c r="C1015" t="s">
        <v>1</v>
      </c>
      <c r="D1015" t="s">
        <v>3</v>
      </c>
      <c r="E1015">
        <v>1</v>
      </c>
      <c r="F1015" t="s">
        <v>4027</v>
      </c>
      <c r="G1015">
        <v>80</v>
      </c>
    </row>
    <row r="1016" spans="1:7" x14ac:dyDescent="0.2">
      <c r="A1016" s="2">
        <v>45715</v>
      </c>
      <c r="B1016" t="s">
        <v>1695</v>
      </c>
      <c r="C1016" t="s">
        <v>1</v>
      </c>
      <c r="D1016" t="s">
        <v>3</v>
      </c>
      <c r="E1016">
        <v>1</v>
      </c>
      <c r="F1016" t="s">
        <v>4027</v>
      </c>
      <c r="G1016">
        <v>76</v>
      </c>
    </row>
    <row r="1017" spans="1:7" x14ac:dyDescent="0.2">
      <c r="A1017" s="2">
        <v>45715</v>
      </c>
      <c r="B1017" t="s">
        <v>1693</v>
      </c>
      <c r="C1017" t="s">
        <v>1</v>
      </c>
      <c r="D1017" t="s">
        <v>3</v>
      </c>
      <c r="E1017">
        <v>1</v>
      </c>
      <c r="F1017" t="s">
        <v>4027</v>
      </c>
      <c r="G1017">
        <v>85</v>
      </c>
    </row>
    <row r="1018" spans="1:7" x14ac:dyDescent="0.2">
      <c r="A1018" s="2">
        <v>45716</v>
      </c>
      <c r="B1018" t="s">
        <v>1705</v>
      </c>
      <c r="C1018" t="s">
        <v>1</v>
      </c>
      <c r="D1018" t="s">
        <v>3</v>
      </c>
      <c r="E1018">
        <v>1</v>
      </c>
      <c r="F1018" t="s">
        <v>4027</v>
      </c>
      <c r="G1018">
        <v>86</v>
      </c>
    </row>
    <row r="1019" spans="1:7" x14ac:dyDescent="0.2">
      <c r="A1019" s="2">
        <v>45716</v>
      </c>
      <c r="B1019" t="s">
        <v>1704</v>
      </c>
      <c r="C1019" t="s">
        <v>1</v>
      </c>
      <c r="D1019" t="s">
        <v>3</v>
      </c>
      <c r="E1019">
        <v>1</v>
      </c>
      <c r="F1019" t="s">
        <v>4027</v>
      </c>
      <c r="G1019">
        <v>77</v>
      </c>
    </row>
    <row r="1020" spans="1:7" x14ac:dyDescent="0.2">
      <c r="A1020" s="2">
        <v>45716</v>
      </c>
      <c r="B1020" t="s">
        <v>1703</v>
      </c>
      <c r="C1020" t="s">
        <v>1</v>
      </c>
      <c r="D1020" t="s">
        <v>3</v>
      </c>
      <c r="E1020">
        <v>1</v>
      </c>
      <c r="F1020" t="s">
        <v>4027</v>
      </c>
      <c r="G1020">
        <v>73</v>
      </c>
    </row>
    <row r="1021" spans="1:7" x14ac:dyDescent="0.2">
      <c r="A1021" s="2">
        <v>45716</v>
      </c>
      <c r="B1021" t="s">
        <v>1702</v>
      </c>
      <c r="C1021" t="s">
        <v>1</v>
      </c>
      <c r="D1021" t="s">
        <v>3</v>
      </c>
      <c r="E1021">
        <v>1</v>
      </c>
      <c r="F1021" t="s">
        <v>4027</v>
      </c>
      <c r="G1021">
        <v>81</v>
      </c>
    </row>
    <row r="1022" spans="1:7" x14ac:dyDescent="0.2">
      <c r="A1022" s="2">
        <v>45716</v>
      </c>
      <c r="B1022" t="s">
        <v>1706</v>
      </c>
      <c r="C1022" t="s">
        <v>1</v>
      </c>
      <c r="D1022" t="s">
        <v>3</v>
      </c>
      <c r="E1022">
        <v>1</v>
      </c>
      <c r="F1022" t="s">
        <v>4027</v>
      </c>
      <c r="G1022">
        <v>82</v>
      </c>
    </row>
    <row r="1023" spans="1:7" x14ac:dyDescent="0.2">
      <c r="A1023" s="2">
        <v>45719</v>
      </c>
      <c r="B1023" t="s">
        <v>1707</v>
      </c>
      <c r="C1023" t="s">
        <v>1</v>
      </c>
      <c r="D1023" t="s">
        <v>3</v>
      </c>
      <c r="E1023">
        <v>1</v>
      </c>
      <c r="F1023" t="s">
        <v>4027</v>
      </c>
      <c r="G1023">
        <v>62</v>
      </c>
    </row>
    <row r="1024" spans="1:7" x14ac:dyDescent="0.2">
      <c r="A1024" s="2">
        <v>45720</v>
      </c>
      <c r="B1024" t="s">
        <v>1712</v>
      </c>
      <c r="C1024" t="s">
        <v>1</v>
      </c>
      <c r="D1024" t="s">
        <v>3</v>
      </c>
      <c r="E1024">
        <v>1</v>
      </c>
      <c r="F1024" t="s">
        <v>4027</v>
      </c>
      <c r="G1024">
        <v>89</v>
      </c>
    </row>
    <row r="1025" spans="1:7" x14ac:dyDescent="0.2">
      <c r="A1025" s="2">
        <v>45720</v>
      </c>
      <c r="B1025" t="s">
        <v>1714</v>
      </c>
      <c r="C1025" t="s">
        <v>1</v>
      </c>
      <c r="D1025" t="s">
        <v>3</v>
      </c>
      <c r="E1025">
        <v>1</v>
      </c>
      <c r="F1025" t="s">
        <v>4027</v>
      </c>
      <c r="G1025">
        <v>64</v>
      </c>
    </row>
    <row r="1026" spans="1:7" x14ac:dyDescent="0.2">
      <c r="A1026" s="2">
        <v>45720</v>
      </c>
      <c r="B1026" t="s">
        <v>1709</v>
      </c>
      <c r="C1026" t="s">
        <v>1</v>
      </c>
      <c r="D1026" t="s">
        <v>3</v>
      </c>
      <c r="E1026">
        <v>1</v>
      </c>
      <c r="F1026" t="s">
        <v>4027</v>
      </c>
      <c r="G1026">
        <v>84</v>
      </c>
    </row>
    <row r="1027" spans="1:7" x14ac:dyDescent="0.2">
      <c r="A1027" s="2">
        <v>45720</v>
      </c>
      <c r="B1027" t="s">
        <v>1710</v>
      </c>
      <c r="C1027" t="s">
        <v>1</v>
      </c>
      <c r="D1027" t="s">
        <v>3</v>
      </c>
      <c r="E1027">
        <v>1</v>
      </c>
      <c r="F1027" t="s">
        <v>4027</v>
      </c>
      <c r="G1027">
        <v>73</v>
      </c>
    </row>
    <row r="1028" spans="1:7" x14ac:dyDescent="0.2">
      <c r="A1028" s="2">
        <v>45720</v>
      </c>
      <c r="B1028" t="s">
        <v>1713</v>
      </c>
      <c r="C1028" t="s">
        <v>1</v>
      </c>
      <c r="D1028" t="s">
        <v>3</v>
      </c>
      <c r="E1028">
        <v>1</v>
      </c>
      <c r="F1028" t="s">
        <v>4027</v>
      </c>
      <c r="G1028">
        <v>84</v>
      </c>
    </row>
    <row r="1029" spans="1:7" x14ac:dyDescent="0.2">
      <c r="A1029" s="2">
        <v>45720</v>
      </c>
      <c r="B1029" t="s">
        <v>1711</v>
      </c>
      <c r="C1029" t="s">
        <v>1</v>
      </c>
      <c r="D1029" t="s">
        <v>3</v>
      </c>
      <c r="E1029">
        <v>1</v>
      </c>
      <c r="F1029" t="s">
        <v>4027</v>
      </c>
      <c r="G1029">
        <v>64</v>
      </c>
    </row>
    <row r="1030" spans="1:7" x14ac:dyDescent="0.2">
      <c r="A1030" s="2">
        <v>45720</v>
      </c>
      <c r="B1030" t="s">
        <v>1718</v>
      </c>
      <c r="C1030" t="s">
        <v>1</v>
      </c>
      <c r="D1030" t="s">
        <v>3</v>
      </c>
      <c r="E1030">
        <v>1</v>
      </c>
      <c r="F1030" t="s">
        <v>4027</v>
      </c>
      <c r="G1030">
        <v>75</v>
      </c>
    </row>
    <row r="1031" spans="1:7" x14ac:dyDescent="0.2">
      <c r="A1031" s="2">
        <v>45720</v>
      </c>
      <c r="B1031" t="s">
        <v>1717</v>
      </c>
      <c r="C1031" t="s">
        <v>1</v>
      </c>
      <c r="D1031" t="s">
        <v>3</v>
      </c>
      <c r="E1031">
        <v>1</v>
      </c>
      <c r="F1031" t="s">
        <v>4027</v>
      </c>
      <c r="G1031">
        <v>62</v>
      </c>
    </row>
    <row r="1032" spans="1:7" x14ac:dyDescent="0.2">
      <c r="A1032" s="2">
        <v>45720</v>
      </c>
      <c r="B1032" t="s">
        <v>1716</v>
      </c>
      <c r="C1032" t="s">
        <v>1</v>
      </c>
      <c r="D1032" t="s">
        <v>3</v>
      </c>
      <c r="E1032">
        <v>1</v>
      </c>
      <c r="F1032" t="s">
        <v>4027</v>
      </c>
      <c r="G1032">
        <v>65</v>
      </c>
    </row>
    <row r="1033" spans="1:7" x14ac:dyDescent="0.2">
      <c r="A1033" s="2">
        <v>45720</v>
      </c>
      <c r="B1033" t="s">
        <v>1715</v>
      </c>
      <c r="C1033" t="s">
        <v>1</v>
      </c>
      <c r="D1033" t="s">
        <v>3</v>
      </c>
      <c r="E1033">
        <v>1</v>
      </c>
      <c r="F1033" t="s">
        <v>4027</v>
      </c>
      <c r="G1033">
        <v>64</v>
      </c>
    </row>
    <row r="1034" spans="1:7" x14ac:dyDescent="0.2">
      <c r="A1034" s="2">
        <v>45720</v>
      </c>
      <c r="B1034" t="s">
        <v>1708</v>
      </c>
      <c r="C1034" t="s">
        <v>1</v>
      </c>
      <c r="D1034" t="s">
        <v>3</v>
      </c>
      <c r="E1034">
        <v>1</v>
      </c>
      <c r="F1034" t="s">
        <v>4027</v>
      </c>
      <c r="G1034">
        <v>70</v>
      </c>
    </row>
    <row r="1035" spans="1:7" x14ac:dyDescent="0.2">
      <c r="A1035" s="2">
        <v>45721</v>
      </c>
      <c r="B1035" t="s">
        <v>1719</v>
      </c>
      <c r="C1035" t="s">
        <v>1</v>
      </c>
      <c r="D1035" t="s">
        <v>3</v>
      </c>
      <c r="E1035">
        <v>1</v>
      </c>
      <c r="F1035" t="s">
        <v>4027</v>
      </c>
      <c r="G1035">
        <v>76</v>
      </c>
    </row>
    <row r="1036" spans="1:7" x14ac:dyDescent="0.2">
      <c r="A1036" s="2">
        <v>45721</v>
      </c>
      <c r="B1036" t="s">
        <v>1721</v>
      </c>
      <c r="C1036" t="s">
        <v>1</v>
      </c>
      <c r="D1036" t="s">
        <v>3</v>
      </c>
      <c r="E1036">
        <v>1</v>
      </c>
      <c r="F1036" t="s">
        <v>4027</v>
      </c>
      <c r="G1036">
        <v>84</v>
      </c>
    </row>
    <row r="1037" spans="1:7" x14ac:dyDescent="0.2">
      <c r="A1037" s="2">
        <v>45721</v>
      </c>
      <c r="B1037" t="s">
        <v>1729</v>
      </c>
      <c r="C1037" t="s">
        <v>1</v>
      </c>
      <c r="D1037" t="s">
        <v>3</v>
      </c>
      <c r="E1037">
        <v>1</v>
      </c>
      <c r="F1037" t="s">
        <v>4027</v>
      </c>
      <c r="G1037">
        <v>69</v>
      </c>
    </row>
    <row r="1038" spans="1:7" x14ac:dyDescent="0.2">
      <c r="A1038" s="2">
        <v>45721</v>
      </c>
      <c r="B1038" t="s">
        <v>1728</v>
      </c>
      <c r="C1038" t="s">
        <v>1</v>
      </c>
      <c r="D1038" t="s">
        <v>3</v>
      </c>
      <c r="E1038">
        <v>1</v>
      </c>
      <c r="F1038" t="s">
        <v>4027</v>
      </c>
      <c r="G1038">
        <v>85</v>
      </c>
    </row>
    <row r="1039" spans="1:7" x14ac:dyDescent="0.2">
      <c r="A1039" s="2">
        <v>45721</v>
      </c>
      <c r="B1039" t="s">
        <v>1727</v>
      </c>
      <c r="C1039" t="s">
        <v>1</v>
      </c>
      <c r="D1039" t="s">
        <v>3</v>
      </c>
      <c r="E1039">
        <v>1</v>
      </c>
      <c r="F1039" t="s">
        <v>4027</v>
      </c>
      <c r="G1039">
        <v>71</v>
      </c>
    </row>
    <row r="1040" spans="1:7" x14ac:dyDescent="0.2">
      <c r="A1040" s="2">
        <v>45721</v>
      </c>
      <c r="B1040" t="s">
        <v>1726</v>
      </c>
      <c r="C1040" t="s">
        <v>1</v>
      </c>
      <c r="D1040" t="s">
        <v>3</v>
      </c>
      <c r="E1040">
        <v>1</v>
      </c>
      <c r="F1040" t="s">
        <v>4027</v>
      </c>
      <c r="G1040">
        <v>60</v>
      </c>
    </row>
    <row r="1041" spans="1:7" x14ac:dyDescent="0.2">
      <c r="A1041" s="2">
        <v>45721</v>
      </c>
      <c r="B1041" t="s">
        <v>1725</v>
      </c>
      <c r="C1041" t="s">
        <v>1</v>
      </c>
      <c r="D1041" t="s">
        <v>3</v>
      </c>
      <c r="E1041">
        <v>1</v>
      </c>
      <c r="F1041" t="s">
        <v>4027</v>
      </c>
      <c r="G1041">
        <v>70</v>
      </c>
    </row>
    <row r="1042" spans="1:7" x14ac:dyDescent="0.2">
      <c r="A1042" s="2">
        <v>45721</v>
      </c>
      <c r="B1042" t="s">
        <v>1724</v>
      </c>
      <c r="C1042" t="s">
        <v>1</v>
      </c>
      <c r="D1042" t="s">
        <v>3</v>
      </c>
      <c r="E1042">
        <v>1</v>
      </c>
      <c r="F1042" t="s">
        <v>4027</v>
      </c>
      <c r="G1042">
        <v>85</v>
      </c>
    </row>
    <row r="1043" spans="1:7" x14ac:dyDescent="0.2">
      <c r="A1043" s="2">
        <v>45721</v>
      </c>
      <c r="B1043" t="s">
        <v>1723</v>
      </c>
      <c r="C1043" t="s">
        <v>1</v>
      </c>
      <c r="D1043" t="s">
        <v>3</v>
      </c>
      <c r="E1043">
        <v>1</v>
      </c>
      <c r="F1043" t="s">
        <v>4027</v>
      </c>
      <c r="G1043">
        <v>76</v>
      </c>
    </row>
    <row r="1044" spans="1:7" x14ac:dyDescent="0.2">
      <c r="A1044" s="2">
        <v>45721</v>
      </c>
      <c r="B1044" t="s">
        <v>1722</v>
      </c>
      <c r="C1044" t="s">
        <v>1</v>
      </c>
      <c r="D1044" t="s">
        <v>3</v>
      </c>
      <c r="E1044">
        <v>1</v>
      </c>
      <c r="F1044" t="s">
        <v>4027</v>
      </c>
      <c r="G1044">
        <v>60</v>
      </c>
    </row>
    <row r="1045" spans="1:7" x14ac:dyDescent="0.2">
      <c r="A1045" s="2">
        <v>45721</v>
      </c>
      <c r="B1045" t="s">
        <v>1730</v>
      </c>
      <c r="C1045" t="s">
        <v>1</v>
      </c>
      <c r="D1045" t="s">
        <v>3</v>
      </c>
      <c r="E1045">
        <v>1</v>
      </c>
      <c r="F1045" t="s">
        <v>4027</v>
      </c>
      <c r="G1045">
        <v>69</v>
      </c>
    </row>
    <row r="1046" spans="1:7" x14ac:dyDescent="0.2">
      <c r="A1046" s="2">
        <v>45721</v>
      </c>
      <c r="B1046" t="s">
        <v>1720</v>
      </c>
      <c r="C1046" t="s">
        <v>1</v>
      </c>
      <c r="D1046" t="s">
        <v>3</v>
      </c>
      <c r="E1046">
        <v>1</v>
      </c>
      <c r="F1046" t="s">
        <v>4027</v>
      </c>
      <c r="G1046">
        <v>82</v>
      </c>
    </row>
    <row r="1047" spans="1:7" x14ac:dyDescent="0.2">
      <c r="A1047" s="2">
        <v>45722</v>
      </c>
      <c r="B1047" t="s">
        <v>1048</v>
      </c>
      <c r="C1047" t="s">
        <v>2</v>
      </c>
      <c r="D1047" t="s">
        <v>4</v>
      </c>
      <c r="E1047">
        <v>1</v>
      </c>
      <c r="F1047" t="s">
        <v>600</v>
      </c>
      <c r="G1047">
        <v>22</v>
      </c>
    </row>
    <row r="1048" spans="1:7" x14ac:dyDescent="0.2">
      <c r="A1048" s="2">
        <v>45722</v>
      </c>
      <c r="B1048" t="s">
        <v>1042</v>
      </c>
      <c r="C1048" t="s">
        <v>2</v>
      </c>
      <c r="D1048" t="s">
        <v>4</v>
      </c>
      <c r="E1048">
        <v>1</v>
      </c>
      <c r="F1048" t="s">
        <v>600</v>
      </c>
      <c r="G1048">
        <v>22</v>
      </c>
    </row>
    <row r="1049" spans="1:7" x14ac:dyDescent="0.2">
      <c r="A1049" s="2">
        <v>45722</v>
      </c>
      <c r="B1049" t="s">
        <v>1044</v>
      </c>
      <c r="C1049" t="s">
        <v>2</v>
      </c>
      <c r="D1049" t="s">
        <v>4</v>
      </c>
      <c r="E1049">
        <v>1</v>
      </c>
      <c r="F1049" t="s">
        <v>600</v>
      </c>
      <c r="G1049">
        <v>22</v>
      </c>
    </row>
    <row r="1050" spans="1:7" x14ac:dyDescent="0.2">
      <c r="A1050" s="2">
        <v>45722</v>
      </c>
      <c r="B1050" t="s">
        <v>1046</v>
      </c>
      <c r="C1050" t="s">
        <v>2</v>
      </c>
      <c r="D1050" t="s">
        <v>4</v>
      </c>
      <c r="E1050">
        <v>1</v>
      </c>
      <c r="F1050" t="s">
        <v>600</v>
      </c>
      <c r="G1050">
        <v>22</v>
      </c>
    </row>
    <row r="1051" spans="1:7" x14ac:dyDescent="0.2">
      <c r="A1051" s="2">
        <v>45722</v>
      </c>
      <c r="B1051" t="s">
        <v>1735</v>
      </c>
      <c r="C1051" t="s">
        <v>1</v>
      </c>
      <c r="D1051" t="s">
        <v>3</v>
      </c>
      <c r="E1051">
        <v>1</v>
      </c>
      <c r="F1051" t="s">
        <v>4027</v>
      </c>
      <c r="G1051">
        <v>67</v>
      </c>
    </row>
    <row r="1052" spans="1:7" x14ac:dyDescent="0.2">
      <c r="A1052" s="2">
        <v>45722</v>
      </c>
      <c r="B1052" t="s">
        <v>1734</v>
      </c>
      <c r="C1052" t="s">
        <v>1</v>
      </c>
      <c r="D1052" t="s">
        <v>3</v>
      </c>
      <c r="E1052">
        <v>1</v>
      </c>
      <c r="F1052" t="s">
        <v>4027</v>
      </c>
      <c r="G1052">
        <v>76</v>
      </c>
    </row>
    <row r="1053" spans="1:7" x14ac:dyDescent="0.2">
      <c r="A1053" s="2">
        <v>45722</v>
      </c>
      <c r="B1053" t="s">
        <v>1733</v>
      </c>
      <c r="C1053" t="s">
        <v>1</v>
      </c>
      <c r="D1053" t="s">
        <v>3</v>
      </c>
      <c r="E1053">
        <v>1</v>
      </c>
      <c r="F1053" t="s">
        <v>4027</v>
      </c>
      <c r="G1053">
        <v>89</v>
      </c>
    </row>
    <row r="1054" spans="1:7" x14ac:dyDescent="0.2">
      <c r="A1054" s="2">
        <v>45722</v>
      </c>
      <c r="B1054" t="s">
        <v>1732</v>
      </c>
      <c r="C1054" t="s">
        <v>1</v>
      </c>
      <c r="D1054" t="s">
        <v>3</v>
      </c>
      <c r="E1054">
        <v>1</v>
      </c>
      <c r="F1054" t="s">
        <v>4027</v>
      </c>
      <c r="G1054">
        <v>89</v>
      </c>
    </row>
    <row r="1055" spans="1:7" x14ac:dyDescent="0.2">
      <c r="A1055" s="2">
        <v>45722</v>
      </c>
      <c r="B1055" t="s">
        <v>1731</v>
      </c>
      <c r="C1055" t="s">
        <v>1</v>
      </c>
      <c r="D1055" t="s">
        <v>3</v>
      </c>
      <c r="E1055">
        <v>1</v>
      </c>
      <c r="F1055" t="s">
        <v>4027</v>
      </c>
      <c r="G1055">
        <v>81</v>
      </c>
    </row>
    <row r="1056" spans="1:7" x14ac:dyDescent="0.2">
      <c r="A1056" s="2">
        <v>45722</v>
      </c>
      <c r="B1056" t="s">
        <v>1040</v>
      </c>
      <c r="C1056" t="s">
        <v>2</v>
      </c>
      <c r="D1056" t="s">
        <v>4</v>
      </c>
      <c r="E1056">
        <v>1</v>
      </c>
      <c r="F1056" t="s">
        <v>600</v>
      </c>
      <c r="G1056">
        <v>22</v>
      </c>
    </row>
    <row r="1057" spans="1:7" x14ac:dyDescent="0.2">
      <c r="A1057" s="2">
        <v>45724</v>
      </c>
      <c r="B1057" t="s">
        <v>1737</v>
      </c>
      <c r="C1057" t="s">
        <v>1</v>
      </c>
      <c r="D1057" t="s">
        <v>3</v>
      </c>
      <c r="E1057">
        <v>1</v>
      </c>
      <c r="F1057" t="s">
        <v>4027</v>
      </c>
      <c r="G1057">
        <v>84</v>
      </c>
    </row>
    <row r="1058" spans="1:7" x14ac:dyDescent="0.2">
      <c r="A1058" s="2">
        <v>45724</v>
      </c>
      <c r="B1058" t="s">
        <v>1736</v>
      </c>
      <c r="C1058" t="s">
        <v>1</v>
      </c>
      <c r="D1058" t="s">
        <v>3</v>
      </c>
      <c r="E1058">
        <v>1</v>
      </c>
      <c r="F1058" t="s">
        <v>4027</v>
      </c>
      <c r="G1058">
        <v>66</v>
      </c>
    </row>
    <row r="1059" spans="1:7" x14ac:dyDescent="0.2">
      <c r="A1059" s="2">
        <v>45724</v>
      </c>
      <c r="B1059" t="s">
        <v>1738</v>
      </c>
      <c r="C1059" t="s">
        <v>1</v>
      </c>
      <c r="D1059" t="s">
        <v>3</v>
      </c>
      <c r="E1059">
        <v>1</v>
      </c>
      <c r="F1059" t="s">
        <v>4027</v>
      </c>
      <c r="G1059">
        <v>76</v>
      </c>
    </row>
    <row r="1060" spans="1:7" x14ac:dyDescent="0.2">
      <c r="A1060" s="2">
        <v>45726</v>
      </c>
      <c r="B1060" t="s">
        <v>1743</v>
      </c>
      <c r="C1060" t="s">
        <v>1</v>
      </c>
      <c r="D1060" t="s">
        <v>3</v>
      </c>
      <c r="E1060">
        <v>1</v>
      </c>
      <c r="F1060" t="s">
        <v>4027</v>
      </c>
      <c r="G1060">
        <v>60</v>
      </c>
    </row>
    <row r="1061" spans="1:7" x14ac:dyDescent="0.2">
      <c r="A1061" s="2">
        <v>45726</v>
      </c>
      <c r="B1061" t="s">
        <v>1746</v>
      </c>
      <c r="C1061" t="s">
        <v>1</v>
      </c>
      <c r="D1061" t="s">
        <v>3</v>
      </c>
      <c r="E1061">
        <v>1</v>
      </c>
      <c r="F1061" t="s">
        <v>4027</v>
      </c>
      <c r="G1061">
        <v>63</v>
      </c>
    </row>
    <row r="1062" spans="1:7" x14ac:dyDescent="0.2">
      <c r="A1062" s="2">
        <v>45726</v>
      </c>
      <c r="B1062" t="s">
        <v>1745</v>
      </c>
      <c r="C1062" t="s">
        <v>1</v>
      </c>
      <c r="D1062" t="s">
        <v>3</v>
      </c>
      <c r="E1062">
        <v>1</v>
      </c>
      <c r="F1062" t="s">
        <v>4027</v>
      </c>
      <c r="G1062">
        <v>81</v>
      </c>
    </row>
    <row r="1063" spans="1:7" x14ac:dyDescent="0.2">
      <c r="A1063" s="2">
        <v>45726</v>
      </c>
      <c r="B1063" t="s">
        <v>1744</v>
      </c>
      <c r="C1063" t="s">
        <v>1</v>
      </c>
      <c r="D1063" t="s">
        <v>3</v>
      </c>
      <c r="E1063">
        <v>1</v>
      </c>
      <c r="F1063" t="s">
        <v>4027</v>
      </c>
      <c r="G1063">
        <v>69</v>
      </c>
    </row>
    <row r="1064" spans="1:7" x14ac:dyDescent="0.2">
      <c r="A1064" s="2">
        <v>45726</v>
      </c>
      <c r="B1064" t="s">
        <v>1742</v>
      </c>
      <c r="C1064" t="s">
        <v>1</v>
      </c>
      <c r="D1064" t="s">
        <v>3</v>
      </c>
      <c r="E1064">
        <v>1</v>
      </c>
      <c r="F1064" t="s">
        <v>4027</v>
      </c>
      <c r="G1064">
        <v>64</v>
      </c>
    </row>
    <row r="1065" spans="1:7" x14ac:dyDescent="0.2">
      <c r="A1065" s="2">
        <v>45726</v>
      </c>
      <c r="B1065" t="s">
        <v>1741</v>
      </c>
      <c r="C1065" t="s">
        <v>1</v>
      </c>
      <c r="D1065" t="s">
        <v>3</v>
      </c>
      <c r="E1065">
        <v>1</v>
      </c>
      <c r="F1065" t="s">
        <v>4027</v>
      </c>
      <c r="G1065">
        <v>76</v>
      </c>
    </row>
    <row r="1066" spans="1:7" x14ac:dyDescent="0.2">
      <c r="A1066" s="2">
        <v>45726</v>
      </c>
      <c r="B1066" t="s">
        <v>1740</v>
      </c>
      <c r="C1066" t="s">
        <v>1</v>
      </c>
      <c r="D1066" t="s">
        <v>3</v>
      </c>
      <c r="E1066">
        <v>1</v>
      </c>
      <c r="F1066" t="s">
        <v>4027</v>
      </c>
      <c r="G1066">
        <v>74</v>
      </c>
    </row>
    <row r="1067" spans="1:7" x14ac:dyDescent="0.2">
      <c r="A1067" s="2">
        <v>45726</v>
      </c>
      <c r="B1067" t="s">
        <v>1739</v>
      </c>
      <c r="C1067" t="s">
        <v>1</v>
      </c>
      <c r="D1067" t="s">
        <v>3</v>
      </c>
      <c r="E1067">
        <v>1</v>
      </c>
      <c r="F1067" t="s">
        <v>4027</v>
      </c>
      <c r="G1067">
        <v>81</v>
      </c>
    </row>
    <row r="1068" spans="1:7" x14ac:dyDescent="0.2">
      <c r="A1068" s="2">
        <v>45726</v>
      </c>
      <c r="B1068" t="s">
        <v>1747</v>
      </c>
      <c r="C1068" t="s">
        <v>1</v>
      </c>
      <c r="D1068" t="s">
        <v>3</v>
      </c>
      <c r="E1068">
        <v>1</v>
      </c>
      <c r="F1068" t="s">
        <v>4027</v>
      </c>
      <c r="G1068">
        <v>65</v>
      </c>
    </row>
    <row r="1069" spans="1:7" x14ac:dyDescent="0.2">
      <c r="A1069" s="2">
        <v>45726</v>
      </c>
      <c r="B1069" t="s">
        <v>1748</v>
      </c>
      <c r="C1069" t="s">
        <v>1</v>
      </c>
      <c r="D1069" t="s">
        <v>3</v>
      </c>
      <c r="E1069">
        <v>1</v>
      </c>
      <c r="F1069" t="s">
        <v>4027</v>
      </c>
      <c r="G1069">
        <v>68</v>
      </c>
    </row>
    <row r="1070" spans="1:7" x14ac:dyDescent="0.2">
      <c r="A1070" s="2">
        <v>45726</v>
      </c>
      <c r="B1070" t="s">
        <v>1749</v>
      </c>
      <c r="C1070" t="s">
        <v>1</v>
      </c>
      <c r="D1070" t="s">
        <v>3</v>
      </c>
      <c r="E1070">
        <v>1</v>
      </c>
      <c r="F1070" t="s">
        <v>4027</v>
      </c>
      <c r="G1070">
        <v>88</v>
      </c>
    </row>
    <row r="1071" spans="1:7" x14ac:dyDescent="0.2">
      <c r="A1071" s="2">
        <v>45727</v>
      </c>
      <c r="B1071" t="s">
        <v>1756</v>
      </c>
      <c r="C1071" t="s">
        <v>1</v>
      </c>
      <c r="D1071" t="s">
        <v>3</v>
      </c>
      <c r="E1071">
        <v>1</v>
      </c>
      <c r="F1071" t="s">
        <v>4027</v>
      </c>
      <c r="G1071">
        <v>72</v>
      </c>
    </row>
    <row r="1072" spans="1:7" x14ac:dyDescent="0.2">
      <c r="A1072" s="2">
        <v>45727</v>
      </c>
      <c r="B1072" t="s">
        <v>1755</v>
      </c>
      <c r="C1072" t="s">
        <v>1</v>
      </c>
      <c r="D1072" t="s">
        <v>3</v>
      </c>
      <c r="E1072">
        <v>1</v>
      </c>
      <c r="F1072" t="s">
        <v>4027</v>
      </c>
      <c r="G1072">
        <v>71</v>
      </c>
    </row>
    <row r="1073" spans="1:7" x14ac:dyDescent="0.2">
      <c r="A1073" s="2">
        <v>45727</v>
      </c>
      <c r="B1073" t="s">
        <v>1752</v>
      </c>
      <c r="C1073" t="s">
        <v>1</v>
      </c>
      <c r="D1073" t="s">
        <v>3</v>
      </c>
      <c r="E1073">
        <v>1</v>
      </c>
      <c r="F1073" t="s">
        <v>4027</v>
      </c>
      <c r="G1073">
        <v>89</v>
      </c>
    </row>
    <row r="1074" spans="1:7" x14ac:dyDescent="0.2">
      <c r="A1074" s="2">
        <v>45727</v>
      </c>
      <c r="B1074" t="s">
        <v>1757</v>
      </c>
      <c r="C1074" t="s">
        <v>1</v>
      </c>
      <c r="D1074" t="s">
        <v>3</v>
      </c>
      <c r="E1074">
        <v>1</v>
      </c>
      <c r="F1074" t="s">
        <v>4027</v>
      </c>
      <c r="G1074">
        <v>87</v>
      </c>
    </row>
    <row r="1075" spans="1:7" x14ac:dyDescent="0.2">
      <c r="A1075" s="2">
        <v>45727</v>
      </c>
      <c r="B1075" t="s">
        <v>1758</v>
      </c>
      <c r="C1075" t="s">
        <v>1</v>
      </c>
      <c r="D1075" t="s">
        <v>3</v>
      </c>
      <c r="E1075">
        <v>1</v>
      </c>
      <c r="F1075" t="s">
        <v>4027</v>
      </c>
      <c r="G1075">
        <v>78</v>
      </c>
    </row>
    <row r="1076" spans="1:7" x14ac:dyDescent="0.2">
      <c r="A1076" s="2">
        <v>45727</v>
      </c>
      <c r="B1076" t="s">
        <v>1759</v>
      </c>
      <c r="C1076" t="s">
        <v>1</v>
      </c>
      <c r="D1076" t="s">
        <v>3</v>
      </c>
      <c r="E1076">
        <v>1</v>
      </c>
      <c r="F1076" t="s">
        <v>4027</v>
      </c>
      <c r="G1076">
        <v>84</v>
      </c>
    </row>
    <row r="1077" spans="1:7" x14ac:dyDescent="0.2">
      <c r="A1077" s="2">
        <v>45727</v>
      </c>
      <c r="B1077" t="s">
        <v>1760</v>
      </c>
      <c r="C1077" t="s">
        <v>1</v>
      </c>
      <c r="D1077" t="s">
        <v>3</v>
      </c>
      <c r="E1077">
        <v>1</v>
      </c>
      <c r="F1077" t="s">
        <v>4027</v>
      </c>
      <c r="G1077">
        <v>68</v>
      </c>
    </row>
    <row r="1078" spans="1:7" x14ac:dyDescent="0.2">
      <c r="A1078" s="2">
        <v>45727</v>
      </c>
      <c r="B1078" t="s">
        <v>1753</v>
      </c>
      <c r="C1078" t="s">
        <v>1</v>
      </c>
      <c r="D1078" t="s">
        <v>3</v>
      </c>
      <c r="E1078">
        <v>1</v>
      </c>
      <c r="F1078" t="s">
        <v>4027</v>
      </c>
      <c r="G1078">
        <v>62</v>
      </c>
    </row>
    <row r="1079" spans="1:7" x14ac:dyDescent="0.2">
      <c r="A1079" s="2">
        <v>45727</v>
      </c>
      <c r="B1079" t="s">
        <v>1751</v>
      </c>
      <c r="C1079" t="s">
        <v>1</v>
      </c>
      <c r="D1079" t="s">
        <v>3</v>
      </c>
      <c r="E1079">
        <v>1</v>
      </c>
      <c r="F1079" t="s">
        <v>4027</v>
      </c>
      <c r="G1079">
        <v>84</v>
      </c>
    </row>
    <row r="1080" spans="1:7" x14ac:dyDescent="0.2">
      <c r="A1080" s="2">
        <v>45727</v>
      </c>
      <c r="B1080" t="s">
        <v>1750</v>
      </c>
      <c r="C1080" t="s">
        <v>1</v>
      </c>
      <c r="D1080" t="s">
        <v>3</v>
      </c>
      <c r="E1080">
        <v>1</v>
      </c>
      <c r="F1080" t="s">
        <v>4027</v>
      </c>
      <c r="G1080">
        <v>88</v>
      </c>
    </row>
    <row r="1081" spans="1:7" x14ac:dyDescent="0.2">
      <c r="A1081" s="2">
        <v>45727</v>
      </c>
      <c r="B1081" t="s">
        <v>1754</v>
      </c>
      <c r="C1081" t="s">
        <v>1</v>
      </c>
      <c r="D1081" t="s">
        <v>3</v>
      </c>
      <c r="E1081">
        <v>1</v>
      </c>
      <c r="F1081" t="s">
        <v>4027</v>
      </c>
      <c r="G1081">
        <v>83</v>
      </c>
    </row>
    <row r="1082" spans="1:7" x14ac:dyDescent="0.2">
      <c r="A1082" s="2">
        <v>45728</v>
      </c>
      <c r="B1082" t="s">
        <v>1053</v>
      </c>
      <c r="C1082" t="s">
        <v>2</v>
      </c>
      <c r="D1082" t="s">
        <v>4</v>
      </c>
      <c r="E1082">
        <v>1</v>
      </c>
      <c r="F1082" t="s">
        <v>600</v>
      </c>
      <c r="G1082">
        <v>22</v>
      </c>
    </row>
    <row r="1083" spans="1:7" x14ac:dyDescent="0.2">
      <c r="A1083" s="2">
        <v>45728</v>
      </c>
      <c r="B1083" t="s">
        <v>1066</v>
      </c>
      <c r="C1083" t="s">
        <v>2</v>
      </c>
      <c r="D1083" t="s">
        <v>4</v>
      </c>
      <c r="E1083">
        <v>1</v>
      </c>
      <c r="F1083" t="s">
        <v>600</v>
      </c>
      <c r="G1083">
        <v>22</v>
      </c>
    </row>
    <row r="1084" spans="1:7" x14ac:dyDescent="0.2">
      <c r="A1084" s="2">
        <v>45728</v>
      </c>
      <c r="B1084" t="s">
        <v>1062</v>
      </c>
      <c r="C1084" t="s">
        <v>2</v>
      </c>
      <c r="D1084" t="s">
        <v>4</v>
      </c>
      <c r="E1084">
        <v>1</v>
      </c>
      <c r="F1084" t="s">
        <v>600</v>
      </c>
      <c r="G1084">
        <v>22</v>
      </c>
    </row>
    <row r="1085" spans="1:7" x14ac:dyDescent="0.2">
      <c r="A1085" s="2">
        <v>45728</v>
      </c>
      <c r="B1085" t="s">
        <v>1058</v>
      </c>
      <c r="C1085" t="s">
        <v>2</v>
      </c>
      <c r="D1085" t="s">
        <v>4</v>
      </c>
      <c r="E1085">
        <v>1</v>
      </c>
      <c r="F1085" t="s">
        <v>600</v>
      </c>
      <c r="G1085">
        <v>22</v>
      </c>
    </row>
    <row r="1086" spans="1:7" x14ac:dyDescent="0.2">
      <c r="A1086" s="2">
        <v>45728</v>
      </c>
      <c r="B1086" t="s">
        <v>1761</v>
      </c>
      <c r="C1086" t="s">
        <v>1</v>
      </c>
      <c r="D1086" t="s">
        <v>3</v>
      </c>
      <c r="E1086">
        <v>1</v>
      </c>
      <c r="F1086" t="s">
        <v>4027</v>
      </c>
      <c r="G1086">
        <v>84</v>
      </c>
    </row>
    <row r="1087" spans="1:7" x14ac:dyDescent="0.2">
      <c r="A1087" s="2">
        <v>45728</v>
      </c>
      <c r="B1087" t="s">
        <v>1762</v>
      </c>
      <c r="C1087" t="s">
        <v>1</v>
      </c>
      <c r="D1087" t="s">
        <v>3</v>
      </c>
      <c r="E1087">
        <v>1</v>
      </c>
      <c r="F1087" t="s">
        <v>4027</v>
      </c>
      <c r="G1087">
        <v>77</v>
      </c>
    </row>
    <row r="1088" spans="1:7" x14ac:dyDescent="0.2">
      <c r="A1088" s="2">
        <v>45728</v>
      </c>
      <c r="B1088" t="s">
        <v>1763</v>
      </c>
      <c r="C1088" t="s">
        <v>1</v>
      </c>
      <c r="D1088" t="s">
        <v>3</v>
      </c>
      <c r="E1088">
        <v>1</v>
      </c>
      <c r="F1088" t="s">
        <v>4027</v>
      </c>
      <c r="G1088">
        <v>64</v>
      </c>
    </row>
    <row r="1089" spans="1:7" x14ac:dyDescent="0.2">
      <c r="A1089" s="2">
        <v>45728</v>
      </c>
      <c r="B1089" t="s">
        <v>1764</v>
      </c>
      <c r="C1089" t="s">
        <v>1</v>
      </c>
      <c r="D1089" t="s">
        <v>3</v>
      </c>
      <c r="E1089">
        <v>1</v>
      </c>
      <c r="F1089" t="s">
        <v>4027</v>
      </c>
      <c r="G1089">
        <v>67</v>
      </c>
    </row>
    <row r="1090" spans="1:7" x14ac:dyDescent="0.2">
      <c r="A1090" s="2">
        <v>45728</v>
      </c>
      <c r="B1090" t="s">
        <v>1765</v>
      </c>
      <c r="C1090" t="s">
        <v>1</v>
      </c>
      <c r="D1090" t="s">
        <v>3</v>
      </c>
      <c r="E1090">
        <v>1</v>
      </c>
      <c r="F1090" t="s">
        <v>4027</v>
      </c>
      <c r="G1090">
        <v>83</v>
      </c>
    </row>
    <row r="1091" spans="1:7" x14ac:dyDescent="0.2">
      <c r="A1091" s="2">
        <v>45728</v>
      </c>
      <c r="B1091" t="s">
        <v>1766</v>
      </c>
      <c r="C1091" t="s">
        <v>1</v>
      </c>
      <c r="D1091" t="s">
        <v>3</v>
      </c>
      <c r="E1091">
        <v>1</v>
      </c>
      <c r="F1091" t="s">
        <v>4027</v>
      </c>
      <c r="G1091">
        <v>74</v>
      </c>
    </row>
    <row r="1092" spans="1:7" x14ac:dyDescent="0.2">
      <c r="A1092" s="2">
        <v>45728</v>
      </c>
      <c r="B1092" t="s">
        <v>1767</v>
      </c>
      <c r="C1092" t="s">
        <v>1</v>
      </c>
      <c r="D1092" t="s">
        <v>3</v>
      </c>
      <c r="E1092">
        <v>1</v>
      </c>
      <c r="F1092" t="s">
        <v>4027</v>
      </c>
      <c r="G1092">
        <v>82</v>
      </c>
    </row>
    <row r="1093" spans="1:7" x14ac:dyDescent="0.2">
      <c r="A1093" s="2">
        <v>45728</v>
      </c>
      <c r="B1093" t="s">
        <v>1056</v>
      </c>
      <c r="C1093" t="s">
        <v>2</v>
      </c>
      <c r="D1093" t="s">
        <v>4</v>
      </c>
      <c r="E1093">
        <v>1</v>
      </c>
      <c r="F1093" t="s">
        <v>600</v>
      </c>
      <c r="G1093">
        <v>22</v>
      </c>
    </row>
    <row r="1094" spans="1:7" x14ac:dyDescent="0.2">
      <c r="A1094" s="2">
        <v>45728</v>
      </c>
      <c r="B1094" t="s">
        <v>1050</v>
      </c>
      <c r="C1094" t="s">
        <v>2</v>
      </c>
      <c r="D1094" t="s">
        <v>4</v>
      </c>
      <c r="E1094">
        <v>1</v>
      </c>
      <c r="F1094" t="s">
        <v>600</v>
      </c>
      <c r="G1094">
        <v>22</v>
      </c>
    </row>
    <row r="1095" spans="1:7" x14ac:dyDescent="0.2">
      <c r="A1095" s="2">
        <v>45729</v>
      </c>
      <c r="B1095" t="s">
        <v>1774</v>
      </c>
      <c r="C1095" t="s">
        <v>1</v>
      </c>
      <c r="D1095" t="s">
        <v>3</v>
      </c>
      <c r="E1095">
        <v>1</v>
      </c>
      <c r="F1095" t="s">
        <v>4027</v>
      </c>
      <c r="G1095">
        <v>70</v>
      </c>
    </row>
    <row r="1096" spans="1:7" x14ac:dyDescent="0.2">
      <c r="A1096" s="2">
        <v>45729</v>
      </c>
      <c r="B1096" t="s">
        <v>1773</v>
      </c>
      <c r="C1096" t="s">
        <v>1</v>
      </c>
      <c r="D1096" t="s">
        <v>3</v>
      </c>
      <c r="E1096">
        <v>1</v>
      </c>
      <c r="F1096" t="s">
        <v>4027</v>
      </c>
      <c r="G1096">
        <v>64</v>
      </c>
    </row>
    <row r="1097" spans="1:7" x14ac:dyDescent="0.2">
      <c r="A1097" s="2">
        <v>45729</v>
      </c>
      <c r="B1097" t="s">
        <v>1769</v>
      </c>
      <c r="C1097" t="s">
        <v>1</v>
      </c>
      <c r="D1097" t="s">
        <v>3</v>
      </c>
      <c r="E1097">
        <v>1</v>
      </c>
      <c r="F1097" t="s">
        <v>4027</v>
      </c>
      <c r="G1097">
        <v>85</v>
      </c>
    </row>
    <row r="1098" spans="1:7" x14ac:dyDescent="0.2">
      <c r="A1098" s="2">
        <v>45729</v>
      </c>
      <c r="B1098" t="s">
        <v>1771</v>
      </c>
      <c r="C1098" t="s">
        <v>1</v>
      </c>
      <c r="D1098" t="s">
        <v>3</v>
      </c>
      <c r="E1098">
        <v>1</v>
      </c>
      <c r="F1098" t="s">
        <v>4027</v>
      </c>
      <c r="G1098">
        <v>80</v>
      </c>
    </row>
    <row r="1099" spans="1:7" x14ac:dyDescent="0.2">
      <c r="A1099" s="2">
        <v>45729</v>
      </c>
      <c r="B1099" t="s">
        <v>1770</v>
      </c>
      <c r="C1099" t="s">
        <v>1</v>
      </c>
      <c r="D1099" t="s">
        <v>3</v>
      </c>
      <c r="E1099">
        <v>1</v>
      </c>
      <c r="F1099" t="s">
        <v>4027</v>
      </c>
      <c r="G1099">
        <v>68</v>
      </c>
    </row>
    <row r="1100" spans="1:7" x14ac:dyDescent="0.2">
      <c r="A1100" s="2">
        <v>45729</v>
      </c>
      <c r="B1100" t="s">
        <v>1768</v>
      </c>
      <c r="C1100" t="s">
        <v>1</v>
      </c>
      <c r="D1100" t="s">
        <v>3</v>
      </c>
      <c r="E1100">
        <v>1</v>
      </c>
      <c r="F1100" t="s">
        <v>4027</v>
      </c>
      <c r="G1100">
        <v>62</v>
      </c>
    </row>
    <row r="1101" spans="1:7" x14ac:dyDescent="0.2">
      <c r="A1101" s="2">
        <v>45729</v>
      </c>
      <c r="B1101" t="s">
        <v>1772</v>
      </c>
      <c r="C1101" t="s">
        <v>1</v>
      </c>
      <c r="D1101" t="s">
        <v>3</v>
      </c>
      <c r="E1101">
        <v>1</v>
      </c>
      <c r="F1101" t="s">
        <v>4027</v>
      </c>
      <c r="G1101">
        <v>88</v>
      </c>
    </row>
    <row r="1102" spans="1:7" x14ac:dyDescent="0.2">
      <c r="A1102" s="2">
        <v>45730</v>
      </c>
      <c r="B1102" t="s">
        <v>1775</v>
      </c>
      <c r="C1102" t="s">
        <v>1</v>
      </c>
      <c r="D1102" t="s">
        <v>3</v>
      </c>
      <c r="E1102">
        <v>1</v>
      </c>
      <c r="F1102" t="s">
        <v>4027</v>
      </c>
      <c r="G1102">
        <v>60</v>
      </c>
    </row>
    <row r="1103" spans="1:7" x14ac:dyDescent="0.2">
      <c r="A1103" s="2">
        <v>45730</v>
      </c>
      <c r="B1103" t="s">
        <v>1776</v>
      </c>
      <c r="C1103" t="s">
        <v>1</v>
      </c>
      <c r="D1103" t="s">
        <v>3</v>
      </c>
      <c r="E1103">
        <v>1</v>
      </c>
      <c r="F1103" t="s">
        <v>4027</v>
      </c>
      <c r="G1103">
        <v>77</v>
      </c>
    </row>
    <row r="1104" spans="1:7" x14ac:dyDescent="0.2">
      <c r="A1104" s="2">
        <v>45730</v>
      </c>
      <c r="B1104" t="s">
        <v>1777</v>
      </c>
      <c r="C1104" t="s">
        <v>1</v>
      </c>
      <c r="D1104" t="s">
        <v>3</v>
      </c>
      <c r="E1104">
        <v>1</v>
      </c>
      <c r="F1104" t="s">
        <v>4027</v>
      </c>
      <c r="G1104">
        <v>82</v>
      </c>
    </row>
    <row r="1105" spans="1:7" x14ac:dyDescent="0.2">
      <c r="A1105" s="2">
        <v>45730</v>
      </c>
      <c r="B1105" t="s">
        <v>1778</v>
      </c>
      <c r="C1105" t="s">
        <v>1</v>
      </c>
      <c r="D1105" t="s">
        <v>3</v>
      </c>
      <c r="E1105">
        <v>1</v>
      </c>
      <c r="F1105" t="s">
        <v>4027</v>
      </c>
      <c r="G1105">
        <v>61</v>
      </c>
    </row>
    <row r="1106" spans="1:7" x14ac:dyDescent="0.2">
      <c r="A1106" s="2">
        <v>45730</v>
      </c>
      <c r="B1106" t="s">
        <v>1780</v>
      </c>
      <c r="C1106" t="s">
        <v>1</v>
      </c>
      <c r="D1106" t="s">
        <v>3</v>
      </c>
      <c r="E1106">
        <v>1</v>
      </c>
      <c r="F1106" t="s">
        <v>4027</v>
      </c>
      <c r="G1106">
        <v>69</v>
      </c>
    </row>
    <row r="1107" spans="1:7" x14ac:dyDescent="0.2">
      <c r="A1107" s="2">
        <v>45730</v>
      </c>
      <c r="B1107" t="s">
        <v>1779</v>
      </c>
      <c r="C1107" t="s">
        <v>1</v>
      </c>
      <c r="D1107" t="s">
        <v>3</v>
      </c>
      <c r="E1107">
        <v>1</v>
      </c>
      <c r="F1107" t="s">
        <v>4027</v>
      </c>
      <c r="G1107">
        <v>63</v>
      </c>
    </row>
    <row r="1108" spans="1:7" x14ac:dyDescent="0.2">
      <c r="A1108" s="2">
        <v>45733</v>
      </c>
      <c r="B1108" t="s">
        <v>1782</v>
      </c>
      <c r="C1108" t="s">
        <v>1</v>
      </c>
      <c r="D1108" t="s">
        <v>3</v>
      </c>
      <c r="E1108">
        <v>1</v>
      </c>
      <c r="F1108" t="s">
        <v>4027</v>
      </c>
      <c r="G1108">
        <v>63</v>
      </c>
    </row>
    <row r="1109" spans="1:7" x14ac:dyDescent="0.2">
      <c r="A1109" s="2">
        <v>45733</v>
      </c>
      <c r="B1109" t="s">
        <v>1068</v>
      </c>
      <c r="C1109" t="s">
        <v>2</v>
      </c>
      <c r="D1109" t="s">
        <v>4</v>
      </c>
      <c r="E1109">
        <v>1</v>
      </c>
      <c r="F1109" t="s">
        <v>600</v>
      </c>
      <c r="G1109">
        <v>22</v>
      </c>
    </row>
    <row r="1110" spans="1:7" x14ac:dyDescent="0.2">
      <c r="A1110" s="2">
        <v>45733</v>
      </c>
      <c r="B1110" t="s">
        <v>1781</v>
      </c>
      <c r="C1110" t="s">
        <v>1</v>
      </c>
      <c r="D1110" t="s">
        <v>3</v>
      </c>
      <c r="E1110">
        <v>1</v>
      </c>
      <c r="F1110" t="s">
        <v>4027</v>
      </c>
      <c r="G1110">
        <v>67</v>
      </c>
    </row>
    <row r="1111" spans="1:7" x14ac:dyDescent="0.2">
      <c r="A1111" s="2">
        <v>45733</v>
      </c>
      <c r="B1111" t="s">
        <v>1790</v>
      </c>
      <c r="C1111" t="s">
        <v>1</v>
      </c>
      <c r="D1111" t="s">
        <v>3</v>
      </c>
      <c r="E1111">
        <v>1</v>
      </c>
      <c r="F1111" t="s">
        <v>4027</v>
      </c>
      <c r="G1111">
        <v>80</v>
      </c>
    </row>
    <row r="1112" spans="1:7" x14ac:dyDescent="0.2">
      <c r="A1112" s="2">
        <v>45733</v>
      </c>
      <c r="B1112" t="s">
        <v>1789</v>
      </c>
      <c r="C1112" t="s">
        <v>1</v>
      </c>
      <c r="D1112" t="s">
        <v>3</v>
      </c>
      <c r="E1112">
        <v>1</v>
      </c>
      <c r="F1112" t="s">
        <v>4027</v>
      </c>
      <c r="G1112">
        <v>70</v>
      </c>
    </row>
    <row r="1113" spans="1:7" x14ac:dyDescent="0.2">
      <c r="A1113" s="2">
        <v>45733</v>
      </c>
      <c r="B1113" t="s">
        <v>1785</v>
      </c>
      <c r="C1113" t="s">
        <v>1</v>
      </c>
      <c r="D1113" t="s">
        <v>3</v>
      </c>
      <c r="E1113">
        <v>1</v>
      </c>
      <c r="F1113" t="s">
        <v>4027</v>
      </c>
      <c r="G1113">
        <v>82</v>
      </c>
    </row>
    <row r="1114" spans="1:7" x14ac:dyDescent="0.2">
      <c r="A1114" s="2">
        <v>45733</v>
      </c>
      <c r="B1114" t="s">
        <v>1787</v>
      </c>
      <c r="C1114" t="s">
        <v>1</v>
      </c>
      <c r="D1114" t="s">
        <v>3</v>
      </c>
      <c r="E1114">
        <v>1</v>
      </c>
      <c r="F1114" t="s">
        <v>4027</v>
      </c>
      <c r="G1114">
        <v>64</v>
      </c>
    </row>
    <row r="1115" spans="1:7" x14ac:dyDescent="0.2">
      <c r="A1115" s="2">
        <v>45733</v>
      </c>
      <c r="B1115" t="s">
        <v>1786</v>
      </c>
      <c r="C1115" t="s">
        <v>1</v>
      </c>
      <c r="D1115" t="s">
        <v>3</v>
      </c>
      <c r="E1115">
        <v>1</v>
      </c>
      <c r="F1115" t="s">
        <v>4027</v>
      </c>
      <c r="G1115">
        <v>88</v>
      </c>
    </row>
    <row r="1116" spans="1:7" x14ac:dyDescent="0.2">
      <c r="A1116" s="2">
        <v>45733</v>
      </c>
      <c r="B1116" t="s">
        <v>1783</v>
      </c>
      <c r="C1116" t="s">
        <v>1</v>
      </c>
      <c r="D1116" t="s">
        <v>3</v>
      </c>
      <c r="E1116">
        <v>1</v>
      </c>
      <c r="F1116" t="s">
        <v>4027</v>
      </c>
      <c r="G1116">
        <v>73</v>
      </c>
    </row>
    <row r="1117" spans="1:7" x14ac:dyDescent="0.2">
      <c r="A1117" s="2">
        <v>45733</v>
      </c>
      <c r="B1117" t="s">
        <v>1788</v>
      </c>
      <c r="C1117" t="s">
        <v>1</v>
      </c>
      <c r="D1117" t="s">
        <v>3</v>
      </c>
      <c r="E1117">
        <v>1</v>
      </c>
      <c r="F1117" t="s">
        <v>4027</v>
      </c>
      <c r="G1117">
        <v>65</v>
      </c>
    </row>
    <row r="1118" spans="1:7" x14ac:dyDescent="0.2">
      <c r="A1118" s="2">
        <v>45733</v>
      </c>
      <c r="B1118" t="s">
        <v>1784</v>
      </c>
      <c r="C1118" t="s">
        <v>1</v>
      </c>
      <c r="D1118" t="s">
        <v>3</v>
      </c>
      <c r="E1118">
        <v>1</v>
      </c>
      <c r="F1118" t="s">
        <v>4027</v>
      </c>
      <c r="G1118">
        <v>80</v>
      </c>
    </row>
    <row r="1119" spans="1:7" x14ac:dyDescent="0.2">
      <c r="A1119" s="2">
        <v>45734</v>
      </c>
      <c r="B1119" t="s">
        <v>1798</v>
      </c>
      <c r="C1119" t="s">
        <v>1</v>
      </c>
      <c r="D1119" t="s">
        <v>3</v>
      </c>
      <c r="E1119">
        <v>1</v>
      </c>
      <c r="F1119" t="s">
        <v>4027</v>
      </c>
      <c r="G1119">
        <v>64</v>
      </c>
    </row>
    <row r="1120" spans="1:7" x14ac:dyDescent="0.2">
      <c r="A1120" s="2">
        <v>45734</v>
      </c>
      <c r="B1120" t="s">
        <v>1797</v>
      </c>
      <c r="C1120" t="s">
        <v>1</v>
      </c>
      <c r="D1120" t="s">
        <v>3</v>
      </c>
      <c r="E1120">
        <v>1</v>
      </c>
      <c r="F1120" t="s">
        <v>4027</v>
      </c>
      <c r="G1120">
        <v>67</v>
      </c>
    </row>
    <row r="1121" spans="1:7" x14ac:dyDescent="0.2">
      <c r="A1121" s="2">
        <v>45734</v>
      </c>
      <c r="B1121" t="s">
        <v>1796</v>
      </c>
      <c r="C1121" t="s">
        <v>1</v>
      </c>
      <c r="D1121" t="s">
        <v>3</v>
      </c>
      <c r="E1121">
        <v>1</v>
      </c>
      <c r="F1121" t="s">
        <v>4027</v>
      </c>
      <c r="G1121">
        <v>82</v>
      </c>
    </row>
    <row r="1122" spans="1:7" x14ac:dyDescent="0.2">
      <c r="A1122" s="2">
        <v>45734</v>
      </c>
      <c r="B1122" t="s">
        <v>1794</v>
      </c>
      <c r="C1122" t="s">
        <v>1</v>
      </c>
      <c r="D1122" t="s">
        <v>3</v>
      </c>
      <c r="E1122">
        <v>1</v>
      </c>
      <c r="F1122" t="s">
        <v>4027</v>
      </c>
      <c r="G1122">
        <v>76</v>
      </c>
    </row>
    <row r="1123" spans="1:7" x14ac:dyDescent="0.2">
      <c r="A1123" s="2">
        <v>45734</v>
      </c>
      <c r="B1123" t="s">
        <v>1793</v>
      </c>
      <c r="C1123" t="s">
        <v>1</v>
      </c>
      <c r="D1123" t="s">
        <v>3</v>
      </c>
      <c r="E1123">
        <v>1</v>
      </c>
      <c r="F1123" t="s">
        <v>4027</v>
      </c>
      <c r="G1123">
        <v>67</v>
      </c>
    </row>
    <row r="1124" spans="1:7" x14ac:dyDescent="0.2">
      <c r="A1124" s="2">
        <v>45734</v>
      </c>
      <c r="B1124" t="s">
        <v>1792</v>
      </c>
      <c r="C1124" t="s">
        <v>1</v>
      </c>
      <c r="D1124" t="s">
        <v>3</v>
      </c>
      <c r="E1124">
        <v>1</v>
      </c>
      <c r="F1124" t="s">
        <v>4027</v>
      </c>
      <c r="G1124">
        <v>89</v>
      </c>
    </row>
    <row r="1125" spans="1:7" x14ac:dyDescent="0.2">
      <c r="A1125" s="2">
        <v>45734</v>
      </c>
      <c r="B1125" t="s">
        <v>1791</v>
      </c>
      <c r="C1125" t="s">
        <v>1</v>
      </c>
      <c r="D1125" t="s">
        <v>3</v>
      </c>
      <c r="E1125">
        <v>1</v>
      </c>
      <c r="F1125" t="s">
        <v>4027</v>
      </c>
      <c r="G1125">
        <v>74</v>
      </c>
    </row>
    <row r="1126" spans="1:7" x14ac:dyDescent="0.2">
      <c r="A1126" s="2">
        <v>45734</v>
      </c>
      <c r="B1126" t="s">
        <v>1795</v>
      </c>
      <c r="C1126" t="s">
        <v>1</v>
      </c>
      <c r="D1126" t="s">
        <v>3</v>
      </c>
      <c r="E1126">
        <v>1</v>
      </c>
      <c r="F1126" t="s">
        <v>4027</v>
      </c>
      <c r="G1126">
        <v>68</v>
      </c>
    </row>
    <row r="1127" spans="1:7" x14ac:dyDescent="0.2">
      <c r="A1127" s="2">
        <v>45735</v>
      </c>
      <c r="B1127" t="s">
        <v>1800</v>
      </c>
      <c r="C1127" t="s">
        <v>1</v>
      </c>
      <c r="D1127" t="s">
        <v>3</v>
      </c>
      <c r="E1127">
        <v>1</v>
      </c>
      <c r="F1127" t="s">
        <v>4027</v>
      </c>
      <c r="G1127">
        <v>75</v>
      </c>
    </row>
    <row r="1128" spans="1:7" x14ac:dyDescent="0.2">
      <c r="A1128" s="2">
        <v>45735</v>
      </c>
      <c r="B1128" t="s">
        <v>1801</v>
      </c>
      <c r="C1128" t="s">
        <v>1</v>
      </c>
      <c r="D1128" t="s">
        <v>3</v>
      </c>
      <c r="E1128">
        <v>1</v>
      </c>
      <c r="F1128" t="s">
        <v>4027</v>
      </c>
      <c r="G1128">
        <v>82</v>
      </c>
    </row>
    <row r="1129" spans="1:7" x14ac:dyDescent="0.2">
      <c r="A1129" s="2">
        <v>45735</v>
      </c>
      <c r="B1129" t="s">
        <v>1802</v>
      </c>
      <c r="C1129" t="s">
        <v>1</v>
      </c>
      <c r="D1129" t="s">
        <v>3</v>
      </c>
      <c r="E1129">
        <v>1</v>
      </c>
      <c r="F1129" t="s">
        <v>4027</v>
      </c>
      <c r="G1129">
        <v>71</v>
      </c>
    </row>
    <row r="1130" spans="1:7" x14ac:dyDescent="0.2">
      <c r="A1130" s="2">
        <v>45735</v>
      </c>
      <c r="B1130" t="s">
        <v>1803</v>
      </c>
      <c r="C1130" t="s">
        <v>1</v>
      </c>
      <c r="D1130" t="s">
        <v>3</v>
      </c>
      <c r="E1130">
        <v>1</v>
      </c>
      <c r="F1130" t="s">
        <v>4027</v>
      </c>
      <c r="G1130">
        <v>87</v>
      </c>
    </row>
    <row r="1131" spans="1:7" x14ac:dyDescent="0.2">
      <c r="A1131" s="2">
        <v>45735</v>
      </c>
      <c r="B1131" t="s">
        <v>1804</v>
      </c>
      <c r="C1131" t="s">
        <v>1</v>
      </c>
      <c r="D1131" t="s">
        <v>3</v>
      </c>
      <c r="E1131">
        <v>1</v>
      </c>
      <c r="F1131" t="s">
        <v>4027</v>
      </c>
      <c r="G1131">
        <v>87</v>
      </c>
    </row>
    <row r="1132" spans="1:7" x14ac:dyDescent="0.2">
      <c r="A1132" s="2">
        <v>45735</v>
      </c>
      <c r="B1132" t="s">
        <v>1799</v>
      </c>
      <c r="C1132" t="s">
        <v>1</v>
      </c>
      <c r="D1132" t="s">
        <v>3</v>
      </c>
      <c r="E1132">
        <v>1</v>
      </c>
      <c r="F1132" t="s">
        <v>4027</v>
      </c>
      <c r="G1132">
        <v>68</v>
      </c>
    </row>
    <row r="1133" spans="1:7" x14ac:dyDescent="0.2">
      <c r="A1133" s="2">
        <v>45736</v>
      </c>
      <c r="B1133" t="s">
        <v>1070</v>
      </c>
      <c r="C1133" t="s">
        <v>2</v>
      </c>
      <c r="D1133" t="s">
        <v>4</v>
      </c>
      <c r="E1133">
        <v>1</v>
      </c>
      <c r="F1133" t="s">
        <v>600</v>
      </c>
      <c r="G1133">
        <v>22</v>
      </c>
    </row>
    <row r="1134" spans="1:7" x14ac:dyDescent="0.2">
      <c r="A1134" s="2">
        <v>45736</v>
      </c>
      <c r="B1134" t="s">
        <v>1076</v>
      </c>
      <c r="C1134" t="s">
        <v>2</v>
      </c>
      <c r="D1134" t="s">
        <v>4</v>
      </c>
      <c r="E1134">
        <v>1</v>
      </c>
      <c r="F1134" t="s">
        <v>600</v>
      </c>
      <c r="G1134">
        <v>22</v>
      </c>
    </row>
    <row r="1135" spans="1:7" x14ac:dyDescent="0.2">
      <c r="A1135" s="2">
        <v>45736</v>
      </c>
      <c r="B1135" t="s">
        <v>1815</v>
      </c>
      <c r="C1135" t="s">
        <v>1</v>
      </c>
      <c r="D1135" t="s">
        <v>3</v>
      </c>
      <c r="E1135">
        <v>1</v>
      </c>
      <c r="F1135" t="s">
        <v>4027</v>
      </c>
      <c r="G1135">
        <v>67</v>
      </c>
    </row>
    <row r="1136" spans="1:7" x14ac:dyDescent="0.2">
      <c r="A1136" s="2">
        <v>45736</v>
      </c>
      <c r="B1136" t="s">
        <v>1807</v>
      </c>
      <c r="C1136" t="s">
        <v>1</v>
      </c>
      <c r="D1136" t="s">
        <v>3</v>
      </c>
      <c r="E1136">
        <v>1</v>
      </c>
      <c r="F1136" t="s">
        <v>4027</v>
      </c>
      <c r="G1136">
        <v>73</v>
      </c>
    </row>
    <row r="1137" spans="1:7" x14ac:dyDescent="0.2">
      <c r="A1137" s="2">
        <v>45736</v>
      </c>
      <c r="B1137" t="s">
        <v>1805</v>
      </c>
      <c r="C1137" t="s">
        <v>1</v>
      </c>
      <c r="D1137" t="s">
        <v>3</v>
      </c>
      <c r="E1137">
        <v>1</v>
      </c>
      <c r="F1137" t="s">
        <v>4027</v>
      </c>
      <c r="G1137">
        <v>63</v>
      </c>
    </row>
    <row r="1138" spans="1:7" x14ac:dyDescent="0.2">
      <c r="A1138" s="2">
        <v>45736</v>
      </c>
      <c r="B1138" t="s">
        <v>1806</v>
      </c>
      <c r="C1138" t="s">
        <v>1</v>
      </c>
      <c r="D1138" t="s">
        <v>3</v>
      </c>
      <c r="E1138">
        <v>1</v>
      </c>
      <c r="F1138" t="s">
        <v>4027</v>
      </c>
      <c r="G1138">
        <v>64</v>
      </c>
    </row>
    <row r="1139" spans="1:7" x14ac:dyDescent="0.2">
      <c r="A1139" s="2">
        <v>45736</v>
      </c>
      <c r="B1139" t="s">
        <v>1809</v>
      </c>
      <c r="C1139" t="s">
        <v>1</v>
      </c>
      <c r="D1139" t="s">
        <v>3</v>
      </c>
      <c r="E1139">
        <v>1</v>
      </c>
      <c r="F1139" t="s">
        <v>4027</v>
      </c>
      <c r="G1139">
        <v>65</v>
      </c>
    </row>
    <row r="1140" spans="1:7" x14ac:dyDescent="0.2">
      <c r="A1140" s="2">
        <v>45736</v>
      </c>
      <c r="B1140" t="s">
        <v>1810</v>
      </c>
      <c r="C1140" t="s">
        <v>1</v>
      </c>
      <c r="D1140" t="s">
        <v>3</v>
      </c>
      <c r="E1140">
        <v>1</v>
      </c>
      <c r="F1140" t="s">
        <v>4027</v>
      </c>
      <c r="G1140">
        <v>61</v>
      </c>
    </row>
    <row r="1141" spans="1:7" x14ac:dyDescent="0.2">
      <c r="A1141" s="2">
        <v>45736</v>
      </c>
      <c r="B1141" t="s">
        <v>1811</v>
      </c>
      <c r="C1141" t="s">
        <v>1</v>
      </c>
      <c r="D1141" t="s">
        <v>3</v>
      </c>
      <c r="E1141">
        <v>1</v>
      </c>
      <c r="F1141" t="s">
        <v>4027</v>
      </c>
      <c r="G1141">
        <v>84</v>
      </c>
    </row>
    <row r="1142" spans="1:7" x14ac:dyDescent="0.2">
      <c r="A1142" s="2">
        <v>45736</v>
      </c>
      <c r="B1142" t="s">
        <v>1812</v>
      </c>
      <c r="C1142" t="s">
        <v>1</v>
      </c>
      <c r="D1142" t="s">
        <v>3</v>
      </c>
      <c r="E1142">
        <v>1</v>
      </c>
      <c r="F1142" t="s">
        <v>4027</v>
      </c>
      <c r="G1142">
        <v>71</v>
      </c>
    </row>
    <row r="1143" spans="1:7" x14ac:dyDescent="0.2">
      <c r="A1143" s="2">
        <v>45736</v>
      </c>
      <c r="B1143" t="s">
        <v>1813</v>
      </c>
      <c r="C1143" t="s">
        <v>1</v>
      </c>
      <c r="D1143" t="s">
        <v>3</v>
      </c>
      <c r="E1143">
        <v>1</v>
      </c>
      <c r="F1143" t="s">
        <v>4027</v>
      </c>
      <c r="G1143">
        <v>70</v>
      </c>
    </row>
    <row r="1144" spans="1:7" x14ac:dyDescent="0.2">
      <c r="A1144" s="2">
        <v>45736</v>
      </c>
      <c r="B1144" t="s">
        <v>1814</v>
      </c>
      <c r="C1144" t="s">
        <v>1</v>
      </c>
      <c r="D1144" t="s">
        <v>3</v>
      </c>
      <c r="E1144">
        <v>1</v>
      </c>
      <c r="F1144" t="s">
        <v>4027</v>
      </c>
      <c r="G1144">
        <v>66</v>
      </c>
    </row>
    <row r="1145" spans="1:7" x14ac:dyDescent="0.2">
      <c r="A1145" s="2">
        <v>45736</v>
      </c>
      <c r="B1145" t="s">
        <v>1808</v>
      </c>
      <c r="C1145" t="s">
        <v>1</v>
      </c>
      <c r="D1145" t="s">
        <v>3</v>
      </c>
      <c r="E1145">
        <v>1</v>
      </c>
      <c r="F1145" t="s">
        <v>4027</v>
      </c>
      <c r="G1145">
        <v>63</v>
      </c>
    </row>
    <row r="1146" spans="1:7" x14ac:dyDescent="0.2">
      <c r="A1146" s="2">
        <v>45737</v>
      </c>
      <c r="B1146" t="s">
        <v>1078</v>
      </c>
      <c r="C1146" t="s">
        <v>2</v>
      </c>
      <c r="D1146" t="s">
        <v>4</v>
      </c>
      <c r="E1146">
        <v>1</v>
      </c>
      <c r="F1146" t="s">
        <v>600</v>
      </c>
      <c r="G1146">
        <v>22</v>
      </c>
    </row>
    <row r="1147" spans="1:7" x14ac:dyDescent="0.2">
      <c r="A1147" s="2">
        <v>45737</v>
      </c>
      <c r="B1147" t="s">
        <v>1816</v>
      </c>
      <c r="C1147" t="s">
        <v>1</v>
      </c>
      <c r="D1147" t="s">
        <v>3</v>
      </c>
      <c r="E1147">
        <v>1</v>
      </c>
      <c r="F1147" t="s">
        <v>4027</v>
      </c>
      <c r="G1147">
        <v>88</v>
      </c>
    </row>
    <row r="1148" spans="1:7" x14ac:dyDescent="0.2">
      <c r="A1148" s="2">
        <v>45737</v>
      </c>
      <c r="B1148" t="s">
        <v>1817</v>
      </c>
      <c r="C1148" t="s">
        <v>1</v>
      </c>
      <c r="D1148" t="s">
        <v>3</v>
      </c>
      <c r="E1148">
        <v>1</v>
      </c>
      <c r="F1148" t="s">
        <v>4027</v>
      </c>
      <c r="G1148">
        <v>82</v>
      </c>
    </row>
    <row r="1149" spans="1:7" x14ac:dyDescent="0.2">
      <c r="A1149" s="2">
        <v>45737</v>
      </c>
      <c r="B1149" t="s">
        <v>1823</v>
      </c>
      <c r="C1149" t="s">
        <v>1</v>
      </c>
      <c r="D1149" t="s">
        <v>3</v>
      </c>
      <c r="E1149">
        <v>1</v>
      </c>
      <c r="F1149" t="s">
        <v>4027</v>
      </c>
      <c r="G1149">
        <v>84</v>
      </c>
    </row>
    <row r="1150" spans="1:7" x14ac:dyDescent="0.2">
      <c r="A1150" s="2">
        <v>45737</v>
      </c>
      <c r="B1150" t="s">
        <v>1822</v>
      </c>
      <c r="C1150" t="s">
        <v>1</v>
      </c>
      <c r="D1150" t="s">
        <v>3</v>
      </c>
      <c r="E1150">
        <v>1</v>
      </c>
      <c r="F1150" t="s">
        <v>4027</v>
      </c>
      <c r="G1150">
        <v>72</v>
      </c>
    </row>
    <row r="1151" spans="1:7" x14ac:dyDescent="0.2">
      <c r="A1151" s="2">
        <v>45737</v>
      </c>
      <c r="B1151" t="s">
        <v>1821</v>
      </c>
      <c r="C1151" t="s">
        <v>1</v>
      </c>
      <c r="D1151" t="s">
        <v>3</v>
      </c>
      <c r="E1151">
        <v>1</v>
      </c>
      <c r="F1151" t="s">
        <v>4027</v>
      </c>
      <c r="G1151">
        <v>71</v>
      </c>
    </row>
    <row r="1152" spans="1:7" x14ac:dyDescent="0.2">
      <c r="A1152" s="2">
        <v>45737</v>
      </c>
      <c r="B1152" t="s">
        <v>1820</v>
      </c>
      <c r="C1152" t="s">
        <v>1</v>
      </c>
      <c r="D1152" t="s">
        <v>3</v>
      </c>
      <c r="E1152">
        <v>1</v>
      </c>
      <c r="F1152" t="s">
        <v>4027</v>
      </c>
      <c r="G1152">
        <v>71</v>
      </c>
    </row>
    <row r="1153" spans="1:7" x14ac:dyDescent="0.2">
      <c r="A1153" s="2">
        <v>45737</v>
      </c>
      <c r="B1153" t="s">
        <v>1819</v>
      </c>
      <c r="C1153" t="s">
        <v>1</v>
      </c>
      <c r="D1153" t="s">
        <v>3</v>
      </c>
      <c r="E1153">
        <v>1</v>
      </c>
      <c r="F1153" t="s">
        <v>4027</v>
      </c>
      <c r="G1153">
        <v>86</v>
      </c>
    </row>
    <row r="1154" spans="1:7" x14ac:dyDescent="0.2">
      <c r="A1154" s="2">
        <v>45737</v>
      </c>
      <c r="B1154" t="s">
        <v>1824</v>
      </c>
      <c r="C1154" t="s">
        <v>1</v>
      </c>
      <c r="D1154" t="s">
        <v>3</v>
      </c>
      <c r="E1154">
        <v>1</v>
      </c>
      <c r="F1154" t="s">
        <v>4027</v>
      </c>
      <c r="G1154">
        <v>73</v>
      </c>
    </row>
    <row r="1155" spans="1:7" x14ac:dyDescent="0.2">
      <c r="A1155" s="2">
        <v>45737</v>
      </c>
      <c r="B1155" t="s">
        <v>1818</v>
      </c>
      <c r="C1155" t="s">
        <v>1</v>
      </c>
      <c r="D1155" t="s">
        <v>3</v>
      </c>
      <c r="E1155">
        <v>1</v>
      </c>
      <c r="F1155" t="s">
        <v>4027</v>
      </c>
      <c r="G1155">
        <v>73</v>
      </c>
    </row>
    <row r="1156" spans="1:7" x14ac:dyDescent="0.2">
      <c r="A1156" s="2">
        <v>45740</v>
      </c>
      <c r="B1156" t="s">
        <v>1825</v>
      </c>
      <c r="C1156" t="s">
        <v>1</v>
      </c>
      <c r="D1156" t="s">
        <v>3</v>
      </c>
      <c r="E1156">
        <v>1</v>
      </c>
      <c r="F1156" t="s">
        <v>4027</v>
      </c>
      <c r="G1156">
        <v>89</v>
      </c>
    </row>
    <row r="1157" spans="1:7" x14ac:dyDescent="0.2">
      <c r="A1157" s="2">
        <v>45740</v>
      </c>
      <c r="B1157" t="s">
        <v>1826</v>
      </c>
      <c r="C1157" t="s">
        <v>1</v>
      </c>
      <c r="D1157" t="s">
        <v>3</v>
      </c>
      <c r="E1157">
        <v>1</v>
      </c>
      <c r="F1157" t="s">
        <v>4027</v>
      </c>
      <c r="G1157">
        <v>77</v>
      </c>
    </row>
    <row r="1158" spans="1:7" x14ac:dyDescent="0.2">
      <c r="A1158" s="2">
        <v>45740</v>
      </c>
      <c r="B1158" t="s">
        <v>1828</v>
      </c>
      <c r="C1158" t="s">
        <v>1</v>
      </c>
      <c r="D1158" t="s">
        <v>3</v>
      </c>
      <c r="E1158">
        <v>1</v>
      </c>
      <c r="F1158" t="s">
        <v>4027</v>
      </c>
      <c r="G1158">
        <v>63</v>
      </c>
    </row>
    <row r="1159" spans="1:7" x14ac:dyDescent="0.2">
      <c r="A1159" s="2">
        <v>45740</v>
      </c>
      <c r="B1159" t="s">
        <v>1827</v>
      </c>
      <c r="C1159" t="s">
        <v>1</v>
      </c>
      <c r="D1159" t="s">
        <v>3</v>
      </c>
      <c r="E1159">
        <v>1</v>
      </c>
      <c r="F1159" t="s">
        <v>4027</v>
      </c>
      <c r="G1159">
        <v>85</v>
      </c>
    </row>
    <row r="1160" spans="1:7" x14ac:dyDescent="0.2">
      <c r="A1160" s="2">
        <v>45741</v>
      </c>
      <c r="B1160" t="s">
        <v>1832</v>
      </c>
      <c r="C1160" t="s">
        <v>1</v>
      </c>
      <c r="D1160" t="s">
        <v>3</v>
      </c>
      <c r="E1160">
        <v>1</v>
      </c>
      <c r="F1160" t="s">
        <v>4027</v>
      </c>
      <c r="G1160">
        <v>79</v>
      </c>
    </row>
    <row r="1161" spans="1:7" x14ac:dyDescent="0.2">
      <c r="A1161" s="2">
        <v>45741</v>
      </c>
      <c r="B1161" t="s">
        <v>1831</v>
      </c>
      <c r="C1161" t="s">
        <v>1</v>
      </c>
      <c r="D1161" t="s">
        <v>3</v>
      </c>
      <c r="E1161">
        <v>1</v>
      </c>
      <c r="F1161" t="s">
        <v>4027</v>
      </c>
      <c r="G1161">
        <v>76</v>
      </c>
    </row>
    <row r="1162" spans="1:7" x14ac:dyDescent="0.2">
      <c r="A1162" s="2">
        <v>45741</v>
      </c>
      <c r="B1162" t="s">
        <v>1830</v>
      </c>
      <c r="C1162" t="s">
        <v>1</v>
      </c>
      <c r="D1162" t="s">
        <v>3</v>
      </c>
      <c r="E1162">
        <v>1</v>
      </c>
      <c r="F1162" t="s">
        <v>4027</v>
      </c>
      <c r="G1162">
        <v>83</v>
      </c>
    </row>
    <row r="1163" spans="1:7" x14ac:dyDescent="0.2">
      <c r="A1163" s="2">
        <v>45741</v>
      </c>
      <c r="B1163" t="s">
        <v>1829</v>
      </c>
      <c r="C1163" t="s">
        <v>1</v>
      </c>
      <c r="D1163" t="s">
        <v>3</v>
      </c>
      <c r="E1163">
        <v>1</v>
      </c>
      <c r="F1163" t="s">
        <v>4027</v>
      </c>
      <c r="G1163">
        <v>77</v>
      </c>
    </row>
    <row r="1164" spans="1:7" x14ac:dyDescent="0.2">
      <c r="A1164" s="2">
        <v>45741</v>
      </c>
      <c r="B1164" t="s">
        <v>1083</v>
      </c>
      <c r="C1164" t="s">
        <v>2</v>
      </c>
      <c r="D1164" t="s">
        <v>4</v>
      </c>
      <c r="E1164">
        <v>1</v>
      </c>
      <c r="F1164" t="s">
        <v>600</v>
      </c>
      <c r="G1164">
        <v>22</v>
      </c>
    </row>
    <row r="1165" spans="1:7" x14ac:dyDescent="0.2">
      <c r="A1165" s="2">
        <v>45741</v>
      </c>
      <c r="B1165" t="s">
        <v>1081</v>
      </c>
      <c r="C1165" t="s">
        <v>2</v>
      </c>
      <c r="D1165" t="s">
        <v>4</v>
      </c>
      <c r="E1165">
        <v>1</v>
      </c>
      <c r="F1165" t="s">
        <v>600</v>
      </c>
      <c r="G1165">
        <v>22</v>
      </c>
    </row>
    <row r="1166" spans="1:7" x14ac:dyDescent="0.2">
      <c r="A1166" s="2">
        <v>45743</v>
      </c>
      <c r="B1166" t="s">
        <v>1839</v>
      </c>
      <c r="C1166" t="s">
        <v>1</v>
      </c>
      <c r="D1166" t="s">
        <v>3</v>
      </c>
      <c r="E1166">
        <v>1</v>
      </c>
      <c r="F1166" t="s">
        <v>4027</v>
      </c>
      <c r="G1166">
        <v>65</v>
      </c>
    </row>
    <row r="1167" spans="1:7" x14ac:dyDescent="0.2">
      <c r="A1167" s="2">
        <v>45743</v>
      </c>
      <c r="B1167" t="s">
        <v>1091</v>
      </c>
      <c r="C1167" t="s">
        <v>2</v>
      </c>
      <c r="D1167" t="s">
        <v>4</v>
      </c>
      <c r="E1167">
        <v>1</v>
      </c>
      <c r="F1167" t="s">
        <v>600</v>
      </c>
      <c r="G1167">
        <v>22</v>
      </c>
    </row>
    <row r="1168" spans="1:7" x14ac:dyDescent="0.2">
      <c r="A1168" s="2">
        <v>45743</v>
      </c>
      <c r="B1168" t="s">
        <v>1838</v>
      </c>
      <c r="C1168" t="s">
        <v>1</v>
      </c>
      <c r="D1168" t="s">
        <v>3</v>
      </c>
      <c r="E1168">
        <v>1</v>
      </c>
      <c r="F1168" t="s">
        <v>4027</v>
      </c>
      <c r="G1168">
        <v>60</v>
      </c>
    </row>
    <row r="1169" spans="1:7" x14ac:dyDescent="0.2">
      <c r="A1169" s="2">
        <v>45743</v>
      </c>
      <c r="B1169" t="s">
        <v>1837</v>
      </c>
      <c r="C1169" t="s">
        <v>1</v>
      </c>
      <c r="D1169" t="s">
        <v>3</v>
      </c>
      <c r="E1169">
        <v>1</v>
      </c>
      <c r="F1169" t="s">
        <v>4027</v>
      </c>
      <c r="G1169">
        <v>63</v>
      </c>
    </row>
    <row r="1170" spans="1:7" x14ac:dyDescent="0.2">
      <c r="A1170" s="2">
        <v>45743</v>
      </c>
      <c r="B1170" t="s">
        <v>1836</v>
      </c>
      <c r="C1170" t="s">
        <v>1</v>
      </c>
      <c r="D1170" t="s">
        <v>3</v>
      </c>
      <c r="E1170">
        <v>1</v>
      </c>
      <c r="F1170" t="s">
        <v>4027</v>
      </c>
      <c r="G1170">
        <v>82</v>
      </c>
    </row>
    <row r="1171" spans="1:7" x14ac:dyDescent="0.2">
      <c r="A1171" s="2">
        <v>45743</v>
      </c>
      <c r="B1171" t="s">
        <v>1835</v>
      </c>
      <c r="C1171" t="s">
        <v>1</v>
      </c>
      <c r="D1171" t="s">
        <v>3</v>
      </c>
      <c r="E1171">
        <v>1</v>
      </c>
      <c r="F1171" t="s">
        <v>4027</v>
      </c>
      <c r="G1171">
        <v>75</v>
      </c>
    </row>
    <row r="1172" spans="1:7" x14ac:dyDescent="0.2">
      <c r="A1172" s="2">
        <v>45743</v>
      </c>
      <c r="B1172" t="s">
        <v>1834</v>
      </c>
      <c r="C1172" t="s">
        <v>1</v>
      </c>
      <c r="D1172" t="s">
        <v>3</v>
      </c>
      <c r="E1172">
        <v>1</v>
      </c>
      <c r="F1172" t="s">
        <v>4027</v>
      </c>
      <c r="G1172">
        <v>77</v>
      </c>
    </row>
    <row r="1173" spans="1:7" x14ac:dyDescent="0.2">
      <c r="A1173" s="2">
        <v>45743</v>
      </c>
      <c r="B1173" t="s">
        <v>1088</v>
      </c>
      <c r="C1173" t="s">
        <v>2</v>
      </c>
      <c r="D1173" t="s">
        <v>4</v>
      </c>
      <c r="E1173">
        <v>1</v>
      </c>
      <c r="F1173" t="s">
        <v>600</v>
      </c>
      <c r="G1173">
        <v>22</v>
      </c>
    </row>
    <row r="1174" spans="1:7" x14ac:dyDescent="0.2">
      <c r="A1174" s="2">
        <v>45743</v>
      </c>
      <c r="B1174" t="s">
        <v>1833</v>
      </c>
      <c r="C1174" t="s">
        <v>1</v>
      </c>
      <c r="D1174" t="s">
        <v>3</v>
      </c>
      <c r="E1174">
        <v>1</v>
      </c>
      <c r="F1174" t="s">
        <v>4027</v>
      </c>
      <c r="G1174">
        <v>82</v>
      </c>
    </row>
    <row r="1175" spans="1:7" x14ac:dyDescent="0.2">
      <c r="A1175" s="2">
        <v>45744</v>
      </c>
      <c r="B1175" t="s">
        <v>1842</v>
      </c>
      <c r="C1175" t="s">
        <v>1</v>
      </c>
      <c r="D1175" t="s">
        <v>3</v>
      </c>
      <c r="E1175">
        <v>1</v>
      </c>
      <c r="F1175" t="s">
        <v>4027</v>
      </c>
      <c r="G1175">
        <v>70</v>
      </c>
    </row>
    <row r="1176" spans="1:7" x14ac:dyDescent="0.2">
      <c r="A1176" s="2">
        <v>45744</v>
      </c>
      <c r="B1176" t="s">
        <v>1846</v>
      </c>
      <c r="C1176" t="s">
        <v>1</v>
      </c>
      <c r="D1176" t="s">
        <v>3</v>
      </c>
      <c r="E1176">
        <v>1</v>
      </c>
      <c r="F1176" t="s">
        <v>4027</v>
      </c>
      <c r="G1176">
        <v>62</v>
      </c>
    </row>
    <row r="1177" spans="1:7" x14ac:dyDescent="0.2">
      <c r="A1177" s="2">
        <v>45744</v>
      </c>
      <c r="B1177" t="s">
        <v>1840</v>
      </c>
      <c r="C1177" t="s">
        <v>1</v>
      </c>
      <c r="D1177" t="s">
        <v>3</v>
      </c>
      <c r="E1177">
        <v>1</v>
      </c>
      <c r="F1177" t="s">
        <v>4027</v>
      </c>
      <c r="G1177">
        <v>81</v>
      </c>
    </row>
    <row r="1178" spans="1:7" x14ac:dyDescent="0.2">
      <c r="A1178" s="2">
        <v>45744</v>
      </c>
      <c r="B1178" t="s">
        <v>1841</v>
      </c>
      <c r="C1178" t="s">
        <v>1</v>
      </c>
      <c r="D1178" t="s">
        <v>3</v>
      </c>
      <c r="E1178">
        <v>1</v>
      </c>
      <c r="F1178" t="s">
        <v>4027</v>
      </c>
      <c r="G1178">
        <v>86</v>
      </c>
    </row>
    <row r="1179" spans="1:7" x14ac:dyDescent="0.2">
      <c r="A1179" s="2">
        <v>45744</v>
      </c>
      <c r="B1179" t="s">
        <v>1850</v>
      </c>
      <c r="C1179" t="s">
        <v>1</v>
      </c>
      <c r="D1179" t="s">
        <v>3</v>
      </c>
      <c r="E1179">
        <v>1</v>
      </c>
      <c r="F1179" t="s">
        <v>4027</v>
      </c>
      <c r="G1179">
        <v>82</v>
      </c>
    </row>
    <row r="1180" spans="1:7" x14ac:dyDescent="0.2">
      <c r="A1180" s="2">
        <v>45744</v>
      </c>
      <c r="B1180" t="s">
        <v>1849</v>
      </c>
      <c r="C1180" t="s">
        <v>1</v>
      </c>
      <c r="D1180" t="s">
        <v>3</v>
      </c>
      <c r="E1180">
        <v>1</v>
      </c>
      <c r="F1180" t="s">
        <v>4027</v>
      </c>
      <c r="G1180">
        <v>69</v>
      </c>
    </row>
    <row r="1181" spans="1:7" x14ac:dyDescent="0.2">
      <c r="A1181" s="2">
        <v>45744</v>
      </c>
      <c r="B1181" t="s">
        <v>1848</v>
      </c>
      <c r="C1181" t="s">
        <v>1</v>
      </c>
      <c r="D1181" t="s">
        <v>3</v>
      </c>
      <c r="E1181">
        <v>1</v>
      </c>
      <c r="F1181" t="s">
        <v>4027</v>
      </c>
      <c r="G1181">
        <v>76</v>
      </c>
    </row>
    <row r="1182" spans="1:7" x14ac:dyDescent="0.2">
      <c r="A1182" s="2">
        <v>45744</v>
      </c>
      <c r="B1182" t="s">
        <v>1847</v>
      </c>
      <c r="C1182" t="s">
        <v>1</v>
      </c>
      <c r="D1182" t="s">
        <v>3</v>
      </c>
      <c r="E1182">
        <v>1</v>
      </c>
      <c r="F1182" t="s">
        <v>4027</v>
      </c>
      <c r="G1182">
        <v>81</v>
      </c>
    </row>
    <row r="1183" spans="1:7" x14ac:dyDescent="0.2">
      <c r="A1183" s="2">
        <v>45744</v>
      </c>
      <c r="B1183" t="s">
        <v>1843</v>
      </c>
      <c r="C1183" t="s">
        <v>1</v>
      </c>
      <c r="D1183" t="s">
        <v>3</v>
      </c>
      <c r="E1183">
        <v>1</v>
      </c>
      <c r="F1183" t="s">
        <v>4027</v>
      </c>
      <c r="G1183">
        <v>64</v>
      </c>
    </row>
    <row r="1184" spans="1:7" x14ac:dyDescent="0.2">
      <c r="A1184" s="2">
        <v>45744</v>
      </c>
      <c r="B1184" t="s">
        <v>1845</v>
      </c>
      <c r="C1184" t="s">
        <v>1</v>
      </c>
      <c r="D1184" t="s">
        <v>3</v>
      </c>
      <c r="E1184">
        <v>1</v>
      </c>
      <c r="F1184" t="s">
        <v>4027</v>
      </c>
      <c r="G1184">
        <v>88</v>
      </c>
    </row>
    <row r="1185" spans="1:7" x14ac:dyDescent="0.2">
      <c r="A1185" s="2">
        <v>45744</v>
      </c>
      <c r="B1185" t="s">
        <v>1844</v>
      </c>
      <c r="C1185" t="s">
        <v>1</v>
      </c>
      <c r="D1185" t="s">
        <v>3</v>
      </c>
      <c r="E1185">
        <v>1</v>
      </c>
      <c r="F1185" t="s">
        <v>4027</v>
      </c>
      <c r="G1185">
        <v>86</v>
      </c>
    </row>
    <row r="1186" spans="1:7" x14ac:dyDescent="0.2">
      <c r="A1186" s="2">
        <v>45749</v>
      </c>
      <c r="B1186" t="s">
        <v>1855</v>
      </c>
      <c r="C1186" t="s">
        <v>1</v>
      </c>
      <c r="D1186" t="s">
        <v>3</v>
      </c>
      <c r="E1186">
        <v>1</v>
      </c>
      <c r="F1186" t="s">
        <v>4027</v>
      </c>
      <c r="G1186">
        <v>88</v>
      </c>
    </row>
    <row r="1187" spans="1:7" x14ac:dyDescent="0.2">
      <c r="A1187" s="2">
        <v>45749</v>
      </c>
      <c r="B1187" t="s">
        <v>1854</v>
      </c>
      <c r="C1187" t="s">
        <v>1</v>
      </c>
      <c r="D1187" t="s">
        <v>3</v>
      </c>
      <c r="E1187">
        <v>1</v>
      </c>
      <c r="F1187" t="s">
        <v>4027</v>
      </c>
      <c r="G1187">
        <v>62</v>
      </c>
    </row>
    <row r="1188" spans="1:7" x14ac:dyDescent="0.2">
      <c r="A1188" s="2">
        <v>45749</v>
      </c>
      <c r="B1188" t="s">
        <v>1851</v>
      </c>
      <c r="C1188" t="s">
        <v>1</v>
      </c>
      <c r="D1188" t="s">
        <v>3</v>
      </c>
      <c r="E1188">
        <v>1</v>
      </c>
      <c r="F1188" t="s">
        <v>4027</v>
      </c>
      <c r="G1188">
        <v>78</v>
      </c>
    </row>
    <row r="1189" spans="1:7" x14ac:dyDescent="0.2">
      <c r="A1189" s="2">
        <v>45749</v>
      </c>
      <c r="B1189" t="s">
        <v>1856</v>
      </c>
      <c r="C1189" t="s">
        <v>1</v>
      </c>
      <c r="D1189" t="s">
        <v>3</v>
      </c>
      <c r="E1189">
        <v>1</v>
      </c>
      <c r="F1189" t="s">
        <v>4027</v>
      </c>
      <c r="G1189">
        <v>71</v>
      </c>
    </row>
    <row r="1190" spans="1:7" x14ac:dyDescent="0.2">
      <c r="A1190" s="2">
        <v>45749</v>
      </c>
      <c r="B1190" t="s">
        <v>1852</v>
      </c>
      <c r="C1190" t="s">
        <v>1</v>
      </c>
      <c r="D1190" t="s">
        <v>3</v>
      </c>
      <c r="E1190">
        <v>1</v>
      </c>
      <c r="F1190" t="s">
        <v>4027</v>
      </c>
      <c r="G1190">
        <v>62</v>
      </c>
    </row>
    <row r="1191" spans="1:7" x14ac:dyDescent="0.2">
      <c r="A1191" s="2">
        <v>45749</v>
      </c>
      <c r="B1191" t="s">
        <v>1853</v>
      </c>
      <c r="C1191" t="s">
        <v>1</v>
      </c>
      <c r="D1191" t="s">
        <v>3</v>
      </c>
      <c r="E1191">
        <v>1</v>
      </c>
      <c r="F1191" t="s">
        <v>4027</v>
      </c>
      <c r="G1191">
        <v>84</v>
      </c>
    </row>
    <row r="1192" spans="1:7" x14ac:dyDescent="0.2">
      <c r="A1192" s="2">
        <v>45749</v>
      </c>
      <c r="B1192" t="s">
        <v>1094</v>
      </c>
      <c r="C1192" t="s">
        <v>2</v>
      </c>
      <c r="D1192" t="s">
        <v>4</v>
      </c>
      <c r="E1192">
        <v>1</v>
      </c>
      <c r="F1192" t="s">
        <v>600</v>
      </c>
      <c r="G1192">
        <v>22</v>
      </c>
    </row>
    <row r="1193" spans="1:7" x14ac:dyDescent="0.2">
      <c r="A1193" s="2">
        <v>45749</v>
      </c>
      <c r="B1193" t="s">
        <v>1857</v>
      </c>
      <c r="C1193" t="s">
        <v>1</v>
      </c>
      <c r="D1193" t="s">
        <v>3</v>
      </c>
      <c r="E1193">
        <v>1</v>
      </c>
      <c r="F1193" t="s">
        <v>4027</v>
      </c>
      <c r="G1193">
        <v>65</v>
      </c>
    </row>
    <row r="1194" spans="1:7" x14ac:dyDescent="0.2">
      <c r="A1194" s="2">
        <v>45749</v>
      </c>
      <c r="B1194" t="s">
        <v>1858</v>
      </c>
      <c r="C1194" t="s">
        <v>1</v>
      </c>
      <c r="D1194" t="s">
        <v>3</v>
      </c>
      <c r="E1194">
        <v>1</v>
      </c>
      <c r="F1194" t="s">
        <v>4027</v>
      </c>
      <c r="G1194">
        <v>62</v>
      </c>
    </row>
    <row r="1195" spans="1:7" x14ac:dyDescent="0.2">
      <c r="A1195" s="2">
        <v>45749</v>
      </c>
      <c r="B1195" t="s">
        <v>1859</v>
      </c>
      <c r="C1195" t="s">
        <v>1</v>
      </c>
      <c r="D1195" t="s">
        <v>3</v>
      </c>
      <c r="E1195">
        <v>1</v>
      </c>
      <c r="F1195" t="s">
        <v>4027</v>
      </c>
      <c r="G1195">
        <v>87</v>
      </c>
    </row>
    <row r="1196" spans="1:7" x14ac:dyDescent="0.2">
      <c r="A1196" s="2">
        <v>45749</v>
      </c>
      <c r="B1196" t="s">
        <v>1860</v>
      </c>
      <c r="C1196" t="s">
        <v>1</v>
      </c>
      <c r="D1196" t="s">
        <v>3</v>
      </c>
      <c r="E1196">
        <v>1</v>
      </c>
      <c r="F1196" t="s">
        <v>4027</v>
      </c>
      <c r="G1196">
        <v>78</v>
      </c>
    </row>
    <row r="1197" spans="1:7" x14ac:dyDescent="0.2">
      <c r="A1197" s="2">
        <v>45749</v>
      </c>
      <c r="B1197" t="s">
        <v>1861</v>
      </c>
      <c r="C1197" t="s">
        <v>1</v>
      </c>
      <c r="D1197" t="s">
        <v>3</v>
      </c>
      <c r="E1197">
        <v>1</v>
      </c>
      <c r="F1197" t="s">
        <v>4027</v>
      </c>
      <c r="G1197">
        <v>60</v>
      </c>
    </row>
    <row r="1198" spans="1:7" x14ac:dyDescent="0.2">
      <c r="A1198" s="2">
        <v>45749</v>
      </c>
      <c r="B1198" t="s">
        <v>1862</v>
      </c>
      <c r="C1198" t="s">
        <v>1</v>
      </c>
      <c r="D1198" t="s">
        <v>3</v>
      </c>
      <c r="E1198">
        <v>1</v>
      </c>
      <c r="F1198" t="s">
        <v>4027</v>
      </c>
      <c r="G1198">
        <v>74</v>
      </c>
    </row>
    <row r="1199" spans="1:7" x14ac:dyDescent="0.2">
      <c r="A1199" s="2">
        <v>45750</v>
      </c>
      <c r="B1199" t="s">
        <v>1865</v>
      </c>
      <c r="C1199" t="s">
        <v>1</v>
      </c>
      <c r="D1199" t="s">
        <v>3</v>
      </c>
      <c r="E1199">
        <v>1</v>
      </c>
      <c r="F1199" t="s">
        <v>4027</v>
      </c>
      <c r="G1199">
        <v>86</v>
      </c>
    </row>
    <row r="1200" spans="1:7" x14ac:dyDescent="0.2">
      <c r="A1200" s="2">
        <v>45750</v>
      </c>
      <c r="B1200" t="s">
        <v>1101</v>
      </c>
      <c r="C1200" t="s">
        <v>2</v>
      </c>
      <c r="D1200" t="s">
        <v>4</v>
      </c>
      <c r="E1200">
        <v>1</v>
      </c>
      <c r="F1200" t="s">
        <v>600</v>
      </c>
      <c r="G1200">
        <v>22</v>
      </c>
    </row>
    <row r="1201" spans="1:7" x14ac:dyDescent="0.2">
      <c r="A1201" s="2">
        <v>45750</v>
      </c>
      <c r="B1201" t="s">
        <v>1867</v>
      </c>
      <c r="C1201" t="s">
        <v>1</v>
      </c>
      <c r="D1201" t="s">
        <v>3</v>
      </c>
      <c r="E1201">
        <v>1</v>
      </c>
      <c r="F1201" t="s">
        <v>4027</v>
      </c>
      <c r="G1201">
        <v>86</v>
      </c>
    </row>
    <row r="1202" spans="1:7" x14ac:dyDescent="0.2">
      <c r="A1202" s="2">
        <v>45750</v>
      </c>
      <c r="B1202" t="s">
        <v>1866</v>
      </c>
      <c r="C1202" t="s">
        <v>1</v>
      </c>
      <c r="D1202" t="s">
        <v>3</v>
      </c>
      <c r="E1202">
        <v>1</v>
      </c>
      <c r="F1202" t="s">
        <v>4027</v>
      </c>
      <c r="G1202">
        <v>76</v>
      </c>
    </row>
    <row r="1203" spans="1:7" x14ac:dyDescent="0.2">
      <c r="A1203" s="2">
        <v>45750</v>
      </c>
      <c r="B1203" t="s">
        <v>1097</v>
      </c>
      <c r="C1203" t="s">
        <v>2</v>
      </c>
      <c r="D1203" t="s">
        <v>4</v>
      </c>
      <c r="E1203">
        <v>1</v>
      </c>
      <c r="F1203" t="s">
        <v>600</v>
      </c>
      <c r="G1203">
        <v>22</v>
      </c>
    </row>
    <row r="1204" spans="1:7" x14ac:dyDescent="0.2">
      <c r="A1204" s="2">
        <v>45750</v>
      </c>
      <c r="B1204" t="s">
        <v>1864</v>
      </c>
      <c r="C1204" t="s">
        <v>1</v>
      </c>
      <c r="D1204" t="s">
        <v>3</v>
      </c>
      <c r="E1204">
        <v>1</v>
      </c>
      <c r="F1204" t="s">
        <v>4027</v>
      </c>
      <c r="G1204">
        <v>87</v>
      </c>
    </row>
    <row r="1205" spans="1:7" x14ac:dyDescent="0.2">
      <c r="A1205" s="2">
        <v>45750</v>
      </c>
      <c r="B1205" t="s">
        <v>1863</v>
      </c>
      <c r="C1205" t="s">
        <v>1</v>
      </c>
      <c r="D1205" t="s">
        <v>3</v>
      </c>
      <c r="E1205">
        <v>1</v>
      </c>
      <c r="F1205" t="s">
        <v>4027</v>
      </c>
      <c r="G1205">
        <v>75</v>
      </c>
    </row>
    <row r="1206" spans="1:7" x14ac:dyDescent="0.2">
      <c r="A1206" s="2">
        <v>45750</v>
      </c>
      <c r="B1206" t="s">
        <v>1108</v>
      </c>
      <c r="C1206" t="s">
        <v>2</v>
      </c>
      <c r="D1206" t="s">
        <v>4</v>
      </c>
      <c r="E1206">
        <v>1</v>
      </c>
      <c r="F1206" t="s">
        <v>600</v>
      </c>
      <c r="G1206">
        <v>22</v>
      </c>
    </row>
    <row r="1207" spans="1:7" x14ac:dyDescent="0.2">
      <c r="A1207" s="2">
        <v>45754</v>
      </c>
      <c r="B1207" t="s">
        <v>1877</v>
      </c>
      <c r="C1207" t="s">
        <v>1</v>
      </c>
      <c r="D1207" t="s">
        <v>3</v>
      </c>
      <c r="E1207">
        <v>1</v>
      </c>
      <c r="F1207" t="s">
        <v>4027</v>
      </c>
      <c r="G1207">
        <v>85</v>
      </c>
    </row>
    <row r="1208" spans="1:7" x14ac:dyDescent="0.2">
      <c r="A1208" s="2">
        <v>45754</v>
      </c>
      <c r="B1208" t="s">
        <v>1876</v>
      </c>
      <c r="C1208" t="s">
        <v>1</v>
      </c>
      <c r="D1208" t="s">
        <v>3</v>
      </c>
      <c r="E1208">
        <v>1</v>
      </c>
      <c r="F1208" t="s">
        <v>4027</v>
      </c>
      <c r="G1208">
        <v>78</v>
      </c>
    </row>
    <row r="1209" spans="1:7" x14ac:dyDescent="0.2">
      <c r="A1209" s="2">
        <v>45754</v>
      </c>
      <c r="B1209" t="s">
        <v>1875</v>
      </c>
      <c r="C1209" t="s">
        <v>1</v>
      </c>
      <c r="D1209" t="s">
        <v>3</v>
      </c>
      <c r="E1209">
        <v>1</v>
      </c>
      <c r="F1209" t="s">
        <v>4027</v>
      </c>
      <c r="G1209">
        <v>88</v>
      </c>
    </row>
    <row r="1210" spans="1:7" x14ac:dyDescent="0.2">
      <c r="A1210" s="2">
        <v>45754</v>
      </c>
      <c r="B1210" t="s">
        <v>1873</v>
      </c>
      <c r="C1210" t="s">
        <v>1</v>
      </c>
      <c r="D1210" t="s">
        <v>3</v>
      </c>
      <c r="E1210">
        <v>1</v>
      </c>
      <c r="F1210" t="s">
        <v>4027</v>
      </c>
      <c r="G1210">
        <v>66</v>
      </c>
    </row>
    <row r="1211" spans="1:7" x14ac:dyDescent="0.2">
      <c r="A1211" s="2">
        <v>45754</v>
      </c>
      <c r="B1211" t="s">
        <v>1872</v>
      </c>
      <c r="C1211" t="s">
        <v>1</v>
      </c>
      <c r="D1211" t="s">
        <v>3</v>
      </c>
      <c r="E1211">
        <v>1</v>
      </c>
      <c r="F1211" t="s">
        <v>4027</v>
      </c>
      <c r="G1211">
        <v>70</v>
      </c>
    </row>
    <row r="1212" spans="1:7" x14ac:dyDescent="0.2">
      <c r="A1212" s="2">
        <v>45754</v>
      </c>
      <c r="B1212" t="s">
        <v>1871</v>
      </c>
      <c r="C1212" t="s">
        <v>1</v>
      </c>
      <c r="D1212" t="s">
        <v>3</v>
      </c>
      <c r="E1212">
        <v>1</v>
      </c>
      <c r="F1212" t="s">
        <v>4027</v>
      </c>
      <c r="G1212">
        <v>62</v>
      </c>
    </row>
    <row r="1213" spans="1:7" x14ac:dyDescent="0.2">
      <c r="A1213" s="2">
        <v>45754</v>
      </c>
      <c r="B1213" t="s">
        <v>1870</v>
      </c>
      <c r="C1213" t="s">
        <v>1</v>
      </c>
      <c r="D1213" t="s">
        <v>3</v>
      </c>
      <c r="E1213">
        <v>1</v>
      </c>
      <c r="F1213" t="s">
        <v>4027</v>
      </c>
      <c r="G1213">
        <v>65</v>
      </c>
    </row>
    <row r="1214" spans="1:7" x14ac:dyDescent="0.2">
      <c r="A1214" s="2">
        <v>45754</v>
      </c>
      <c r="B1214" t="s">
        <v>1869</v>
      </c>
      <c r="C1214" t="s">
        <v>1</v>
      </c>
      <c r="D1214" t="s">
        <v>3</v>
      </c>
      <c r="E1214">
        <v>1</v>
      </c>
      <c r="F1214" t="s">
        <v>4027</v>
      </c>
      <c r="G1214">
        <v>80</v>
      </c>
    </row>
    <row r="1215" spans="1:7" x14ac:dyDescent="0.2">
      <c r="A1215" s="2">
        <v>45754</v>
      </c>
      <c r="B1215" t="s">
        <v>1868</v>
      </c>
      <c r="C1215" t="s">
        <v>1</v>
      </c>
      <c r="D1215" t="s">
        <v>3</v>
      </c>
      <c r="E1215">
        <v>1</v>
      </c>
      <c r="F1215" t="s">
        <v>4027</v>
      </c>
      <c r="G1215">
        <v>81</v>
      </c>
    </row>
    <row r="1216" spans="1:7" x14ac:dyDescent="0.2">
      <c r="A1216" s="2">
        <v>45754</v>
      </c>
      <c r="B1216" t="s">
        <v>1874</v>
      </c>
      <c r="C1216" t="s">
        <v>1</v>
      </c>
      <c r="D1216" t="s">
        <v>3</v>
      </c>
      <c r="E1216">
        <v>1</v>
      </c>
      <c r="F1216" t="s">
        <v>4027</v>
      </c>
      <c r="G1216">
        <v>67</v>
      </c>
    </row>
    <row r="1217" spans="1:7" x14ac:dyDescent="0.2">
      <c r="A1217" s="2">
        <v>45755</v>
      </c>
      <c r="B1217" t="s">
        <v>1878</v>
      </c>
      <c r="C1217" t="s">
        <v>1</v>
      </c>
      <c r="D1217" t="s">
        <v>3</v>
      </c>
      <c r="E1217">
        <v>1</v>
      </c>
      <c r="F1217" t="s">
        <v>4027</v>
      </c>
      <c r="G1217">
        <v>69</v>
      </c>
    </row>
    <row r="1218" spans="1:7" x14ac:dyDescent="0.2">
      <c r="A1218" s="2">
        <v>45755</v>
      </c>
      <c r="B1218" t="s">
        <v>1879</v>
      </c>
      <c r="C1218" t="s">
        <v>1</v>
      </c>
      <c r="D1218" t="s">
        <v>3</v>
      </c>
      <c r="E1218">
        <v>1</v>
      </c>
      <c r="F1218" t="s">
        <v>4027</v>
      </c>
      <c r="G1218">
        <v>82</v>
      </c>
    </row>
    <row r="1219" spans="1:7" x14ac:dyDescent="0.2">
      <c r="A1219" s="2">
        <v>45755</v>
      </c>
      <c r="B1219" t="s">
        <v>1880</v>
      </c>
      <c r="C1219" t="s">
        <v>1</v>
      </c>
      <c r="D1219" t="s">
        <v>3</v>
      </c>
      <c r="E1219">
        <v>1</v>
      </c>
      <c r="F1219" t="s">
        <v>4027</v>
      </c>
      <c r="G1219">
        <v>88</v>
      </c>
    </row>
    <row r="1220" spans="1:7" x14ac:dyDescent="0.2">
      <c r="A1220" s="2">
        <v>45755</v>
      </c>
      <c r="B1220" t="s">
        <v>1881</v>
      </c>
      <c r="C1220" t="s">
        <v>1</v>
      </c>
      <c r="D1220" t="s">
        <v>3</v>
      </c>
      <c r="E1220">
        <v>1</v>
      </c>
      <c r="F1220" t="s">
        <v>4027</v>
      </c>
      <c r="G1220">
        <v>71</v>
      </c>
    </row>
    <row r="1221" spans="1:7" x14ac:dyDescent="0.2">
      <c r="A1221" s="2">
        <v>45755</v>
      </c>
      <c r="B1221" t="s">
        <v>1882</v>
      </c>
      <c r="C1221" t="s">
        <v>1</v>
      </c>
      <c r="D1221" t="s">
        <v>3</v>
      </c>
      <c r="E1221">
        <v>1</v>
      </c>
      <c r="F1221" t="s">
        <v>4027</v>
      </c>
      <c r="G1221">
        <v>64</v>
      </c>
    </row>
    <row r="1222" spans="1:7" x14ac:dyDescent="0.2">
      <c r="A1222" s="2">
        <v>45756</v>
      </c>
      <c r="B1222" t="s">
        <v>1883</v>
      </c>
      <c r="C1222" t="s">
        <v>1</v>
      </c>
      <c r="D1222" t="s">
        <v>3</v>
      </c>
      <c r="E1222">
        <v>1</v>
      </c>
      <c r="F1222" t="s">
        <v>4027</v>
      </c>
      <c r="G1222">
        <v>82</v>
      </c>
    </row>
    <row r="1223" spans="1:7" x14ac:dyDescent="0.2">
      <c r="A1223" s="2">
        <v>45756</v>
      </c>
      <c r="B1223" t="s">
        <v>1884</v>
      </c>
      <c r="C1223" t="s">
        <v>1</v>
      </c>
      <c r="D1223" t="s">
        <v>3</v>
      </c>
      <c r="E1223">
        <v>1</v>
      </c>
      <c r="F1223" t="s">
        <v>4027</v>
      </c>
      <c r="G1223">
        <v>60</v>
      </c>
    </row>
    <row r="1224" spans="1:7" x14ac:dyDescent="0.2">
      <c r="A1224" s="2">
        <v>45756</v>
      </c>
      <c r="B1224" t="s">
        <v>1115</v>
      </c>
      <c r="C1224" t="s">
        <v>2</v>
      </c>
      <c r="D1224" t="s">
        <v>4</v>
      </c>
      <c r="E1224">
        <v>1</v>
      </c>
      <c r="F1224" t="s">
        <v>600</v>
      </c>
      <c r="G1224">
        <v>22</v>
      </c>
    </row>
    <row r="1225" spans="1:7" x14ac:dyDescent="0.2">
      <c r="A1225" s="2">
        <v>45757</v>
      </c>
      <c r="B1225" t="s">
        <v>1890</v>
      </c>
      <c r="C1225" t="s">
        <v>1</v>
      </c>
      <c r="D1225" t="s">
        <v>3</v>
      </c>
      <c r="E1225">
        <v>1</v>
      </c>
      <c r="F1225" t="s">
        <v>4027</v>
      </c>
      <c r="G1225">
        <v>86</v>
      </c>
    </row>
    <row r="1226" spans="1:7" x14ac:dyDescent="0.2">
      <c r="A1226" s="2">
        <v>45757</v>
      </c>
      <c r="B1226" t="s">
        <v>1891</v>
      </c>
      <c r="C1226" t="s">
        <v>1</v>
      </c>
      <c r="D1226" t="s">
        <v>3</v>
      </c>
      <c r="E1226">
        <v>1</v>
      </c>
      <c r="F1226" t="s">
        <v>4027</v>
      </c>
      <c r="G1226">
        <v>60</v>
      </c>
    </row>
    <row r="1227" spans="1:7" x14ac:dyDescent="0.2">
      <c r="A1227" s="2">
        <v>45757</v>
      </c>
      <c r="B1227" t="s">
        <v>1885</v>
      </c>
      <c r="C1227" t="s">
        <v>1</v>
      </c>
      <c r="D1227" t="s">
        <v>3</v>
      </c>
      <c r="E1227">
        <v>1</v>
      </c>
      <c r="F1227" t="s">
        <v>4027</v>
      </c>
      <c r="G1227">
        <v>75</v>
      </c>
    </row>
    <row r="1228" spans="1:7" x14ac:dyDescent="0.2">
      <c r="A1228" s="2">
        <v>45757</v>
      </c>
      <c r="B1228" t="s">
        <v>1889</v>
      </c>
      <c r="C1228" t="s">
        <v>1</v>
      </c>
      <c r="D1228" t="s">
        <v>3</v>
      </c>
      <c r="E1228">
        <v>1</v>
      </c>
      <c r="F1228" t="s">
        <v>4027</v>
      </c>
      <c r="G1228">
        <v>81</v>
      </c>
    </row>
    <row r="1229" spans="1:7" x14ac:dyDescent="0.2">
      <c r="A1229" s="2">
        <v>45757</v>
      </c>
      <c r="B1229" t="s">
        <v>1886</v>
      </c>
      <c r="C1229" t="s">
        <v>1</v>
      </c>
      <c r="D1229" t="s">
        <v>3</v>
      </c>
      <c r="E1229">
        <v>1</v>
      </c>
      <c r="F1229" t="s">
        <v>4027</v>
      </c>
      <c r="G1229">
        <v>86</v>
      </c>
    </row>
    <row r="1230" spans="1:7" x14ac:dyDescent="0.2">
      <c r="A1230" s="2">
        <v>45757</v>
      </c>
      <c r="B1230" t="s">
        <v>1887</v>
      </c>
      <c r="C1230" t="s">
        <v>1</v>
      </c>
      <c r="D1230" t="s">
        <v>3</v>
      </c>
      <c r="E1230">
        <v>1</v>
      </c>
      <c r="F1230" t="s">
        <v>4027</v>
      </c>
      <c r="G1230">
        <v>87</v>
      </c>
    </row>
    <row r="1231" spans="1:7" x14ac:dyDescent="0.2">
      <c r="A1231" s="2">
        <v>45757</v>
      </c>
      <c r="B1231" t="s">
        <v>1888</v>
      </c>
      <c r="C1231" t="s">
        <v>1</v>
      </c>
      <c r="D1231" t="s">
        <v>3</v>
      </c>
      <c r="E1231">
        <v>1</v>
      </c>
      <c r="F1231" t="s">
        <v>4027</v>
      </c>
      <c r="G1231">
        <v>89</v>
      </c>
    </row>
    <row r="1232" spans="1:7" x14ac:dyDescent="0.2">
      <c r="A1232" s="2">
        <v>45758</v>
      </c>
      <c r="B1232" t="s">
        <v>1892</v>
      </c>
      <c r="C1232" t="s">
        <v>1</v>
      </c>
      <c r="D1232" t="s">
        <v>3</v>
      </c>
      <c r="E1232">
        <v>1</v>
      </c>
      <c r="F1232" t="s">
        <v>4027</v>
      </c>
      <c r="G1232">
        <v>79</v>
      </c>
    </row>
    <row r="1233" spans="1:7" x14ac:dyDescent="0.2">
      <c r="A1233" s="2">
        <v>45758</v>
      </c>
      <c r="B1233" t="s">
        <v>1893</v>
      </c>
      <c r="C1233" t="s">
        <v>1</v>
      </c>
      <c r="D1233" t="s">
        <v>3</v>
      </c>
      <c r="E1233">
        <v>1</v>
      </c>
      <c r="F1233" t="s">
        <v>4027</v>
      </c>
      <c r="G1233">
        <v>89</v>
      </c>
    </row>
    <row r="1234" spans="1:7" x14ac:dyDescent="0.2">
      <c r="A1234" s="2">
        <v>45758</v>
      </c>
      <c r="B1234" t="s">
        <v>1894</v>
      </c>
      <c r="C1234" t="s">
        <v>1</v>
      </c>
      <c r="D1234" t="s">
        <v>3</v>
      </c>
      <c r="E1234">
        <v>1</v>
      </c>
      <c r="F1234" t="s">
        <v>4027</v>
      </c>
      <c r="G1234">
        <v>74</v>
      </c>
    </row>
    <row r="1235" spans="1:7" x14ac:dyDescent="0.2">
      <c r="A1235" s="2">
        <v>45758</v>
      </c>
      <c r="B1235" t="s">
        <v>1895</v>
      </c>
      <c r="C1235" t="s">
        <v>1</v>
      </c>
      <c r="D1235" t="s">
        <v>3</v>
      </c>
      <c r="E1235">
        <v>1</v>
      </c>
      <c r="F1235" t="s">
        <v>4027</v>
      </c>
      <c r="G1235">
        <v>78</v>
      </c>
    </row>
    <row r="1236" spans="1:7" x14ac:dyDescent="0.2">
      <c r="A1236" s="2">
        <v>45758</v>
      </c>
      <c r="B1236" t="s">
        <v>1896</v>
      </c>
      <c r="C1236" t="s">
        <v>1</v>
      </c>
      <c r="D1236" t="s">
        <v>3</v>
      </c>
      <c r="E1236">
        <v>1</v>
      </c>
      <c r="F1236" t="s">
        <v>4027</v>
      </c>
      <c r="G1236">
        <v>61</v>
      </c>
    </row>
    <row r="1237" spans="1:7" x14ac:dyDescent="0.2">
      <c r="A1237" s="2">
        <v>45758</v>
      </c>
      <c r="B1237" t="s">
        <v>1897</v>
      </c>
      <c r="C1237" t="s">
        <v>1</v>
      </c>
      <c r="D1237" t="s">
        <v>3</v>
      </c>
      <c r="E1237">
        <v>1</v>
      </c>
      <c r="F1237" t="s">
        <v>4027</v>
      </c>
      <c r="G1237">
        <v>82</v>
      </c>
    </row>
    <row r="1238" spans="1:7" x14ac:dyDescent="0.2">
      <c r="A1238" s="2">
        <v>45758</v>
      </c>
      <c r="B1238" t="s">
        <v>1898</v>
      </c>
      <c r="C1238" t="s">
        <v>1</v>
      </c>
      <c r="D1238" t="s">
        <v>3</v>
      </c>
      <c r="E1238">
        <v>1</v>
      </c>
      <c r="F1238" t="s">
        <v>4027</v>
      </c>
      <c r="G1238">
        <v>70</v>
      </c>
    </row>
    <row r="1239" spans="1:7" x14ac:dyDescent="0.2">
      <c r="A1239" s="2">
        <v>45758</v>
      </c>
      <c r="B1239" t="s">
        <v>1899</v>
      </c>
      <c r="C1239" t="s">
        <v>1</v>
      </c>
      <c r="D1239" t="s">
        <v>3</v>
      </c>
      <c r="E1239">
        <v>1</v>
      </c>
      <c r="F1239" t="s">
        <v>4027</v>
      </c>
      <c r="G1239">
        <v>71</v>
      </c>
    </row>
    <row r="1240" spans="1:7" x14ac:dyDescent="0.2">
      <c r="A1240" s="2">
        <v>45758</v>
      </c>
      <c r="B1240" t="s">
        <v>1117</v>
      </c>
      <c r="C1240" t="s">
        <v>2</v>
      </c>
      <c r="D1240" t="s">
        <v>4</v>
      </c>
      <c r="E1240">
        <v>1</v>
      </c>
      <c r="F1240" t="s">
        <v>600</v>
      </c>
      <c r="G1240">
        <v>22</v>
      </c>
    </row>
    <row r="1241" spans="1:7" x14ac:dyDescent="0.2">
      <c r="A1241" s="2">
        <v>45759</v>
      </c>
      <c r="B1241" t="s">
        <v>1900</v>
      </c>
      <c r="C1241" t="s">
        <v>1</v>
      </c>
      <c r="D1241" t="s">
        <v>3</v>
      </c>
      <c r="E1241">
        <v>1</v>
      </c>
      <c r="F1241" t="s">
        <v>4027</v>
      </c>
      <c r="G1241">
        <v>61</v>
      </c>
    </row>
    <row r="1242" spans="1:7" x14ac:dyDescent="0.2">
      <c r="A1242" s="2">
        <v>45759</v>
      </c>
      <c r="B1242" t="s">
        <v>1901</v>
      </c>
      <c r="C1242" t="s">
        <v>1</v>
      </c>
      <c r="D1242" t="s">
        <v>3</v>
      </c>
      <c r="E1242">
        <v>1</v>
      </c>
      <c r="F1242" t="s">
        <v>4027</v>
      </c>
      <c r="G1242">
        <v>72</v>
      </c>
    </row>
    <row r="1243" spans="1:7" x14ac:dyDescent="0.2">
      <c r="A1243" s="2">
        <v>45761</v>
      </c>
      <c r="B1243" t="s">
        <v>1908</v>
      </c>
      <c r="C1243" t="s">
        <v>1</v>
      </c>
      <c r="D1243" t="s">
        <v>3</v>
      </c>
      <c r="E1243">
        <v>1</v>
      </c>
      <c r="F1243" t="s">
        <v>4027</v>
      </c>
      <c r="G1243">
        <v>71</v>
      </c>
    </row>
    <row r="1244" spans="1:7" x14ac:dyDescent="0.2">
      <c r="A1244" s="2">
        <v>45761</v>
      </c>
      <c r="B1244" t="s">
        <v>1902</v>
      </c>
      <c r="C1244" t="s">
        <v>1</v>
      </c>
      <c r="D1244" t="s">
        <v>3</v>
      </c>
      <c r="E1244">
        <v>1</v>
      </c>
      <c r="F1244" t="s">
        <v>4027</v>
      </c>
      <c r="G1244">
        <v>88</v>
      </c>
    </row>
    <row r="1245" spans="1:7" x14ac:dyDescent="0.2">
      <c r="A1245" s="2">
        <v>45761</v>
      </c>
      <c r="B1245" t="s">
        <v>1906</v>
      </c>
      <c r="C1245" t="s">
        <v>1</v>
      </c>
      <c r="D1245" t="s">
        <v>3</v>
      </c>
      <c r="E1245">
        <v>1</v>
      </c>
      <c r="F1245" t="s">
        <v>4027</v>
      </c>
      <c r="G1245">
        <v>82</v>
      </c>
    </row>
    <row r="1246" spans="1:7" x14ac:dyDescent="0.2">
      <c r="A1246" s="2">
        <v>45761</v>
      </c>
      <c r="B1246" t="s">
        <v>1905</v>
      </c>
      <c r="C1246" t="s">
        <v>1</v>
      </c>
      <c r="D1246" t="s">
        <v>3</v>
      </c>
      <c r="E1246">
        <v>1</v>
      </c>
      <c r="F1246" t="s">
        <v>4027</v>
      </c>
      <c r="G1246">
        <v>89</v>
      </c>
    </row>
    <row r="1247" spans="1:7" x14ac:dyDescent="0.2">
      <c r="A1247" s="2">
        <v>45761</v>
      </c>
      <c r="B1247" t="s">
        <v>1904</v>
      </c>
      <c r="C1247" t="s">
        <v>1</v>
      </c>
      <c r="D1247" t="s">
        <v>3</v>
      </c>
      <c r="E1247">
        <v>1</v>
      </c>
      <c r="F1247" t="s">
        <v>4027</v>
      </c>
      <c r="G1247">
        <v>84</v>
      </c>
    </row>
    <row r="1248" spans="1:7" x14ac:dyDescent="0.2">
      <c r="A1248" s="2">
        <v>45761</v>
      </c>
      <c r="B1248" t="s">
        <v>1903</v>
      </c>
      <c r="C1248" t="s">
        <v>1</v>
      </c>
      <c r="D1248" t="s">
        <v>3</v>
      </c>
      <c r="E1248">
        <v>1</v>
      </c>
      <c r="F1248" t="s">
        <v>4027</v>
      </c>
      <c r="G1248">
        <v>74</v>
      </c>
    </row>
    <row r="1249" spans="1:7" x14ac:dyDescent="0.2">
      <c r="A1249" s="2">
        <v>45761</v>
      </c>
      <c r="B1249" t="s">
        <v>1907</v>
      </c>
      <c r="C1249" t="s">
        <v>1</v>
      </c>
      <c r="D1249" t="s">
        <v>3</v>
      </c>
      <c r="E1249">
        <v>1</v>
      </c>
      <c r="F1249" t="s">
        <v>4027</v>
      </c>
      <c r="G1249">
        <v>71</v>
      </c>
    </row>
    <row r="1250" spans="1:7" x14ac:dyDescent="0.2">
      <c r="A1250" s="2">
        <v>45762</v>
      </c>
      <c r="B1250" t="s">
        <v>1917</v>
      </c>
      <c r="C1250" t="s">
        <v>1</v>
      </c>
      <c r="D1250" t="s">
        <v>3</v>
      </c>
      <c r="E1250">
        <v>1</v>
      </c>
      <c r="F1250" t="s">
        <v>4027</v>
      </c>
      <c r="G1250">
        <v>88</v>
      </c>
    </row>
    <row r="1251" spans="1:7" x14ac:dyDescent="0.2">
      <c r="A1251" s="2">
        <v>45762</v>
      </c>
      <c r="B1251" t="s">
        <v>1916</v>
      </c>
      <c r="C1251" t="s">
        <v>1</v>
      </c>
      <c r="D1251" t="s">
        <v>3</v>
      </c>
      <c r="E1251">
        <v>1</v>
      </c>
      <c r="F1251" t="s">
        <v>4027</v>
      </c>
      <c r="G1251">
        <v>80</v>
      </c>
    </row>
    <row r="1252" spans="1:7" x14ac:dyDescent="0.2">
      <c r="A1252" s="2">
        <v>45762</v>
      </c>
      <c r="B1252" t="s">
        <v>1909</v>
      </c>
      <c r="C1252" t="s">
        <v>1</v>
      </c>
      <c r="D1252" t="s">
        <v>3</v>
      </c>
      <c r="E1252">
        <v>1</v>
      </c>
      <c r="F1252" t="s">
        <v>4027</v>
      </c>
      <c r="G1252">
        <v>87</v>
      </c>
    </row>
    <row r="1253" spans="1:7" x14ac:dyDescent="0.2">
      <c r="A1253" s="2">
        <v>45762</v>
      </c>
      <c r="B1253" t="s">
        <v>1914</v>
      </c>
      <c r="C1253" t="s">
        <v>1</v>
      </c>
      <c r="D1253" t="s">
        <v>3</v>
      </c>
      <c r="E1253">
        <v>1</v>
      </c>
      <c r="F1253" t="s">
        <v>4027</v>
      </c>
      <c r="G1253">
        <v>84</v>
      </c>
    </row>
    <row r="1254" spans="1:7" x14ac:dyDescent="0.2">
      <c r="A1254" s="2">
        <v>45762</v>
      </c>
      <c r="B1254" t="s">
        <v>1913</v>
      </c>
      <c r="C1254" t="s">
        <v>1</v>
      </c>
      <c r="D1254" t="s">
        <v>3</v>
      </c>
      <c r="E1254">
        <v>1</v>
      </c>
      <c r="F1254" t="s">
        <v>4027</v>
      </c>
      <c r="G1254">
        <v>83</v>
      </c>
    </row>
    <row r="1255" spans="1:7" x14ac:dyDescent="0.2">
      <c r="A1255" s="2">
        <v>45762</v>
      </c>
      <c r="B1255" t="s">
        <v>1912</v>
      </c>
      <c r="C1255" t="s">
        <v>1</v>
      </c>
      <c r="D1255" t="s">
        <v>3</v>
      </c>
      <c r="E1255">
        <v>1</v>
      </c>
      <c r="F1255" t="s">
        <v>4027</v>
      </c>
      <c r="G1255">
        <v>61</v>
      </c>
    </row>
    <row r="1256" spans="1:7" x14ac:dyDescent="0.2">
      <c r="A1256" s="2">
        <v>45762</v>
      </c>
      <c r="B1256" t="s">
        <v>1911</v>
      </c>
      <c r="C1256" t="s">
        <v>1</v>
      </c>
      <c r="D1256" t="s">
        <v>3</v>
      </c>
      <c r="E1256">
        <v>1</v>
      </c>
      <c r="F1256" t="s">
        <v>4027</v>
      </c>
      <c r="G1256">
        <v>87</v>
      </c>
    </row>
    <row r="1257" spans="1:7" x14ac:dyDescent="0.2">
      <c r="A1257" s="2">
        <v>45762</v>
      </c>
      <c r="B1257" t="s">
        <v>1910</v>
      </c>
      <c r="C1257" t="s">
        <v>1</v>
      </c>
      <c r="D1257" t="s">
        <v>3</v>
      </c>
      <c r="E1257">
        <v>1</v>
      </c>
      <c r="F1257" t="s">
        <v>4027</v>
      </c>
      <c r="G1257">
        <v>67</v>
      </c>
    </row>
    <row r="1258" spans="1:7" x14ac:dyDescent="0.2">
      <c r="A1258" s="2">
        <v>45762</v>
      </c>
      <c r="B1258" t="s">
        <v>1125</v>
      </c>
      <c r="C1258" t="s">
        <v>2</v>
      </c>
      <c r="D1258" t="s">
        <v>4</v>
      </c>
      <c r="E1258">
        <v>1</v>
      </c>
      <c r="F1258" t="s">
        <v>600</v>
      </c>
      <c r="G1258">
        <v>22</v>
      </c>
    </row>
    <row r="1259" spans="1:7" x14ac:dyDescent="0.2">
      <c r="A1259" s="2">
        <v>45762</v>
      </c>
      <c r="B1259" t="s">
        <v>1915</v>
      </c>
      <c r="C1259" t="s">
        <v>1</v>
      </c>
      <c r="D1259" t="s">
        <v>3</v>
      </c>
      <c r="E1259">
        <v>1</v>
      </c>
      <c r="F1259" t="s">
        <v>4027</v>
      </c>
      <c r="G1259">
        <v>65</v>
      </c>
    </row>
    <row r="1260" spans="1:7" x14ac:dyDescent="0.2">
      <c r="A1260" s="2">
        <v>45763</v>
      </c>
      <c r="B1260" t="s">
        <v>1925</v>
      </c>
      <c r="C1260" t="s">
        <v>1</v>
      </c>
      <c r="D1260" t="s">
        <v>3</v>
      </c>
      <c r="E1260">
        <v>1</v>
      </c>
      <c r="F1260" t="s">
        <v>4027</v>
      </c>
      <c r="G1260">
        <v>77</v>
      </c>
    </row>
    <row r="1261" spans="1:7" x14ac:dyDescent="0.2">
      <c r="A1261" s="2">
        <v>45763</v>
      </c>
      <c r="B1261" t="s">
        <v>1920</v>
      </c>
      <c r="C1261" t="s">
        <v>1</v>
      </c>
      <c r="D1261" t="s">
        <v>3</v>
      </c>
      <c r="E1261">
        <v>1</v>
      </c>
      <c r="F1261" t="s">
        <v>4027</v>
      </c>
      <c r="G1261">
        <v>77</v>
      </c>
    </row>
    <row r="1262" spans="1:7" x14ac:dyDescent="0.2">
      <c r="A1262" s="2">
        <v>45763</v>
      </c>
      <c r="B1262" t="s">
        <v>1923</v>
      </c>
      <c r="C1262" t="s">
        <v>1</v>
      </c>
      <c r="D1262" t="s">
        <v>3</v>
      </c>
      <c r="E1262">
        <v>1</v>
      </c>
      <c r="F1262" t="s">
        <v>4027</v>
      </c>
      <c r="G1262">
        <v>85</v>
      </c>
    </row>
    <row r="1263" spans="1:7" x14ac:dyDescent="0.2">
      <c r="A1263" s="2">
        <v>45763</v>
      </c>
      <c r="B1263" t="s">
        <v>1924</v>
      </c>
      <c r="C1263" t="s">
        <v>1</v>
      </c>
      <c r="D1263" t="s">
        <v>3</v>
      </c>
      <c r="E1263">
        <v>1</v>
      </c>
      <c r="F1263" t="s">
        <v>4027</v>
      </c>
      <c r="G1263">
        <v>85</v>
      </c>
    </row>
    <row r="1264" spans="1:7" x14ac:dyDescent="0.2">
      <c r="A1264" s="2">
        <v>45763</v>
      </c>
      <c r="B1264" t="s">
        <v>1922</v>
      </c>
      <c r="C1264" t="s">
        <v>1</v>
      </c>
      <c r="D1264" t="s">
        <v>3</v>
      </c>
      <c r="E1264">
        <v>1</v>
      </c>
      <c r="F1264" t="s">
        <v>4027</v>
      </c>
      <c r="G1264">
        <v>60</v>
      </c>
    </row>
    <row r="1265" spans="1:7" x14ac:dyDescent="0.2">
      <c r="A1265" s="2">
        <v>45763</v>
      </c>
      <c r="B1265" t="s">
        <v>1921</v>
      </c>
      <c r="C1265" t="s">
        <v>1</v>
      </c>
      <c r="D1265" t="s">
        <v>3</v>
      </c>
      <c r="E1265">
        <v>1</v>
      </c>
      <c r="F1265" t="s">
        <v>4027</v>
      </c>
      <c r="G1265">
        <v>71</v>
      </c>
    </row>
    <row r="1266" spans="1:7" x14ac:dyDescent="0.2">
      <c r="A1266" s="2">
        <v>45763</v>
      </c>
      <c r="B1266" t="s">
        <v>1919</v>
      </c>
      <c r="C1266" t="s">
        <v>1</v>
      </c>
      <c r="D1266" t="s">
        <v>3</v>
      </c>
      <c r="E1266">
        <v>1</v>
      </c>
      <c r="F1266" t="s">
        <v>4027</v>
      </c>
      <c r="G1266">
        <v>65</v>
      </c>
    </row>
    <row r="1267" spans="1:7" x14ac:dyDescent="0.2">
      <c r="A1267" s="2">
        <v>45763</v>
      </c>
      <c r="B1267" t="s">
        <v>1918</v>
      </c>
      <c r="C1267" t="s">
        <v>1</v>
      </c>
      <c r="D1267" t="s">
        <v>3</v>
      </c>
      <c r="E1267">
        <v>1</v>
      </c>
      <c r="F1267" t="s">
        <v>4027</v>
      </c>
      <c r="G1267">
        <v>68</v>
      </c>
    </row>
    <row r="1268" spans="1:7" x14ac:dyDescent="0.2">
      <c r="A1268" s="2">
        <v>45764</v>
      </c>
      <c r="B1268" t="s">
        <v>1926</v>
      </c>
      <c r="C1268" t="s">
        <v>1</v>
      </c>
      <c r="D1268" t="s">
        <v>3</v>
      </c>
      <c r="E1268">
        <v>1</v>
      </c>
      <c r="F1268" t="s">
        <v>4027</v>
      </c>
      <c r="G1268">
        <v>76</v>
      </c>
    </row>
    <row r="1269" spans="1:7" x14ac:dyDescent="0.2">
      <c r="A1269" s="2">
        <v>45764</v>
      </c>
      <c r="B1269" t="s">
        <v>1927</v>
      </c>
      <c r="C1269" t="s">
        <v>1</v>
      </c>
      <c r="D1269" t="s">
        <v>3</v>
      </c>
      <c r="E1269">
        <v>1</v>
      </c>
      <c r="F1269" t="s">
        <v>4027</v>
      </c>
      <c r="G1269">
        <v>71</v>
      </c>
    </row>
    <row r="1270" spans="1:7" x14ac:dyDescent="0.2">
      <c r="A1270" s="2">
        <v>45764</v>
      </c>
      <c r="B1270" t="s">
        <v>1928</v>
      </c>
      <c r="C1270" t="s">
        <v>1</v>
      </c>
      <c r="D1270" t="s">
        <v>3</v>
      </c>
      <c r="E1270">
        <v>1</v>
      </c>
      <c r="F1270" t="s">
        <v>4027</v>
      </c>
      <c r="G1270">
        <v>63</v>
      </c>
    </row>
    <row r="1271" spans="1:7" x14ac:dyDescent="0.2">
      <c r="A1271" s="2">
        <v>45764</v>
      </c>
      <c r="B1271" t="s">
        <v>1929</v>
      </c>
      <c r="C1271" t="s">
        <v>1</v>
      </c>
      <c r="D1271" t="s">
        <v>3</v>
      </c>
      <c r="E1271">
        <v>1</v>
      </c>
      <c r="F1271" t="s">
        <v>4027</v>
      </c>
      <c r="G1271">
        <v>74</v>
      </c>
    </row>
    <row r="1272" spans="1:7" x14ac:dyDescent="0.2">
      <c r="A1272" s="2">
        <v>45764</v>
      </c>
      <c r="B1272" t="s">
        <v>1930</v>
      </c>
      <c r="C1272" t="s">
        <v>1</v>
      </c>
      <c r="D1272" t="s">
        <v>3</v>
      </c>
      <c r="E1272">
        <v>1</v>
      </c>
      <c r="F1272" t="s">
        <v>4027</v>
      </c>
      <c r="G1272">
        <v>88</v>
      </c>
    </row>
    <row r="1273" spans="1:7" x14ac:dyDescent="0.2">
      <c r="A1273" s="2">
        <v>45764</v>
      </c>
      <c r="B1273" t="s">
        <v>1931</v>
      </c>
      <c r="C1273" t="s">
        <v>1</v>
      </c>
      <c r="D1273" t="s">
        <v>3</v>
      </c>
      <c r="E1273">
        <v>1</v>
      </c>
      <c r="F1273" t="s">
        <v>4027</v>
      </c>
      <c r="G1273">
        <v>87</v>
      </c>
    </row>
    <row r="1274" spans="1:7" x14ac:dyDescent="0.2">
      <c r="A1274" s="2">
        <v>45764</v>
      </c>
      <c r="B1274" t="s">
        <v>1932</v>
      </c>
      <c r="C1274" t="s">
        <v>1</v>
      </c>
      <c r="D1274" t="s">
        <v>3</v>
      </c>
      <c r="E1274">
        <v>1</v>
      </c>
      <c r="F1274" t="s">
        <v>4027</v>
      </c>
      <c r="G1274">
        <v>65</v>
      </c>
    </row>
    <row r="1275" spans="1:7" x14ac:dyDescent="0.2">
      <c r="A1275" s="2">
        <v>45764</v>
      </c>
      <c r="B1275" t="s">
        <v>1933</v>
      </c>
      <c r="C1275" t="s">
        <v>1</v>
      </c>
      <c r="D1275" t="s">
        <v>3</v>
      </c>
      <c r="E1275">
        <v>1</v>
      </c>
      <c r="F1275" t="s">
        <v>4027</v>
      </c>
      <c r="G1275">
        <v>87</v>
      </c>
    </row>
    <row r="1276" spans="1:7" x14ac:dyDescent="0.2">
      <c r="A1276" s="2">
        <v>45765</v>
      </c>
      <c r="B1276" t="s">
        <v>1934</v>
      </c>
      <c r="C1276" t="s">
        <v>1</v>
      </c>
      <c r="D1276" t="s">
        <v>3</v>
      </c>
      <c r="E1276">
        <v>1</v>
      </c>
      <c r="F1276" t="s">
        <v>4027</v>
      </c>
      <c r="G1276">
        <v>85</v>
      </c>
    </row>
    <row r="1277" spans="1:7" x14ac:dyDescent="0.2">
      <c r="A1277" s="2">
        <v>45765</v>
      </c>
      <c r="B1277" t="s">
        <v>1936</v>
      </c>
      <c r="C1277" t="s">
        <v>1</v>
      </c>
      <c r="D1277" t="s">
        <v>3</v>
      </c>
      <c r="E1277">
        <v>1</v>
      </c>
      <c r="F1277" t="s">
        <v>4027</v>
      </c>
      <c r="G1277">
        <v>67</v>
      </c>
    </row>
    <row r="1278" spans="1:7" x14ac:dyDescent="0.2">
      <c r="A1278" s="2">
        <v>45765</v>
      </c>
      <c r="B1278" t="s">
        <v>1935</v>
      </c>
      <c r="C1278" t="s">
        <v>1</v>
      </c>
      <c r="D1278" t="s">
        <v>3</v>
      </c>
      <c r="E1278">
        <v>1</v>
      </c>
      <c r="F1278" t="s">
        <v>4027</v>
      </c>
      <c r="G1278">
        <v>69</v>
      </c>
    </row>
    <row r="1279" spans="1:7" x14ac:dyDescent="0.2">
      <c r="A1279" s="2">
        <v>45766</v>
      </c>
      <c r="B1279" t="s">
        <v>1937</v>
      </c>
      <c r="C1279" t="s">
        <v>1</v>
      </c>
      <c r="D1279" t="s">
        <v>3</v>
      </c>
      <c r="E1279">
        <v>1</v>
      </c>
      <c r="F1279" t="s">
        <v>4027</v>
      </c>
      <c r="G1279">
        <v>63</v>
      </c>
    </row>
    <row r="1280" spans="1:7" x14ac:dyDescent="0.2">
      <c r="A1280" s="2">
        <v>45768</v>
      </c>
      <c r="B1280" t="s">
        <v>1127</v>
      </c>
      <c r="C1280" t="s">
        <v>2</v>
      </c>
      <c r="D1280" t="s">
        <v>4</v>
      </c>
      <c r="E1280">
        <v>1</v>
      </c>
      <c r="F1280" t="s">
        <v>600</v>
      </c>
      <c r="G1280">
        <v>22</v>
      </c>
    </row>
    <row r="1281" spans="1:7" x14ac:dyDescent="0.2">
      <c r="A1281" s="2">
        <v>45768</v>
      </c>
      <c r="B1281" t="s">
        <v>1130</v>
      </c>
      <c r="C1281" t="s">
        <v>2</v>
      </c>
      <c r="D1281" t="s">
        <v>4</v>
      </c>
      <c r="E1281">
        <v>1</v>
      </c>
      <c r="F1281" t="s">
        <v>600</v>
      </c>
      <c r="G1281">
        <v>22</v>
      </c>
    </row>
    <row r="1282" spans="1:7" x14ac:dyDescent="0.2">
      <c r="A1282" s="2">
        <v>45768</v>
      </c>
      <c r="B1282" t="s">
        <v>1943</v>
      </c>
      <c r="C1282" t="s">
        <v>1</v>
      </c>
      <c r="D1282" t="s">
        <v>3</v>
      </c>
      <c r="E1282">
        <v>1</v>
      </c>
      <c r="F1282" t="s">
        <v>4027</v>
      </c>
      <c r="G1282">
        <v>60</v>
      </c>
    </row>
    <row r="1283" spans="1:7" x14ac:dyDescent="0.2">
      <c r="A1283" s="2">
        <v>45768</v>
      </c>
      <c r="B1283" t="s">
        <v>1942</v>
      </c>
      <c r="C1283" t="s">
        <v>1</v>
      </c>
      <c r="D1283" t="s">
        <v>3</v>
      </c>
      <c r="E1283">
        <v>1</v>
      </c>
      <c r="F1283" t="s">
        <v>4027</v>
      </c>
      <c r="G1283">
        <v>72</v>
      </c>
    </row>
    <row r="1284" spans="1:7" x14ac:dyDescent="0.2">
      <c r="A1284" s="2">
        <v>45768</v>
      </c>
      <c r="B1284" t="s">
        <v>1941</v>
      </c>
      <c r="C1284" t="s">
        <v>1</v>
      </c>
      <c r="D1284" t="s">
        <v>3</v>
      </c>
      <c r="E1284">
        <v>1</v>
      </c>
      <c r="F1284" t="s">
        <v>4027</v>
      </c>
      <c r="G1284">
        <v>65</v>
      </c>
    </row>
    <row r="1285" spans="1:7" x14ac:dyDescent="0.2">
      <c r="A1285" s="2">
        <v>45768</v>
      </c>
      <c r="B1285" t="s">
        <v>1940</v>
      </c>
      <c r="C1285" t="s">
        <v>1</v>
      </c>
      <c r="D1285" t="s">
        <v>3</v>
      </c>
      <c r="E1285">
        <v>1</v>
      </c>
      <c r="F1285" t="s">
        <v>4027</v>
      </c>
      <c r="G1285">
        <v>64</v>
      </c>
    </row>
    <row r="1286" spans="1:7" x14ac:dyDescent="0.2">
      <c r="A1286" s="2">
        <v>45768</v>
      </c>
      <c r="B1286" t="s">
        <v>1939</v>
      </c>
      <c r="C1286" t="s">
        <v>1</v>
      </c>
      <c r="D1286" t="s">
        <v>3</v>
      </c>
      <c r="E1286">
        <v>1</v>
      </c>
      <c r="F1286" t="s">
        <v>4027</v>
      </c>
      <c r="G1286">
        <v>75</v>
      </c>
    </row>
    <row r="1287" spans="1:7" x14ac:dyDescent="0.2">
      <c r="A1287" s="2">
        <v>45768</v>
      </c>
      <c r="B1287" t="s">
        <v>1938</v>
      </c>
      <c r="C1287" t="s">
        <v>1</v>
      </c>
      <c r="D1287" t="s">
        <v>3</v>
      </c>
      <c r="E1287">
        <v>1</v>
      </c>
      <c r="F1287" t="s">
        <v>4027</v>
      </c>
      <c r="G1287">
        <v>67</v>
      </c>
    </row>
    <row r="1288" spans="1:7" x14ac:dyDescent="0.2">
      <c r="A1288" s="2">
        <v>45769</v>
      </c>
      <c r="B1288" t="s">
        <v>1946</v>
      </c>
      <c r="C1288" t="s">
        <v>1</v>
      </c>
      <c r="D1288" t="s">
        <v>3</v>
      </c>
      <c r="E1288">
        <v>1</v>
      </c>
      <c r="F1288" t="s">
        <v>4027</v>
      </c>
      <c r="G1288">
        <v>73</v>
      </c>
    </row>
    <row r="1289" spans="1:7" x14ac:dyDescent="0.2">
      <c r="A1289" s="2">
        <v>45769</v>
      </c>
      <c r="B1289" t="s">
        <v>1944</v>
      </c>
      <c r="C1289" t="s">
        <v>1</v>
      </c>
      <c r="D1289" t="s">
        <v>3</v>
      </c>
      <c r="E1289">
        <v>1</v>
      </c>
      <c r="F1289" t="s">
        <v>4027</v>
      </c>
      <c r="G1289">
        <v>74</v>
      </c>
    </row>
    <row r="1290" spans="1:7" x14ac:dyDescent="0.2">
      <c r="A1290" s="2">
        <v>45769</v>
      </c>
      <c r="B1290" t="s">
        <v>1949</v>
      </c>
      <c r="C1290" t="s">
        <v>1</v>
      </c>
      <c r="D1290" t="s">
        <v>3</v>
      </c>
      <c r="E1290">
        <v>1</v>
      </c>
      <c r="F1290" t="s">
        <v>4027</v>
      </c>
      <c r="G1290">
        <v>67</v>
      </c>
    </row>
    <row r="1291" spans="1:7" x14ac:dyDescent="0.2">
      <c r="A1291" s="2">
        <v>45769</v>
      </c>
      <c r="B1291" t="s">
        <v>1947</v>
      </c>
      <c r="C1291" t="s">
        <v>1</v>
      </c>
      <c r="D1291" t="s">
        <v>3</v>
      </c>
      <c r="E1291">
        <v>1</v>
      </c>
      <c r="F1291" t="s">
        <v>4027</v>
      </c>
      <c r="G1291">
        <v>84</v>
      </c>
    </row>
    <row r="1292" spans="1:7" x14ac:dyDescent="0.2">
      <c r="A1292" s="2">
        <v>45769</v>
      </c>
      <c r="B1292" t="s">
        <v>1948</v>
      </c>
      <c r="C1292" t="s">
        <v>1</v>
      </c>
      <c r="D1292" t="s">
        <v>3</v>
      </c>
      <c r="E1292">
        <v>1</v>
      </c>
      <c r="F1292" t="s">
        <v>4027</v>
      </c>
      <c r="G1292">
        <v>80</v>
      </c>
    </row>
    <row r="1293" spans="1:7" x14ac:dyDescent="0.2">
      <c r="A1293" s="2">
        <v>45769</v>
      </c>
      <c r="B1293" t="s">
        <v>1945</v>
      </c>
      <c r="C1293" t="s">
        <v>1</v>
      </c>
      <c r="D1293" t="s">
        <v>3</v>
      </c>
      <c r="E1293">
        <v>1</v>
      </c>
      <c r="F1293" t="s">
        <v>4027</v>
      </c>
      <c r="G1293">
        <v>65</v>
      </c>
    </row>
    <row r="1294" spans="1:7" x14ac:dyDescent="0.2">
      <c r="A1294" s="2">
        <v>45769</v>
      </c>
      <c r="B1294" t="s">
        <v>1950</v>
      </c>
      <c r="C1294" t="s">
        <v>1</v>
      </c>
      <c r="D1294" t="s">
        <v>3</v>
      </c>
      <c r="E1294">
        <v>1</v>
      </c>
      <c r="F1294" t="s">
        <v>4027</v>
      </c>
      <c r="G1294">
        <v>76</v>
      </c>
    </row>
    <row r="1295" spans="1:7" x14ac:dyDescent="0.2">
      <c r="A1295" s="2">
        <v>45770</v>
      </c>
      <c r="B1295" t="s">
        <v>1955</v>
      </c>
      <c r="C1295" t="s">
        <v>1</v>
      </c>
      <c r="D1295" t="s">
        <v>3</v>
      </c>
      <c r="E1295">
        <v>1</v>
      </c>
      <c r="F1295" t="s">
        <v>4027</v>
      </c>
      <c r="G1295">
        <v>60</v>
      </c>
    </row>
    <row r="1296" spans="1:7" x14ac:dyDescent="0.2">
      <c r="A1296" s="2">
        <v>45770</v>
      </c>
      <c r="B1296" t="s">
        <v>1956</v>
      </c>
      <c r="C1296" t="s">
        <v>1</v>
      </c>
      <c r="D1296" t="s">
        <v>3</v>
      </c>
      <c r="E1296">
        <v>1</v>
      </c>
      <c r="F1296" t="s">
        <v>4027</v>
      </c>
      <c r="G1296">
        <v>63</v>
      </c>
    </row>
    <row r="1297" spans="1:7" x14ac:dyDescent="0.2">
      <c r="A1297" s="2">
        <v>45770</v>
      </c>
      <c r="B1297" t="s">
        <v>1951</v>
      </c>
      <c r="C1297" t="s">
        <v>1</v>
      </c>
      <c r="D1297" t="s">
        <v>3</v>
      </c>
      <c r="E1297">
        <v>1</v>
      </c>
      <c r="F1297" t="s">
        <v>4027</v>
      </c>
      <c r="G1297">
        <v>75</v>
      </c>
    </row>
    <row r="1298" spans="1:7" x14ac:dyDescent="0.2">
      <c r="A1298" s="2">
        <v>45770</v>
      </c>
      <c r="B1298" t="s">
        <v>1954</v>
      </c>
      <c r="C1298" t="s">
        <v>1</v>
      </c>
      <c r="D1298" t="s">
        <v>3</v>
      </c>
      <c r="E1298">
        <v>1</v>
      </c>
      <c r="F1298" t="s">
        <v>4027</v>
      </c>
      <c r="G1298">
        <v>88</v>
      </c>
    </row>
    <row r="1299" spans="1:7" x14ac:dyDescent="0.2">
      <c r="A1299" s="2">
        <v>45770</v>
      </c>
      <c r="B1299" t="s">
        <v>1952</v>
      </c>
      <c r="C1299" t="s">
        <v>1</v>
      </c>
      <c r="D1299" t="s">
        <v>3</v>
      </c>
      <c r="E1299">
        <v>1</v>
      </c>
      <c r="F1299" t="s">
        <v>4027</v>
      </c>
      <c r="G1299">
        <v>60</v>
      </c>
    </row>
    <row r="1300" spans="1:7" x14ac:dyDescent="0.2">
      <c r="A1300" s="2">
        <v>45770</v>
      </c>
      <c r="B1300" t="s">
        <v>1953</v>
      </c>
      <c r="C1300" t="s">
        <v>1</v>
      </c>
      <c r="D1300" t="s">
        <v>3</v>
      </c>
      <c r="E1300">
        <v>1</v>
      </c>
      <c r="F1300" t="s">
        <v>4027</v>
      </c>
      <c r="G1300">
        <v>72</v>
      </c>
    </row>
    <row r="1301" spans="1:7" x14ac:dyDescent="0.2">
      <c r="A1301" s="2">
        <v>45771</v>
      </c>
      <c r="B1301" t="s">
        <v>1962</v>
      </c>
      <c r="C1301" t="s">
        <v>1</v>
      </c>
      <c r="D1301" t="s">
        <v>3</v>
      </c>
      <c r="E1301">
        <v>1</v>
      </c>
      <c r="F1301" t="s">
        <v>4027</v>
      </c>
      <c r="G1301">
        <v>89</v>
      </c>
    </row>
    <row r="1302" spans="1:7" x14ac:dyDescent="0.2">
      <c r="A1302" s="2">
        <v>45771</v>
      </c>
      <c r="B1302" t="s">
        <v>1957</v>
      </c>
      <c r="C1302" t="s">
        <v>1</v>
      </c>
      <c r="D1302" t="s">
        <v>3</v>
      </c>
      <c r="E1302">
        <v>1</v>
      </c>
      <c r="F1302" t="s">
        <v>4027</v>
      </c>
      <c r="G1302">
        <v>86</v>
      </c>
    </row>
    <row r="1303" spans="1:7" x14ac:dyDescent="0.2">
      <c r="A1303" s="2">
        <v>45771</v>
      </c>
      <c r="B1303" t="s">
        <v>1958</v>
      </c>
      <c r="C1303" t="s">
        <v>1</v>
      </c>
      <c r="D1303" t="s">
        <v>3</v>
      </c>
      <c r="E1303">
        <v>1</v>
      </c>
      <c r="F1303" t="s">
        <v>4027</v>
      </c>
      <c r="G1303">
        <v>76</v>
      </c>
    </row>
    <row r="1304" spans="1:7" x14ac:dyDescent="0.2">
      <c r="A1304" s="2">
        <v>45771</v>
      </c>
      <c r="B1304" t="s">
        <v>1959</v>
      </c>
      <c r="C1304" t="s">
        <v>1</v>
      </c>
      <c r="D1304" t="s">
        <v>3</v>
      </c>
      <c r="E1304">
        <v>1</v>
      </c>
      <c r="F1304" t="s">
        <v>4027</v>
      </c>
      <c r="G1304">
        <v>87</v>
      </c>
    </row>
    <row r="1305" spans="1:7" x14ac:dyDescent="0.2">
      <c r="A1305" s="2">
        <v>45771</v>
      </c>
      <c r="B1305" t="s">
        <v>1960</v>
      </c>
      <c r="C1305" t="s">
        <v>1</v>
      </c>
      <c r="D1305" t="s">
        <v>3</v>
      </c>
      <c r="E1305">
        <v>1</v>
      </c>
      <c r="F1305" t="s">
        <v>4027</v>
      </c>
      <c r="G1305">
        <v>77</v>
      </c>
    </row>
    <row r="1306" spans="1:7" x14ac:dyDescent="0.2">
      <c r="A1306" s="2">
        <v>45771</v>
      </c>
      <c r="B1306" t="s">
        <v>1961</v>
      </c>
      <c r="C1306" t="s">
        <v>1</v>
      </c>
      <c r="D1306" t="s">
        <v>3</v>
      </c>
      <c r="E1306">
        <v>1</v>
      </c>
      <c r="F1306" t="s">
        <v>4027</v>
      </c>
      <c r="G1306">
        <v>81</v>
      </c>
    </row>
    <row r="1307" spans="1:7" x14ac:dyDescent="0.2">
      <c r="A1307" s="2">
        <v>45772</v>
      </c>
      <c r="B1307" t="s">
        <v>1155</v>
      </c>
      <c r="C1307" t="s">
        <v>2</v>
      </c>
      <c r="D1307" t="s">
        <v>4</v>
      </c>
      <c r="E1307">
        <v>1</v>
      </c>
      <c r="F1307" t="s">
        <v>600</v>
      </c>
      <c r="G1307">
        <v>22</v>
      </c>
    </row>
    <row r="1308" spans="1:7" x14ac:dyDescent="0.2">
      <c r="A1308" s="2">
        <v>45772</v>
      </c>
      <c r="B1308" t="s">
        <v>1139</v>
      </c>
      <c r="C1308" t="s">
        <v>2</v>
      </c>
      <c r="D1308" t="s">
        <v>4</v>
      </c>
      <c r="E1308">
        <v>1</v>
      </c>
      <c r="F1308" t="s">
        <v>600</v>
      </c>
      <c r="G1308">
        <v>22</v>
      </c>
    </row>
    <row r="1309" spans="1:7" x14ac:dyDescent="0.2">
      <c r="A1309" s="2">
        <v>45772</v>
      </c>
      <c r="B1309" t="s">
        <v>1973</v>
      </c>
      <c r="C1309" t="s">
        <v>1</v>
      </c>
      <c r="D1309" t="s">
        <v>3</v>
      </c>
      <c r="E1309">
        <v>1</v>
      </c>
      <c r="F1309" t="s">
        <v>4027</v>
      </c>
      <c r="G1309">
        <v>73</v>
      </c>
    </row>
    <row r="1310" spans="1:7" x14ac:dyDescent="0.2">
      <c r="A1310" s="2">
        <v>45772</v>
      </c>
      <c r="B1310" t="s">
        <v>1972</v>
      </c>
      <c r="C1310" t="s">
        <v>1</v>
      </c>
      <c r="D1310" t="s">
        <v>3</v>
      </c>
      <c r="E1310">
        <v>1</v>
      </c>
      <c r="F1310" t="s">
        <v>4027</v>
      </c>
      <c r="G1310">
        <v>71</v>
      </c>
    </row>
    <row r="1311" spans="1:7" x14ac:dyDescent="0.2">
      <c r="A1311" s="2">
        <v>45772</v>
      </c>
      <c r="B1311" t="s">
        <v>1964</v>
      </c>
      <c r="C1311" t="s">
        <v>1</v>
      </c>
      <c r="D1311" t="s">
        <v>3</v>
      </c>
      <c r="E1311">
        <v>1</v>
      </c>
      <c r="F1311" t="s">
        <v>4027</v>
      </c>
      <c r="G1311">
        <v>61</v>
      </c>
    </row>
    <row r="1312" spans="1:7" x14ac:dyDescent="0.2">
      <c r="A1312" s="2">
        <v>45772</v>
      </c>
      <c r="B1312" t="s">
        <v>1965</v>
      </c>
      <c r="C1312" t="s">
        <v>1</v>
      </c>
      <c r="D1312" t="s">
        <v>3</v>
      </c>
      <c r="E1312">
        <v>1</v>
      </c>
      <c r="F1312" t="s">
        <v>4027</v>
      </c>
      <c r="G1312">
        <v>78</v>
      </c>
    </row>
    <row r="1313" spans="1:7" x14ac:dyDescent="0.2">
      <c r="A1313" s="2">
        <v>45772</v>
      </c>
      <c r="B1313" t="s">
        <v>1966</v>
      </c>
      <c r="C1313" t="s">
        <v>1</v>
      </c>
      <c r="D1313" t="s">
        <v>3</v>
      </c>
      <c r="E1313">
        <v>1</v>
      </c>
      <c r="F1313" t="s">
        <v>4027</v>
      </c>
      <c r="G1313">
        <v>61</v>
      </c>
    </row>
    <row r="1314" spans="1:7" x14ac:dyDescent="0.2">
      <c r="A1314" s="2">
        <v>45772</v>
      </c>
      <c r="B1314" t="s">
        <v>1135</v>
      </c>
      <c r="C1314" t="s">
        <v>2</v>
      </c>
      <c r="D1314" t="s">
        <v>4</v>
      </c>
      <c r="E1314">
        <v>1</v>
      </c>
      <c r="F1314" t="s">
        <v>600</v>
      </c>
      <c r="G1314">
        <v>22</v>
      </c>
    </row>
    <row r="1315" spans="1:7" x14ac:dyDescent="0.2">
      <c r="A1315" s="2">
        <v>45772</v>
      </c>
      <c r="B1315" t="s">
        <v>1968</v>
      </c>
      <c r="C1315" t="s">
        <v>1</v>
      </c>
      <c r="D1315" t="s">
        <v>3</v>
      </c>
      <c r="E1315">
        <v>1</v>
      </c>
      <c r="F1315" t="s">
        <v>4027</v>
      </c>
      <c r="G1315">
        <v>77</v>
      </c>
    </row>
    <row r="1316" spans="1:7" x14ac:dyDescent="0.2">
      <c r="A1316" s="2">
        <v>45772</v>
      </c>
      <c r="B1316" t="s">
        <v>1969</v>
      </c>
      <c r="C1316" t="s">
        <v>1</v>
      </c>
      <c r="D1316" t="s">
        <v>3</v>
      </c>
      <c r="E1316">
        <v>1</v>
      </c>
      <c r="F1316" t="s">
        <v>4027</v>
      </c>
      <c r="G1316">
        <v>89</v>
      </c>
    </row>
    <row r="1317" spans="1:7" x14ac:dyDescent="0.2">
      <c r="A1317" s="2">
        <v>45772</v>
      </c>
      <c r="B1317" t="s">
        <v>1970</v>
      </c>
      <c r="C1317" t="s">
        <v>1</v>
      </c>
      <c r="D1317" t="s">
        <v>3</v>
      </c>
      <c r="E1317">
        <v>1</v>
      </c>
      <c r="F1317" t="s">
        <v>4027</v>
      </c>
      <c r="G1317">
        <v>79</v>
      </c>
    </row>
    <row r="1318" spans="1:7" x14ac:dyDescent="0.2">
      <c r="A1318" s="2">
        <v>45772</v>
      </c>
      <c r="B1318" t="s">
        <v>1971</v>
      </c>
      <c r="C1318" t="s">
        <v>1</v>
      </c>
      <c r="D1318" t="s">
        <v>3</v>
      </c>
      <c r="E1318">
        <v>1</v>
      </c>
      <c r="F1318" t="s">
        <v>4027</v>
      </c>
      <c r="G1318">
        <v>77</v>
      </c>
    </row>
    <row r="1319" spans="1:7" x14ac:dyDescent="0.2">
      <c r="A1319" s="2">
        <v>45772</v>
      </c>
      <c r="B1319" t="s">
        <v>1963</v>
      </c>
      <c r="C1319" t="s">
        <v>1</v>
      </c>
      <c r="D1319" t="s">
        <v>3</v>
      </c>
      <c r="E1319">
        <v>1</v>
      </c>
      <c r="F1319" t="s">
        <v>4027</v>
      </c>
      <c r="G1319">
        <v>69</v>
      </c>
    </row>
    <row r="1320" spans="1:7" x14ac:dyDescent="0.2">
      <c r="A1320" s="2">
        <v>45772</v>
      </c>
      <c r="B1320" t="s">
        <v>1967</v>
      </c>
      <c r="C1320" t="s">
        <v>1</v>
      </c>
      <c r="D1320" t="s">
        <v>3</v>
      </c>
      <c r="E1320">
        <v>1</v>
      </c>
      <c r="F1320" t="s">
        <v>4027</v>
      </c>
      <c r="G1320">
        <v>60</v>
      </c>
    </row>
    <row r="1321" spans="1:7" x14ac:dyDescent="0.2">
      <c r="A1321" s="2">
        <v>45775</v>
      </c>
      <c r="B1321" t="s">
        <v>1980</v>
      </c>
      <c r="C1321" t="s">
        <v>1</v>
      </c>
      <c r="D1321" t="s">
        <v>3</v>
      </c>
      <c r="E1321">
        <v>1</v>
      </c>
      <c r="F1321" t="s">
        <v>4027</v>
      </c>
      <c r="G1321">
        <v>84</v>
      </c>
    </row>
    <row r="1322" spans="1:7" x14ac:dyDescent="0.2">
      <c r="A1322" s="2">
        <v>45775</v>
      </c>
      <c r="B1322" t="s">
        <v>1974</v>
      </c>
      <c r="C1322" t="s">
        <v>1</v>
      </c>
      <c r="D1322" t="s">
        <v>3</v>
      </c>
      <c r="E1322">
        <v>1</v>
      </c>
      <c r="F1322" t="s">
        <v>4027</v>
      </c>
      <c r="G1322">
        <v>80</v>
      </c>
    </row>
    <row r="1323" spans="1:7" x14ac:dyDescent="0.2">
      <c r="A1323" s="2">
        <v>45775</v>
      </c>
      <c r="B1323" t="s">
        <v>1975</v>
      </c>
      <c r="C1323" t="s">
        <v>1</v>
      </c>
      <c r="D1323" t="s">
        <v>3</v>
      </c>
      <c r="E1323">
        <v>1</v>
      </c>
      <c r="F1323" t="s">
        <v>4027</v>
      </c>
      <c r="G1323">
        <v>62</v>
      </c>
    </row>
    <row r="1324" spans="1:7" x14ac:dyDescent="0.2">
      <c r="A1324" s="2">
        <v>45775</v>
      </c>
      <c r="B1324" t="s">
        <v>1976</v>
      </c>
      <c r="C1324" t="s">
        <v>1</v>
      </c>
      <c r="D1324" t="s">
        <v>3</v>
      </c>
      <c r="E1324">
        <v>1</v>
      </c>
      <c r="F1324" t="s">
        <v>4027</v>
      </c>
      <c r="G1324">
        <v>67</v>
      </c>
    </row>
    <row r="1325" spans="1:7" x14ac:dyDescent="0.2">
      <c r="A1325" s="2">
        <v>45775</v>
      </c>
      <c r="B1325" t="s">
        <v>1977</v>
      </c>
      <c r="C1325" t="s">
        <v>1</v>
      </c>
      <c r="D1325" t="s">
        <v>3</v>
      </c>
      <c r="E1325">
        <v>1</v>
      </c>
      <c r="F1325" t="s">
        <v>4027</v>
      </c>
      <c r="G1325">
        <v>63</v>
      </c>
    </row>
    <row r="1326" spans="1:7" x14ac:dyDescent="0.2">
      <c r="A1326" s="2">
        <v>45775</v>
      </c>
      <c r="B1326" t="s">
        <v>1979</v>
      </c>
      <c r="C1326" t="s">
        <v>1</v>
      </c>
      <c r="D1326" t="s">
        <v>3</v>
      </c>
      <c r="E1326">
        <v>1</v>
      </c>
      <c r="F1326" t="s">
        <v>4027</v>
      </c>
      <c r="G1326">
        <v>62</v>
      </c>
    </row>
    <row r="1327" spans="1:7" x14ac:dyDescent="0.2">
      <c r="A1327" s="2">
        <v>45775</v>
      </c>
      <c r="B1327" t="s">
        <v>1978</v>
      </c>
      <c r="C1327" t="s">
        <v>1</v>
      </c>
      <c r="D1327" t="s">
        <v>3</v>
      </c>
      <c r="E1327">
        <v>1</v>
      </c>
      <c r="F1327" t="s">
        <v>4027</v>
      </c>
      <c r="G1327">
        <v>71</v>
      </c>
    </row>
    <row r="1328" spans="1:7" x14ac:dyDescent="0.2">
      <c r="A1328" s="2">
        <v>45775</v>
      </c>
      <c r="B1328" t="s">
        <v>1981</v>
      </c>
      <c r="C1328" t="s">
        <v>1</v>
      </c>
      <c r="D1328" t="s">
        <v>3</v>
      </c>
      <c r="E1328">
        <v>1</v>
      </c>
      <c r="F1328" t="s">
        <v>4027</v>
      </c>
      <c r="G1328">
        <v>80</v>
      </c>
    </row>
    <row r="1329" spans="1:7" x14ac:dyDescent="0.2">
      <c r="A1329" s="2">
        <v>45775</v>
      </c>
      <c r="B1329" t="s">
        <v>1982</v>
      </c>
      <c r="C1329" t="s">
        <v>1</v>
      </c>
      <c r="D1329" t="s">
        <v>3</v>
      </c>
      <c r="E1329">
        <v>1</v>
      </c>
      <c r="F1329" t="s">
        <v>4027</v>
      </c>
      <c r="G1329">
        <v>80</v>
      </c>
    </row>
    <row r="1330" spans="1:7" x14ac:dyDescent="0.2">
      <c r="A1330" s="2">
        <v>45775</v>
      </c>
      <c r="B1330" t="s">
        <v>1983</v>
      </c>
      <c r="C1330" t="s">
        <v>1</v>
      </c>
      <c r="D1330" t="s">
        <v>3</v>
      </c>
      <c r="E1330">
        <v>1</v>
      </c>
      <c r="F1330" t="s">
        <v>4027</v>
      </c>
      <c r="G1330">
        <v>60</v>
      </c>
    </row>
    <row r="1331" spans="1:7" x14ac:dyDescent="0.2">
      <c r="A1331" s="2">
        <v>45775</v>
      </c>
      <c r="B1331" t="s">
        <v>1984</v>
      </c>
      <c r="C1331" t="s">
        <v>1</v>
      </c>
      <c r="D1331" t="s">
        <v>3</v>
      </c>
      <c r="E1331">
        <v>1</v>
      </c>
      <c r="F1331" t="s">
        <v>4027</v>
      </c>
      <c r="G1331">
        <v>60</v>
      </c>
    </row>
    <row r="1332" spans="1:7" x14ac:dyDescent="0.2">
      <c r="A1332" s="2">
        <v>45776</v>
      </c>
      <c r="B1332" t="s">
        <v>1989</v>
      </c>
      <c r="C1332" t="s">
        <v>1</v>
      </c>
      <c r="D1332" t="s">
        <v>3</v>
      </c>
      <c r="E1332">
        <v>1</v>
      </c>
      <c r="F1332" t="s">
        <v>4027</v>
      </c>
      <c r="G1332">
        <v>63</v>
      </c>
    </row>
    <row r="1333" spans="1:7" x14ac:dyDescent="0.2">
      <c r="A1333" s="2">
        <v>45776</v>
      </c>
      <c r="B1333" t="s">
        <v>1988</v>
      </c>
      <c r="C1333" t="s">
        <v>1</v>
      </c>
      <c r="D1333" t="s">
        <v>3</v>
      </c>
      <c r="E1333">
        <v>1</v>
      </c>
      <c r="F1333" t="s">
        <v>4027</v>
      </c>
      <c r="G1333">
        <v>75</v>
      </c>
    </row>
    <row r="1334" spans="1:7" x14ac:dyDescent="0.2">
      <c r="A1334" s="2">
        <v>45776</v>
      </c>
      <c r="B1334" t="s">
        <v>1987</v>
      </c>
      <c r="C1334" t="s">
        <v>1</v>
      </c>
      <c r="D1334" t="s">
        <v>3</v>
      </c>
      <c r="E1334">
        <v>1</v>
      </c>
      <c r="F1334" t="s">
        <v>4027</v>
      </c>
      <c r="G1334">
        <v>77</v>
      </c>
    </row>
    <row r="1335" spans="1:7" x14ac:dyDescent="0.2">
      <c r="A1335" s="2">
        <v>45776</v>
      </c>
      <c r="B1335" t="s">
        <v>1985</v>
      </c>
      <c r="C1335" t="s">
        <v>1</v>
      </c>
      <c r="D1335" t="s">
        <v>3</v>
      </c>
      <c r="E1335">
        <v>1</v>
      </c>
      <c r="F1335" t="s">
        <v>4027</v>
      </c>
      <c r="G1335">
        <v>62</v>
      </c>
    </row>
    <row r="1336" spans="1:7" x14ac:dyDescent="0.2">
      <c r="A1336" s="2">
        <v>45776</v>
      </c>
      <c r="B1336" t="s">
        <v>1986</v>
      </c>
      <c r="C1336" t="s">
        <v>1</v>
      </c>
      <c r="D1336" t="s">
        <v>3</v>
      </c>
      <c r="E1336">
        <v>1</v>
      </c>
      <c r="F1336" t="s">
        <v>4027</v>
      </c>
      <c r="G1336">
        <v>69</v>
      </c>
    </row>
    <row r="1337" spans="1:7" x14ac:dyDescent="0.2">
      <c r="A1337" s="2">
        <v>45776</v>
      </c>
      <c r="B1337" t="s">
        <v>1171</v>
      </c>
      <c r="C1337" t="s">
        <v>2</v>
      </c>
      <c r="D1337" t="s">
        <v>4</v>
      </c>
      <c r="E1337">
        <v>1</v>
      </c>
      <c r="F1337" t="s">
        <v>600</v>
      </c>
      <c r="G1337">
        <v>22</v>
      </c>
    </row>
    <row r="1338" spans="1:7" x14ac:dyDescent="0.2">
      <c r="A1338" s="2">
        <v>45776</v>
      </c>
      <c r="B1338" t="s">
        <v>1169</v>
      </c>
      <c r="C1338" t="s">
        <v>2</v>
      </c>
      <c r="D1338" t="s">
        <v>4</v>
      </c>
      <c r="E1338">
        <v>1</v>
      </c>
      <c r="F1338" t="s">
        <v>600</v>
      </c>
      <c r="G1338">
        <v>22</v>
      </c>
    </row>
    <row r="1339" spans="1:7" x14ac:dyDescent="0.2">
      <c r="A1339" s="2">
        <v>45776</v>
      </c>
      <c r="B1339" t="s">
        <v>1158</v>
      </c>
      <c r="C1339" t="s">
        <v>2</v>
      </c>
      <c r="D1339" t="s">
        <v>4</v>
      </c>
      <c r="E1339">
        <v>1</v>
      </c>
      <c r="F1339" t="s">
        <v>600</v>
      </c>
      <c r="G1339">
        <v>22</v>
      </c>
    </row>
    <row r="1340" spans="1:7" x14ac:dyDescent="0.2">
      <c r="A1340" s="2">
        <v>45776</v>
      </c>
      <c r="B1340" t="s">
        <v>1174</v>
      </c>
      <c r="C1340" t="s">
        <v>2</v>
      </c>
      <c r="D1340" t="s">
        <v>4</v>
      </c>
      <c r="E1340">
        <v>1</v>
      </c>
      <c r="F1340" t="s">
        <v>600</v>
      </c>
      <c r="G1340">
        <v>22</v>
      </c>
    </row>
    <row r="1341" spans="1:7" x14ac:dyDescent="0.2">
      <c r="A1341" s="2">
        <v>45777</v>
      </c>
      <c r="B1341" t="s">
        <v>1990</v>
      </c>
      <c r="C1341" t="s">
        <v>1</v>
      </c>
      <c r="D1341" t="s">
        <v>3</v>
      </c>
      <c r="E1341">
        <v>1</v>
      </c>
      <c r="F1341" t="s">
        <v>4027</v>
      </c>
      <c r="G1341">
        <v>67</v>
      </c>
    </row>
    <row r="1342" spans="1:7" x14ac:dyDescent="0.2">
      <c r="A1342" s="2">
        <v>45777</v>
      </c>
      <c r="B1342" t="s">
        <v>1991</v>
      </c>
      <c r="C1342" t="s">
        <v>1</v>
      </c>
      <c r="D1342" t="s">
        <v>3</v>
      </c>
      <c r="E1342">
        <v>1</v>
      </c>
      <c r="F1342" t="s">
        <v>4027</v>
      </c>
      <c r="G1342">
        <v>74</v>
      </c>
    </row>
    <row r="1343" spans="1:7" x14ac:dyDescent="0.2">
      <c r="A1343" s="2">
        <v>45777</v>
      </c>
      <c r="B1343" t="s">
        <v>1992</v>
      </c>
      <c r="C1343" t="s">
        <v>1</v>
      </c>
      <c r="D1343" t="s">
        <v>3</v>
      </c>
      <c r="E1343">
        <v>1</v>
      </c>
      <c r="F1343" t="s">
        <v>4027</v>
      </c>
      <c r="G1343">
        <v>72</v>
      </c>
    </row>
    <row r="1344" spans="1:7" x14ac:dyDescent="0.2">
      <c r="A1344" s="2">
        <v>45777</v>
      </c>
      <c r="B1344" t="s">
        <v>1993</v>
      </c>
      <c r="C1344" t="s">
        <v>1</v>
      </c>
      <c r="D1344" t="s">
        <v>3</v>
      </c>
      <c r="E1344">
        <v>1</v>
      </c>
      <c r="F1344" t="s">
        <v>4027</v>
      </c>
      <c r="G1344">
        <v>64</v>
      </c>
    </row>
    <row r="1345" spans="1:7" x14ac:dyDescent="0.2">
      <c r="A1345" s="2">
        <v>45777</v>
      </c>
      <c r="B1345" t="s">
        <v>1994</v>
      </c>
      <c r="C1345" t="s">
        <v>1</v>
      </c>
      <c r="D1345" t="s">
        <v>3</v>
      </c>
      <c r="E1345">
        <v>1</v>
      </c>
      <c r="F1345" t="s">
        <v>4027</v>
      </c>
      <c r="G1345">
        <v>76</v>
      </c>
    </row>
    <row r="1346" spans="1:7" x14ac:dyDescent="0.2">
      <c r="A1346" s="2">
        <v>45777</v>
      </c>
      <c r="B1346" t="s">
        <v>1995</v>
      </c>
      <c r="C1346" t="s">
        <v>1</v>
      </c>
      <c r="D1346" t="s">
        <v>3</v>
      </c>
      <c r="E1346">
        <v>1</v>
      </c>
      <c r="F1346" t="s">
        <v>4027</v>
      </c>
      <c r="G1346">
        <v>72</v>
      </c>
    </row>
    <row r="1347" spans="1:7" x14ac:dyDescent="0.2">
      <c r="A1347" s="2">
        <v>45778</v>
      </c>
      <c r="B1347" t="s">
        <v>1996</v>
      </c>
      <c r="C1347" t="s">
        <v>1</v>
      </c>
      <c r="D1347" t="s">
        <v>3</v>
      </c>
      <c r="E1347">
        <v>1</v>
      </c>
      <c r="F1347" t="s">
        <v>4027</v>
      </c>
      <c r="G1347">
        <v>63</v>
      </c>
    </row>
    <row r="1348" spans="1:7" x14ac:dyDescent="0.2">
      <c r="A1348" s="2">
        <v>45778</v>
      </c>
      <c r="B1348" t="s">
        <v>1997</v>
      </c>
      <c r="C1348" t="s">
        <v>1</v>
      </c>
      <c r="D1348" t="s">
        <v>3</v>
      </c>
      <c r="E1348">
        <v>1</v>
      </c>
      <c r="F1348" t="s">
        <v>4027</v>
      </c>
      <c r="G1348">
        <v>62</v>
      </c>
    </row>
    <row r="1349" spans="1:7" x14ac:dyDescent="0.2">
      <c r="A1349" s="2">
        <v>45780</v>
      </c>
      <c r="B1349" t="s">
        <v>2003</v>
      </c>
      <c r="C1349" t="s">
        <v>1</v>
      </c>
      <c r="D1349" t="s">
        <v>3</v>
      </c>
      <c r="E1349">
        <v>1</v>
      </c>
      <c r="F1349" t="s">
        <v>4027</v>
      </c>
      <c r="G1349">
        <v>61</v>
      </c>
    </row>
    <row r="1350" spans="1:7" x14ac:dyDescent="0.2">
      <c r="A1350" s="2">
        <v>45780</v>
      </c>
      <c r="B1350" t="s">
        <v>2005</v>
      </c>
      <c r="C1350" t="s">
        <v>1</v>
      </c>
      <c r="D1350" t="s">
        <v>3</v>
      </c>
      <c r="E1350">
        <v>1</v>
      </c>
      <c r="F1350" t="s">
        <v>4027</v>
      </c>
      <c r="G1350">
        <v>63</v>
      </c>
    </row>
    <row r="1351" spans="1:7" x14ac:dyDescent="0.2">
      <c r="A1351" s="2">
        <v>45780</v>
      </c>
      <c r="B1351" t="s">
        <v>2004</v>
      </c>
      <c r="C1351" t="s">
        <v>1</v>
      </c>
      <c r="D1351" t="s">
        <v>3</v>
      </c>
      <c r="E1351">
        <v>1</v>
      </c>
      <c r="F1351" t="s">
        <v>4027</v>
      </c>
      <c r="G1351">
        <v>68</v>
      </c>
    </row>
    <row r="1352" spans="1:7" x14ac:dyDescent="0.2">
      <c r="A1352" s="2">
        <v>45780</v>
      </c>
      <c r="B1352" t="s">
        <v>2002</v>
      </c>
      <c r="C1352" t="s">
        <v>1</v>
      </c>
      <c r="D1352" t="s">
        <v>3</v>
      </c>
      <c r="E1352">
        <v>1</v>
      </c>
      <c r="F1352" t="s">
        <v>4027</v>
      </c>
      <c r="G1352">
        <v>65</v>
      </c>
    </row>
    <row r="1353" spans="1:7" x14ac:dyDescent="0.2">
      <c r="A1353" s="2">
        <v>45780</v>
      </c>
      <c r="B1353" t="s">
        <v>1998</v>
      </c>
      <c r="C1353" t="s">
        <v>1</v>
      </c>
      <c r="D1353" t="s">
        <v>3</v>
      </c>
      <c r="E1353">
        <v>1</v>
      </c>
      <c r="F1353" t="s">
        <v>4027</v>
      </c>
      <c r="G1353">
        <v>82</v>
      </c>
    </row>
    <row r="1354" spans="1:7" x14ac:dyDescent="0.2">
      <c r="A1354" s="2">
        <v>45780</v>
      </c>
      <c r="B1354" t="s">
        <v>2000</v>
      </c>
      <c r="C1354" t="s">
        <v>1</v>
      </c>
      <c r="D1354" t="s">
        <v>3</v>
      </c>
      <c r="E1354">
        <v>1</v>
      </c>
      <c r="F1354" t="s">
        <v>4027</v>
      </c>
      <c r="G1354">
        <v>72</v>
      </c>
    </row>
    <row r="1355" spans="1:7" x14ac:dyDescent="0.2">
      <c r="A1355" s="2">
        <v>45780</v>
      </c>
      <c r="B1355" t="s">
        <v>1999</v>
      </c>
      <c r="C1355" t="s">
        <v>1</v>
      </c>
      <c r="D1355" t="s">
        <v>3</v>
      </c>
      <c r="E1355">
        <v>1</v>
      </c>
      <c r="F1355" t="s">
        <v>4027</v>
      </c>
      <c r="G1355">
        <v>80</v>
      </c>
    </row>
    <row r="1356" spans="1:7" x14ac:dyDescent="0.2">
      <c r="A1356" s="2">
        <v>45780</v>
      </c>
      <c r="B1356" t="s">
        <v>1179</v>
      </c>
      <c r="C1356" t="s">
        <v>2</v>
      </c>
      <c r="D1356" t="s">
        <v>4</v>
      </c>
      <c r="E1356">
        <v>1</v>
      </c>
      <c r="F1356" t="s">
        <v>600</v>
      </c>
      <c r="G1356">
        <v>22</v>
      </c>
    </row>
    <row r="1357" spans="1:7" x14ac:dyDescent="0.2">
      <c r="A1357" s="2">
        <v>45780</v>
      </c>
      <c r="B1357" t="s">
        <v>1181</v>
      </c>
      <c r="C1357" t="s">
        <v>2</v>
      </c>
      <c r="D1357" t="s">
        <v>4</v>
      </c>
      <c r="E1357">
        <v>1</v>
      </c>
      <c r="F1357" t="s">
        <v>600</v>
      </c>
      <c r="G1357">
        <v>22</v>
      </c>
    </row>
    <row r="1358" spans="1:7" x14ac:dyDescent="0.2">
      <c r="A1358" s="2">
        <v>45780</v>
      </c>
      <c r="B1358" t="s">
        <v>2001</v>
      </c>
      <c r="C1358" t="s">
        <v>1</v>
      </c>
      <c r="D1358" t="s">
        <v>3</v>
      </c>
      <c r="E1358">
        <v>1</v>
      </c>
      <c r="F1358" t="s">
        <v>4027</v>
      </c>
      <c r="G1358">
        <v>83</v>
      </c>
    </row>
    <row r="1359" spans="1:7" x14ac:dyDescent="0.2">
      <c r="A1359" s="2">
        <v>45782</v>
      </c>
      <c r="B1359" t="s">
        <v>2015</v>
      </c>
      <c r="C1359" t="s">
        <v>1</v>
      </c>
      <c r="D1359" t="s">
        <v>3</v>
      </c>
      <c r="E1359">
        <v>1</v>
      </c>
      <c r="F1359" t="s">
        <v>4027</v>
      </c>
      <c r="G1359">
        <v>74</v>
      </c>
    </row>
    <row r="1360" spans="1:7" x14ac:dyDescent="0.2">
      <c r="A1360" s="2">
        <v>45782</v>
      </c>
      <c r="B1360" t="s">
        <v>2013</v>
      </c>
      <c r="C1360" t="s">
        <v>1</v>
      </c>
      <c r="D1360" t="s">
        <v>3</v>
      </c>
      <c r="E1360">
        <v>1</v>
      </c>
      <c r="F1360" t="s">
        <v>4027</v>
      </c>
      <c r="G1360">
        <v>61</v>
      </c>
    </row>
    <row r="1361" spans="1:7" x14ac:dyDescent="0.2">
      <c r="A1361" s="2">
        <v>45782</v>
      </c>
      <c r="B1361" t="s">
        <v>2012</v>
      </c>
      <c r="C1361" t="s">
        <v>1</v>
      </c>
      <c r="D1361" t="s">
        <v>3</v>
      </c>
      <c r="E1361">
        <v>1</v>
      </c>
      <c r="F1361" t="s">
        <v>4027</v>
      </c>
      <c r="G1361">
        <v>77</v>
      </c>
    </row>
    <row r="1362" spans="1:7" x14ac:dyDescent="0.2">
      <c r="A1362" s="2">
        <v>45782</v>
      </c>
      <c r="B1362" t="s">
        <v>2014</v>
      </c>
      <c r="C1362" t="s">
        <v>1</v>
      </c>
      <c r="D1362" t="s">
        <v>3</v>
      </c>
      <c r="E1362">
        <v>1</v>
      </c>
      <c r="F1362" t="s">
        <v>4027</v>
      </c>
      <c r="G1362">
        <v>63</v>
      </c>
    </row>
    <row r="1363" spans="1:7" x14ac:dyDescent="0.2">
      <c r="A1363" s="2">
        <v>45782</v>
      </c>
      <c r="B1363" t="s">
        <v>2010</v>
      </c>
      <c r="C1363" t="s">
        <v>1</v>
      </c>
      <c r="D1363" t="s">
        <v>3</v>
      </c>
      <c r="E1363">
        <v>1</v>
      </c>
      <c r="F1363" t="s">
        <v>4027</v>
      </c>
      <c r="G1363">
        <v>60</v>
      </c>
    </row>
    <row r="1364" spans="1:7" x14ac:dyDescent="0.2">
      <c r="A1364" s="2">
        <v>45782</v>
      </c>
      <c r="B1364" t="s">
        <v>2009</v>
      </c>
      <c r="C1364" t="s">
        <v>1</v>
      </c>
      <c r="D1364" t="s">
        <v>3</v>
      </c>
      <c r="E1364">
        <v>1</v>
      </c>
      <c r="F1364" t="s">
        <v>4027</v>
      </c>
      <c r="G1364">
        <v>89</v>
      </c>
    </row>
    <row r="1365" spans="1:7" x14ac:dyDescent="0.2">
      <c r="A1365" s="2">
        <v>45782</v>
      </c>
      <c r="B1365" t="s">
        <v>2008</v>
      </c>
      <c r="C1365" t="s">
        <v>1</v>
      </c>
      <c r="D1365" t="s">
        <v>3</v>
      </c>
      <c r="E1365">
        <v>1</v>
      </c>
      <c r="F1365" t="s">
        <v>4027</v>
      </c>
      <c r="G1365">
        <v>71</v>
      </c>
    </row>
    <row r="1366" spans="1:7" x14ac:dyDescent="0.2">
      <c r="A1366" s="2">
        <v>45782</v>
      </c>
      <c r="B1366" t="s">
        <v>2007</v>
      </c>
      <c r="C1366" t="s">
        <v>1</v>
      </c>
      <c r="D1366" t="s">
        <v>3</v>
      </c>
      <c r="E1366">
        <v>1</v>
      </c>
      <c r="F1366" t="s">
        <v>4027</v>
      </c>
      <c r="G1366">
        <v>89</v>
      </c>
    </row>
    <row r="1367" spans="1:7" x14ac:dyDescent="0.2">
      <c r="A1367" s="2">
        <v>45782</v>
      </c>
      <c r="B1367" t="s">
        <v>2006</v>
      </c>
      <c r="C1367" t="s">
        <v>1</v>
      </c>
      <c r="D1367" t="s">
        <v>3</v>
      </c>
      <c r="E1367">
        <v>1</v>
      </c>
      <c r="F1367" t="s">
        <v>4027</v>
      </c>
      <c r="G1367">
        <v>70</v>
      </c>
    </row>
    <row r="1368" spans="1:7" x14ac:dyDescent="0.2">
      <c r="A1368" s="2">
        <v>45782</v>
      </c>
      <c r="B1368" t="s">
        <v>2011</v>
      </c>
      <c r="C1368" t="s">
        <v>1</v>
      </c>
      <c r="D1368" t="s">
        <v>3</v>
      </c>
      <c r="E1368">
        <v>1</v>
      </c>
      <c r="F1368" t="s">
        <v>4027</v>
      </c>
      <c r="G1368">
        <v>67</v>
      </c>
    </row>
    <row r="1369" spans="1:7" x14ac:dyDescent="0.2">
      <c r="A1369" s="2">
        <v>45783</v>
      </c>
      <c r="B1369" t="s">
        <v>2016</v>
      </c>
      <c r="C1369" t="s">
        <v>1</v>
      </c>
      <c r="D1369" t="s">
        <v>3</v>
      </c>
      <c r="E1369">
        <v>1</v>
      </c>
      <c r="F1369" t="s">
        <v>4027</v>
      </c>
      <c r="G1369">
        <v>61</v>
      </c>
    </row>
    <row r="1370" spans="1:7" x14ac:dyDescent="0.2">
      <c r="A1370" s="2">
        <v>45783</v>
      </c>
      <c r="B1370" t="s">
        <v>2020</v>
      </c>
      <c r="C1370" t="s">
        <v>1</v>
      </c>
      <c r="D1370" t="s">
        <v>3</v>
      </c>
      <c r="E1370">
        <v>1</v>
      </c>
      <c r="F1370" t="s">
        <v>4027</v>
      </c>
      <c r="G1370">
        <v>87</v>
      </c>
    </row>
    <row r="1371" spans="1:7" x14ac:dyDescent="0.2">
      <c r="A1371" s="2">
        <v>45783</v>
      </c>
      <c r="B1371" t="s">
        <v>2017</v>
      </c>
      <c r="C1371" t="s">
        <v>1</v>
      </c>
      <c r="D1371" t="s">
        <v>3</v>
      </c>
      <c r="E1371">
        <v>1</v>
      </c>
      <c r="F1371" t="s">
        <v>4027</v>
      </c>
      <c r="G1371">
        <v>68</v>
      </c>
    </row>
    <row r="1372" spans="1:7" x14ac:dyDescent="0.2">
      <c r="A1372" s="2">
        <v>45783</v>
      </c>
      <c r="B1372" t="s">
        <v>2018</v>
      </c>
      <c r="C1372" t="s">
        <v>1</v>
      </c>
      <c r="D1372" t="s">
        <v>3</v>
      </c>
      <c r="E1372">
        <v>1</v>
      </c>
      <c r="F1372" t="s">
        <v>4027</v>
      </c>
      <c r="G1372">
        <v>68</v>
      </c>
    </row>
    <row r="1373" spans="1:7" x14ac:dyDescent="0.2">
      <c r="A1373" s="2">
        <v>45783</v>
      </c>
      <c r="B1373" t="s">
        <v>2023</v>
      </c>
      <c r="C1373" t="s">
        <v>1</v>
      </c>
      <c r="D1373" t="s">
        <v>3</v>
      </c>
      <c r="E1373">
        <v>1</v>
      </c>
      <c r="F1373" t="s">
        <v>4027</v>
      </c>
      <c r="G1373">
        <v>84</v>
      </c>
    </row>
    <row r="1374" spans="1:7" x14ac:dyDescent="0.2">
      <c r="A1374" s="2">
        <v>45783</v>
      </c>
      <c r="B1374" t="s">
        <v>2022</v>
      </c>
      <c r="C1374" t="s">
        <v>1</v>
      </c>
      <c r="D1374" t="s">
        <v>3</v>
      </c>
      <c r="E1374">
        <v>1</v>
      </c>
      <c r="F1374" t="s">
        <v>4027</v>
      </c>
      <c r="G1374">
        <v>73</v>
      </c>
    </row>
    <row r="1375" spans="1:7" x14ac:dyDescent="0.2">
      <c r="A1375" s="2">
        <v>45783</v>
      </c>
      <c r="B1375" t="s">
        <v>2021</v>
      </c>
      <c r="C1375" t="s">
        <v>1</v>
      </c>
      <c r="D1375" t="s">
        <v>3</v>
      </c>
      <c r="E1375">
        <v>1</v>
      </c>
      <c r="F1375" t="s">
        <v>4027</v>
      </c>
      <c r="G1375">
        <v>73</v>
      </c>
    </row>
    <row r="1376" spans="1:7" x14ac:dyDescent="0.2">
      <c r="A1376" s="2">
        <v>45783</v>
      </c>
      <c r="B1376" t="s">
        <v>2019</v>
      </c>
      <c r="C1376" t="s">
        <v>1</v>
      </c>
      <c r="D1376" t="s">
        <v>3</v>
      </c>
      <c r="E1376">
        <v>1</v>
      </c>
      <c r="F1376" t="s">
        <v>4027</v>
      </c>
      <c r="G1376">
        <v>87</v>
      </c>
    </row>
    <row r="1377" spans="1:7" x14ac:dyDescent="0.2">
      <c r="A1377" s="2">
        <v>45784</v>
      </c>
      <c r="B1377" t="s">
        <v>2026</v>
      </c>
      <c r="C1377" t="s">
        <v>1</v>
      </c>
      <c r="D1377" t="s">
        <v>3</v>
      </c>
      <c r="E1377">
        <v>1</v>
      </c>
      <c r="F1377" t="s">
        <v>4027</v>
      </c>
      <c r="G1377">
        <v>79</v>
      </c>
    </row>
    <row r="1378" spans="1:7" x14ac:dyDescent="0.2">
      <c r="A1378" s="2">
        <v>45784</v>
      </c>
      <c r="B1378" t="s">
        <v>2025</v>
      </c>
      <c r="C1378" t="s">
        <v>1</v>
      </c>
      <c r="D1378" t="s">
        <v>3</v>
      </c>
      <c r="E1378">
        <v>1</v>
      </c>
      <c r="F1378" t="s">
        <v>4027</v>
      </c>
      <c r="G1378">
        <v>80</v>
      </c>
    </row>
    <row r="1379" spans="1:7" x14ac:dyDescent="0.2">
      <c r="A1379" s="2">
        <v>45784</v>
      </c>
      <c r="B1379" t="s">
        <v>2027</v>
      </c>
      <c r="C1379" t="s">
        <v>1</v>
      </c>
      <c r="D1379" t="s">
        <v>3</v>
      </c>
      <c r="E1379">
        <v>1</v>
      </c>
      <c r="F1379" t="s">
        <v>4027</v>
      </c>
      <c r="G1379">
        <v>71</v>
      </c>
    </row>
    <row r="1380" spans="1:7" x14ac:dyDescent="0.2">
      <c r="A1380" s="2">
        <v>45784</v>
      </c>
      <c r="B1380" t="s">
        <v>2028</v>
      </c>
      <c r="C1380" t="s">
        <v>1</v>
      </c>
      <c r="D1380" t="s">
        <v>3</v>
      </c>
      <c r="E1380">
        <v>1</v>
      </c>
      <c r="F1380" t="s">
        <v>4027</v>
      </c>
      <c r="G1380">
        <v>86</v>
      </c>
    </row>
    <row r="1381" spans="1:7" x14ac:dyDescent="0.2">
      <c r="A1381" s="2">
        <v>45784</v>
      </c>
      <c r="B1381" t="s">
        <v>1184</v>
      </c>
      <c r="C1381" t="s">
        <v>2</v>
      </c>
      <c r="D1381" t="s">
        <v>4</v>
      </c>
      <c r="E1381">
        <v>1</v>
      </c>
      <c r="F1381" t="s">
        <v>600</v>
      </c>
      <c r="G1381">
        <v>22</v>
      </c>
    </row>
    <row r="1382" spans="1:7" x14ac:dyDescent="0.2">
      <c r="A1382" s="2">
        <v>45784</v>
      </c>
      <c r="B1382" t="s">
        <v>1187</v>
      </c>
      <c r="C1382" t="s">
        <v>2</v>
      </c>
      <c r="D1382" t="s">
        <v>4</v>
      </c>
      <c r="E1382">
        <v>1</v>
      </c>
      <c r="F1382" t="s">
        <v>600</v>
      </c>
      <c r="G1382">
        <v>22</v>
      </c>
    </row>
    <row r="1383" spans="1:7" x14ac:dyDescent="0.2">
      <c r="A1383" s="2">
        <v>45784</v>
      </c>
      <c r="B1383" t="s">
        <v>1192</v>
      </c>
      <c r="C1383" t="s">
        <v>2</v>
      </c>
      <c r="D1383" t="s">
        <v>4</v>
      </c>
      <c r="E1383">
        <v>1</v>
      </c>
      <c r="F1383" t="s">
        <v>600</v>
      </c>
      <c r="G1383">
        <v>22</v>
      </c>
    </row>
    <row r="1384" spans="1:7" x14ac:dyDescent="0.2">
      <c r="A1384" s="2">
        <v>45784</v>
      </c>
      <c r="B1384" t="s">
        <v>2024</v>
      </c>
      <c r="C1384" t="s">
        <v>1</v>
      </c>
      <c r="D1384" t="s">
        <v>3</v>
      </c>
      <c r="E1384">
        <v>1</v>
      </c>
      <c r="F1384" t="s">
        <v>4027</v>
      </c>
      <c r="G1384">
        <v>65</v>
      </c>
    </row>
    <row r="1385" spans="1:7" x14ac:dyDescent="0.2">
      <c r="A1385" s="2">
        <v>45785</v>
      </c>
      <c r="B1385" t="s">
        <v>2043</v>
      </c>
      <c r="C1385" t="s">
        <v>1</v>
      </c>
      <c r="D1385" t="s">
        <v>3</v>
      </c>
      <c r="E1385">
        <v>1</v>
      </c>
      <c r="F1385" t="s">
        <v>4027</v>
      </c>
      <c r="G1385">
        <v>88</v>
      </c>
    </row>
    <row r="1386" spans="1:7" x14ac:dyDescent="0.2">
      <c r="A1386" s="2">
        <v>45785</v>
      </c>
      <c r="B1386" t="s">
        <v>2042</v>
      </c>
      <c r="C1386" t="s">
        <v>1</v>
      </c>
      <c r="D1386" t="s">
        <v>3</v>
      </c>
      <c r="E1386">
        <v>1</v>
      </c>
      <c r="F1386" t="s">
        <v>4027</v>
      </c>
      <c r="G1386">
        <v>86</v>
      </c>
    </row>
    <row r="1387" spans="1:7" x14ac:dyDescent="0.2">
      <c r="A1387" s="2">
        <v>45785</v>
      </c>
      <c r="B1387" t="s">
        <v>2041</v>
      </c>
      <c r="C1387" t="s">
        <v>1</v>
      </c>
      <c r="D1387" t="s">
        <v>3</v>
      </c>
      <c r="E1387">
        <v>1</v>
      </c>
      <c r="F1387" t="s">
        <v>4027</v>
      </c>
      <c r="G1387">
        <v>63</v>
      </c>
    </row>
    <row r="1388" spans="1:7" x14ac:dyDescent="0.2">
      <c r="A1388" s="2">
        <v>45785</v>
      </c>
      <c r="B1388" t="s">
        <v>2040</v>
      </c>
      <c r="C1388" t="s">
        <v>1</v>
      </c>
      <c r="D1388" t="s">
        <v>3</v>
      </c>
      <c r="E1388">
        <v>1</v>
      </c>
      <c r="F1388" t="s">
        <v>4027</v>
      </c>
      <c r="G1388">
        <v>62</v>
      </c>
    </row>
    <row r="1389" spans="1:7" x14ac:dyDescent="0.2">
      <c r="A1389" s="2">
        <v>45785</v>
      </c>
      <c r="B1389" t="s">
        <v>2039</v>
      </c>
      <c r="C1389" t="s">
        <v>1</v>
      </c>
      <c r="D1389" t="s">
        <v>3</v>
      </c>
      <c r="E1389">
        <v>1</v>
      </c>
      <c r="F1389" t="s">
        <v>4027</v>
      </c>
      <c r="G1389">
        <v>69</v>
      </c>
    </row>
    <row r="1390" spans="1:7" x14ac:dyDescent="0.2">
      <c r="A1390" s="2">
        <v>45785</v>
      </c>
      <c r="B1390" t="s">
        <v>2029</v>
      </c>
      <c r="C1390" t="s">
        <v>1</v>
      </c>
      <c r="D1390" t="s">
        <v>3</v>
      </c>
      <c r="E1390">
        <v>1</v>
      </c>
      <c r="F1390" t="s">
        <v>4027</v>
      </c>
      <c r="G1390">
        <v>77</v>
      </c>
    </row>
    <row r="1391" spans="1:7" x14ac:dyDescent="0.2">
      <c r="A1391" s="2">
        <v>45785</v>
      </c>
      <c r="B1391" t="s">
        <v>2037</v>
      </c>
      <c r="C1391" t="s">
        <v>1</v>
      </c>
      <c r="D1391" t="s">
        <v>3</v>
      </c>
      <c r="E1391">
        <v>1</v>
      </c>
      <c r="F1391" t="s">
        <v>4027</v>
      </c>
      <c r="G1391">
        <v>75</v>
      </c>
    </row>
    <row r="1392" spans="1:7" x14ac:dyDescent="0.2">
      <c r="A1392" s="2">
        <v>45785</v>
      </c>
      <c r="B1392" t="s">
        <v>2036</v>
      </c>
      <c r="C1392" t="s">
        <v>1</v>
      </c>
      <c r="D1392" t="s">
        <v>3</v>
      </c>
      <c r="E1392">
        <v>1</v>
      </c>
      <c r="F1392" t="s">
        <v>4027</v>
      </c>
      <c r="G1392">
        <v>61</v>
      </c>
    </row>
    <row r="1393" spans="1:7" x14ac:dyDescent="0.2">
      <c r="A1393" s="2">
        <v>45785</v>
      </c>
      <c r="B1393" t="s">
        <v>2035</v>
      </c>
      <c r="C1393" t="s">
        <v>1</v>
      </c>
      <c r="D1393" t="s">
        <v>3</v>
      </c>
      <c r="E1393">
        <v>1</v>
      </c>
      <c r="F1393" t="s">
        <v>4027</v>
      </c>
      <c r="G1393">
        <v>71</v>
      </c>
    </row>
    <row r="1394" spans="1:7" x14ac:dyDescent="0.2">
      <c r="A1394" s="2">
        <v>45785</v>
      </c>
      <c r="B1394" t="s">
        <v>2034</v>
      </c>
      <c r="C1394" t="s">
        <v>1</v>
      </c>
      <c r="D1394" t="s">
        <v>3</v>
      </c>
      <c r="E1394">
        <v>1</v>
      </c>
      <c r="F1394" t="s">
        <v>4027</v>
      </c>
      <c r="G1394">
        <v>60</v>
      </c>
    </row>
    <row r="1395" spans="1:7" x14ac:dyDescent="0.2">
      <c r="A1395" s="2">
        <v>45785</v>
      </c>
      <c r="B1395" t="s">
        <v>2030</v>
      </c>
      <c r="C1395" t="s">
        <v>1</v>
      </c>
      <c r="D1395" t="s">
        <v>3</v>
      </c>
      <c r="E1395">
        <v>1</v>
      </c>
      <c r="F1395" t="s">
        <v>4027</v>
      </c>
      <c r="G1395">
        <v>84</v>
      </c>
    </row>
    <row r="1396" spans="1:7" x14ac:dyDescent="0.2">
      <c r="A1396" s="2">
        <v>45785</v>
      </c>
      <c r="B1396" t="s">
        <v>2031</v>
      </c>
      <c r="C1396" t="s">
        <v>1</v>
      </c>
      <c r="D1396" t="s">
        <v>3</v>
      </c>
      <c r="E1396">
        <v>1</v>
      </c>
      <c r="F1396" t="s">
        <v>4027</v>
      </c>
      <c r="G1396">
        <v>74</v>
      </c>
    </row>
    <row r="1397" spans="1:7" x14ac:dyDescent="0.2">
      <c r="A1397" s="2">
        <v>45785</v>
      </c>
      <c r="B1397" t="s">
        <v>2033</v>
      </c>
      <c r="C1397" t="s">
        <v>1</v>
      </c>
      <c r="D1397" t="s">
        <v>3</v>
      </c>
      <c r="E1397">
        <v>1</v>
      </c>
      <c r="F1397" t="s">
        <v>4027</v>
      </c>
      <c r="G1397">
        <v>72</v>
      </c>
    </row>
    <row r="1398" spans="1:7" x14ac:dyDescent="0.2">
      <c r="A1398" s="2">
        <v>45785</v>
      </c>
      <c r="B1398" t="s">
        <v>2032</v>
      </c>
      <c r="C1398" t="s">
        <v>1</v>
      </c>
      <c r="D1398" t="s">
        <v>3</v>
      </c>
      <c r="E1398">
        <v>1</v>
      </c>
      <c r="F1398" t="s">
        <v>4027</v>
      </c>
      <c r="G1398">
        <v>77</v>
      </c>
    </row>
    <row r="1399" spans="1:7" x14ac:dyDescent="0.2">
      <c r="A1399" s="2">
        <v>45785</v>
      </c>
      <c r="B1399" t="s">
        <v>2038</v>
      </c>
      <c r="C1399" t="s">
        <v>1</v>
      </c>
      <c r="D1399" t="s">
        <v>3</v>
      </c>
      <c r="E1399">
        <v>1</v>
      </c>
      <c r="F1399" t="s">
        <v>4027</v>
      </c>
      <c r="G1399">
        <v>61</v>
      </c>
    </row>
    <row r="1400" spans="1:7" x14ac:dyDescent="0.2">
      <c r="A1400" s="2">
        <v>45786</v>
      </c>
      <c r="B1400" t="s">
        <v>2046</v>
      </c>
      <c r="C1400" t="s">
        <v>1</v>
      </c>
      <c r="D1400" t="s">
        <v>3</v>
      </c>
      <c r="E1400">
        <v>1</v>
      </c>
      <c r="F1400" t="s">
        <v>4027</v>
      </c>
      <c r="G1400">
        <v>81</v>
      </c>
    </row>
    <row r="1401" spans="1:7" x14ac:dyDescent="0.2">
      <c r="A1401" s="2">
        <v>45786</v>
      </c>
      <c r="B1401" t="s">
        <v>2048</v>
      </c>
      <c r="C1401" t="s">
        <v>1</v>
      </c>
      <c r="D1401" t="s">
        <v>3</v>
      </c>
      <c r="E1401">
        <v>1</v>
      </c>
      <c r="F1401" t="s">
        <v>4027</v>
      </c>
      <c r="G1401">
        <v>73</v>
      </c>
    </row>
    <row r="1402" spans="1:7" x14ac:dyDescent="0.2">
      <c r="A1402" s="2">
        <v>45786</v>
      </c>
      <c r="B1402" t="s">
        <v>2047</v>
      </c>
      <c r="C1402" t="s">
        <v>1</v>
      </c>
      <c r="D1402" t="s">
        <v>3</v>
      </c>
      <c r="E1402">
        <v>1</v>
      </c>
      <c r="F1402" t="s">
        <v>4027</v>
      </c>
      <c r="G1402">
        <v>74</v>
      </c>
    </row>
    <row r="1403" spans="1:7" x14ac:dyDescent="0.2">
      <c r="A1403" s="2">
        <v>45786</v>
      </c>
      <c r="B1403" t="s">
        <v>2045</v>
      </c>
      <c r="C1403" t="s">
        <v>1</v>
      </c>
      <c r="D1403" t="s">
        <v>3</v>
      </c>
      <c r="E1403">
        <v>1</v>
      </c>
      <c r="F1403" t="s">
        <v>4027</v>
      </c>
      <c r="G1403">
        <v>73</v>
      </c>
    </row>
    <row r="1404" spans="1:7" x14ac:dyDescent="0.2">
      <c r="A1404" s="2">
        <v>45786</v>
      </c>
      <c r="B1404" t="s">
        <v>2044</v>
      </c>
      <c r="C1404" t="s">
        <v>1</v>
      </c>
      <c r="D1404" t="s">
        <v>3</v>
      </c>
      <c r="E1404">
        <v>1</v>
      </c>
      <c r="F1404" t="s">
        <v>4027</v>
      </c>
      <c r="G1404">
        <v>88</v>
      </c>
    </row>
    <row r="1405" spans="1:7" x14ac:dyDescent="0.2">
      <c r="A1405" s="2">
        <v>45786</v>
      </c>
      <c r="B1405" t="s">
        <v>2049</v>
      </c>
      <c r="C1405" t="s">
        <v>1</v>
      </c>
      <c r="D1405" t="s">
        <v>3</v>
      </c>
      <c r="E1405">
        <v>1</v>
      </c>
      <c r="F1405" t="s">
        <v>4027</v>
      </c>
      <c r="G1405">
        <v>78</v>
      </c>
    </row>
    <row r="1406" spans="1:7" x14ac:dyDescent="0.2">
      <c r="A1406" s="2">
        <v>45787</v>
      </c>
      <c r="B1406" t="s">
        <v>2050</v>
      </c>
      <c r="C1406" t="s">
        <v>1</v>
      </c>
      <c r="D1406" t="s">
        <v>3</v>
      </c>
      <c r="E1406">
        <v>1</v>
      </c>
      <c r="F1406" t="s">
        <v>4027</v>
      </c>
      <c r="G1406">
        <v>62</v>
      </c>
    </row>
    <row r="1407" spans="1:7" x14ac:dyDescent="0.2">
      <c r="A1407" s="2">
        <v>45787</v>
      </c>
      <c r="B1407" t="s">
        <v>2051</v>
      </c>
      <c r="C1407" t="s">
        <v>1</v>
      </c>
      <c r="D1407" t="s">
        <v>3</v>
      </c>
      <c r="E1407">
        <v>1</v>
      </c>
      <c r="F1407" t="s">
        <v>4027</v>
      </c>
      <c r="G1407">
        <v>61</v>
      </c>
    </row>
    <row r="1408" spans="1:7" x14ac:dyDescent="0.2">
      <c r="A1408" s="2">
        <v>45787</v>
      </c>
      <c r="B1408" t="s">
        <v>2052</v>
      </c>
      <c r="C1408" t="s">
        <v>1</v>
      </c>
      <c r="D1408" t="s">
        <v>3</v>
      </c>
      <c r="E1408">
        <v>1</v>
      </c>
      <c r="F1408" t="s">
        <v>4027</v>
      </c>
      <c r="G1408">
        <v>63</v>
      </c>
    </row>
    <row r="1409" spans="1:7" x14ac:dyDescent="0.2">
      <c r="A1409" s="2">
        <v>45789</v>
      </c>
      <c r="B1409" t="s">
        <v>2053</v>
      </c>
      <c r="C1409" t="s">
        <v>1</v>
      </c>
      <c r="D1409" t="s">
        <v>3</v>
      </c>
      <c r="E1409">
        <v>1</v>
      </c>
      <c r="F1409" t="s">
        <v>4027</v>
      </c>
      <c r="G1409">
        <v>76</v>
      </c>
    </row>
    <row r="1410" spans="1:7" x14ac:dyDescent="0.2">
      <c r="A1410" s="2">
        <v>45789</v>
      </c>
      <c r="B1410" t="s">
        <v>2054</v>
      </c>
      <c r="C1410" t="s">
        <v>1</v>
      </c>
      <c r="D1410" t="s">
        <v>3</v>
      </c>
      <c r="E1410">
        <v>1</v>
      </c>
      <c r="F1410" t="s">
        <v>4027</v>
      </c>
      <c r="G1410">
        <v>84</v>
      </c>
    </row>
    <row r="1411" spans="1:7" x14ac:dyDescent="0.2">
      <c r="A1411" s="2">
        <v>45789</v>
      </c>
      <c r="B1411" t="s">
        <v>2055</v>
      </c>
      <c r="C1411" t="s">
        <v>1</v>
      </c>
      <c r="D1411" t="s">
        <v>3</v>
      </c>
      <c r="E1411">
        <v>1</v>
      </c>
      <c r="F1411" t="s">
        <v>4027</v>
      </c>
      <c r="G1411">
        <v>88</v>
      </c>
    </row>
    <row r="1412" spans="1:7" x14ac:dyDescent="0.2">
      <c r="A1412" s="2">
        <v>45789</v>
      </c>
      <c r="B1412" t="s">
        <v>2056</v>
      </c>
      <c r="C1412" t="s">
        <v>1</v>
      </c>
      <c r="D1412" t="s">
        <v>3</v>
      </c>
      <c r="E1412">
        <v>1</v>
      </c>
      <c r="F1412" t="s">
        <v>4027</v>
      </c>
      <c r="G1412">
        <v>81</v>
      </c>
    </row>
    <row r="1413" spans="1:7" x14ac:dyDescent="0.2">
      <c r="A1413" s="2">
        <v>45789</v>
      </c>
      <c r="B1413" t="s">
        <v>2057</v>
      </c>
      <c r="C1413" t="s">
        <v>1</v>
      </c>
      <c r="D1413" t="s">
        <v>3</v>
      </c>
      <c r="E1413">
        <v>1</v>
      </c>
      <c r="F1413" t="s">
        <v>4027</v>
      </c>
      <c r="G1413">
        <v>76</v>
      </c>
    </row>
    <row r="1414" spans="1:7" x14ac:dyDescent="0.2">
      <c r="A1414" s="2">
        <v>45790</v>
      </c>
      <c r="B1414" t="s">
        <v>1208</v>
      </c>
      <c r="C1414" t="s">
        <v>2</v>
      </c>
      <c r="D1414" t="s">
        <v>4</v>
      </c>
      <c r="E1414">
        <v>1</v>
      </c>
      <c r="F1414" t="s">
        <v>600</v>
      </c>
      <c r="G1414">
        <v>22</v>
      </c>
    </row>
    <row r="1415" spans="1:7" x14ac:dyDescent="0.2">
      <c r="A1415" s="2">
        <v>45790</v>
      </c>
      <c r="B1415" t="s">
        <v>1203</v>
      </c>
      <c r="C1415" t="s">
        <v>2</v>
      </c>
      <c r="D1415" t="s">
        <v>4</v>
      </c>
      <c r="E1415">
        <v>1</v>
      </c>
      <c r="F1415" t="s">
        <v>600</v>
      </c>
      <c r="G1415">
        <v>22</v>
      </c>
    </row>
    <row r="1416" spans="1:7" x14ac:dyDescent="0.2">
      <c r="A1416" s="2">
        <v>45790</v>
      </c>
      <c r="B1416" t="s">
        <v>1198</v>
      </c>
      <c r="C1416" t="s">
        <v>2</v>
      </c>
      <c r="D1416" t="s">
        <v>4</v>
      </c>
      <c r="E1416">
        <v>1</v>
      </c>
      <c r="F1416" t="s">
        <v>600</v>
      </c>
      <c r="G1416">
        <v>22</v>
      </c>
    </row>
    <row r="1417" spans="1:7" x14ac:dyDescent="0.2">
      <c r="A1417" s="2">
        <v>45790</v>
      </c>
      <c r="B1417" t="s">
        <v>2068</v>
      </c>
      <c r="C1417" t="s">
        <v>1</v>
      </c>
      <c r="D1417" t="s">
        <v>3</v>
      </c>
      <c r="E1417">
        <v>1</v>
      </c>
      <c r="F1417" t="s">
        <v>4027</v>
      </c>
      <c r="G1417">
        <v>80</v>
      </c>
    </row>
    <row r="1418" spans="1:7" x14ac:dyDescent="0.2">
      <c r="A1418" s="2">
        <v>45790</v>
      </c>
      <c r="B1418" t="s">
        <v>2067</v>
      </c>
      <c r="C1418" t="s">
        <v>1</v>
      </c>
      <c r="D1418" t="s">
        <v>3</v>
      </c>
      <c r="E1418">
        <v>1</v>
      </c>
      <c r="F1418" t="s">
        <v>4027</v>
      </c>
      <c r="G1418">
        <v>68</v>
      </c>
    </row>
    <row r="1419" spans="1:7" x14ac:dyDescent="0.2">
      <c r="A1419" s="2">
        <v>45790</v>
      </c>
      <c r="B1419" t="s">
        <v>2058</v>
      </c>
      <c r="C1419" t="s">
        <v>1</v>
      </c>
      <c r="D1419" t="s">
        <v>3</v>
      </c>
      <c r="E1419">
        <v>1</v>
      </c>
      <c r="F1419" t="s">
        <v>4027</v>
      </c>
      <c r="G1419">
        <v>68</v>
      </c>
    </row>
    <row r="1420" spans="1:7" x14ac:dyDescent="0.2">
      <c r="A1420" s="2">
        <v>45790</v>
      </c>
      <c r="B1420" t="s">
        <v>2059</v>
      </c>
      <c r="C1420" t="s">
        <v>1</v>
      </c>
      <c r="D1420" t="s">
        <v>3</v>
      </c>
      <c r="E1420">
        <v>1</v>
      </c>
      <c r="F1420" t="s">
        <v>4027</v>
      </c>
      <c r="G1420">
        <v>72</v>
      </c>
    </row>
    <row r="1421" spans="1:7" x14ac:dyDescent="0.2">
      <c r="A1421" s="2">
        <v>45790</v>
      </c>
      <c r="B1421" t="s">
        <v>2060</v>
      </c>
      <c r="C1421" t="s">
        <v>1</v>
      </c>
      <c r="D1421" t="s">
        <v>3</v>
      </c>
      <c r="E1421">
        <v>1</v>
      </c>
      <c r="F1421" t="s">
        <v>4027</v>
      </c>
      <c r="G1421">
        <v>62</v>
      </c>
    </row>
    <row r="1422" spans="1:7" x14ac:dyDescent="0.2">
      <c r="A1422" s="2">
        <v>45790</v>
      </c>
      <c r="B1422" t="s">
        <v>2061</v>
      </c>
      <c r="C1422" t="s">
        <v>1</v>
      </c>
      <c r="D1422" t="s">
        <v>3</v>
      </c>
      <c r="E1422">
        <v>1</v>
      </c>
      <c r="F1422" t="s">
        <v>4027</v>
      </c>
      <c r="G1422">
        <v>74</v>
      </c>
    </row>
    <row r="1423" spans="1:7" x14ac:dyDescent="0.2">
      <c r="A1423" s="2">
        <v>45790</v>
      </c>
      <c r="B1423" t="s">
        <v>2062</v>
      </c>
      <c r="C1423" t="s">
        <v>1</v>
      </c>
      <c r="D1423" t="s">
        <v>3</v>
      </c>
      <c r="E1423">
        <v>1</v>
      </c>
      <c r="F1423" t="s">
        <v>4027</v>
      </c>
      <c r="G1423">
        <v>62</v>
      </c>
    </row>
    <row r="1424" spans="1:7" x14ac:dyDescent="0.2">
      <c r="A1424" s="2">
        <v>45790</v>
      </c>
      <c r="B1424" t="s">
        <v>2063</v>
      </c>
      <c r="C1424" t="s">
        <v>1</v>
      </c>
      <c r="D1424" t="s">
        <v>3</v>
      </c>
      <c r="E1424">
        <v>1</v>
      </c>
      <c r="F1424" t="s">
        <v>4027</v>
      </c>
      <c r="G1424">
        <v>89</v>
      </c>
    </row>
    <row r="1425" spans="1:7" x14ac:dyDescent="0.2">
      <c r="A1425" s="2">
        <v>45790</v>
      </c>
      <c r="B1425" t="s">
        <v>2064</v>
      </c>
      <c r="C1425" t="s">
        <v>1</v>
      </c>
      <c r="D1425" t="s">
        <v>3</v>
      </c>
      <c r="E1425">
        <v>1</v>
      </c>
      <c r="F1425" t="s">
        <v>4027</v>
      </c>
      <c r="G1425">
        <v>77</v>
      </c>
    </row>
    <row r="1426" spans="1:7" x14ac:dyDescent="0.2">
      <c r="A1426" s="2">
        <v>45790</v>
      </c>
      <c r="B1426" t="s">
        <v>2065</v>
      </c>
      <c r="C1426" t="s">
        <v>1</v>
      </c>
      <c r="D1426" t="s">
        <v>3</v>
      </c>
      <c r="E1426">
        <v>1</v>
      </c>
      <c r="F1426" t="s">
        <v>4027</v>
      </c>
      <c r="G1426">
        <v>87</v>
      </c>
    </row>
    <row r="1427" spans="1:7" x14ac:dyDescent="0.2">
      <c r="A1427" s="2">
        <v>45790</v>
      </c>
      <c r="B1427" t="s">
        <v>2066</v>
      </c>
      <c r="C1427" t="s">
        <v>1</v>
      </c>
      <c r="D1427" t="s">
        <v>3</v>
      </c>
      <c r="E1427">
        <v>1</v>
      </c>
      <c r="F1427" t="s">
        <v>4027</v>
      </c>
      <c r="G1427">
        <v>82</v>
      </c>
    </row>
    <row r="1428" spans="1:7" x14ac:dyDescent="0.2">
      <c r="A1428" s="2">
        <v>45791</v>
      </c>
      <c r="B1428" t="s">
        <v>2073</v>
      </c>
      <c r="C1428" t="s">
        <v>1</v>
      </c>
      <c r="D1428" t="s">
        <v>3</v>
      </c>
      <c r="E1428">
        <v>1</v>
      </c>
      <c r="F1428" t="s">
        <v>4027</v>
      </c>
      <c r="G1428">
        <v>75</v>
      </c>
    </row>
    <row r="1429" spans="1:7" x14ac:dyDescent="0.2">
      <c r="A1429" s="2">
        <v>45791</v>
      </c>
      <c r="B1429" t="s">
        <v>2072</v>
      </c>
      <c r="C1429" t="s">
        <v>1</v>
      </c>
      <c r="D1429" t="s">
        <v>3</v>
      </c>
      <c r="E1429">
        <v>1</v>
      </c>
      <c r="F1429" t="s">
        <v>4027</v>
      </c>
      <c r="G1429">
        <v>86</v>
      </c>
    </row>
    <row r="1430" spans="1:7" x14ac:dyDescent="0.2">
      <c r="A1430" s="2">
        <v>45791</v>
      </c>
      <c r="B1430" t="s">
        <v>2070</v>
      </c>
      <c r="C1430" t="s">
        <v>1</v>
      </c>
      <c r="D1430" t="s">
        <v>3</v>
      </c>
      <c r="E1430">
        <v>1</v>
      </c>
      <c r="F1430" t="s">
        <v>4027</v>
      </c>
      <c r="G1430">
        <v>83</v>
      </c>
    </row>
    <row r="1431" spans="1:7" x14ac:dyDescent="0.2">
      <c r="A1431" s="2">
        <v>45791</v>
      </c>
      <c r="B1431" t="s">
        <v>2071</v>
      </c>
      <c r="C1431" t="s">
        <v>1</v>
      </c>
      <c r="D1431" t="s">
        <v>3</v>
      </c>
      <c r="E1431">
        <v>1</v>
      </c>
      <c r="F1431" t="s">
        <v>4027</v>
      </c>
      <c r="G1431">
        <v>87</v>
      </c>
    </row>
    <row r="1432" spans="1:7" x14ac:dyDescent="0.2">
      <c r="A1432" s="2">
        <v>45791</v>
      </c>
      <c r="B1432" t="s">
        <v>2069</v>
      </c>
      <c r="C1432" t="s">
        <v>1</v>
      </c>
      <c r="D1432" t="s">
        <v>3</v>
      </c>
      <c r="E1432">
        <v>1</v>
      </c>
      <c r="F1432" t="s">
        <v>4027</v>
      </c>
      <c r="G1432">
        <v>88</v>
      </c>
    </row>
    <row r="1433" spans="1:7" x14ac:dyDescent="0.2">
      <c r="A1433" s="2">
        <v>45792</v>
      </c>
      <c r="B1433" t="s">
        <v>2082</v>
      </c>
      <c r="C1433" t="s">
        <v>1</v>
      </c>
      <c r="D1433" t="s">
        <v>3</v>
      </c>
      <c r="E1433">
        <v>1</v>
      </c>
      <c r="F1433" t="s">
        <v>4027</v>
      </c>
      <c r="G1433">
        <v>64</v>
      </c>
    </row>
    <row r="1434" spans="1:7" x14ac:dyDescent="0.2">
      <c r="A1434" s="2">
        <v>45792</v>
      </c>
      <c r="B1434" t="s">
        <v>2083</v>
      </c>
      <c r="C1434" t="s">
        <v>1</v>
      </c>
      <c r="D1434" t="s">
        <v>3</v>
      </c>
      <c r="E1434">
        <v>1</v>
      </c>
      <c r="F1434" t="s">
        <v>4027</v>
      </c>
      <c r="G1434">
        <v>83</v>
      </c>
    </row>
    <row r="1435" spans="1:7" x14ac:dyDescent="0.2">
      <c r="A1435" s="2">
        <v>45792</v>
      </c>
      <c r="B1435" t="s">
        <v>2079</v>
      </c>
      <c r="C1435" t="s">
        <v>1</v>
      </c>
      <c r="D1435" t="s">
        <v>3</v>
      </c>
      <c r="E1435">
        <v>1</v>
      </c>
      <c r="F1435" t="s">
        <v>4027</v>
      </c>
      <c r="G1435">
        <v>88</v>
      </c>
    </row>
    <row r="1436" spans="1:7" x14ac:dyDescent="0.2">
      <c r="A1436" s="2">
        <v>45792</v>
      </c>
      <c r="B1436" t="s">
        <v>2081</v>
      </c>
      <c r="C1436" t="s">
        <v>1</v>
      </c>
      <c r="D1436" t="s">
        <v>3</v>
      </c>
      <c r="E1436">
        <v>1</v>
      </c>
      <c r="F1436" t="s">
        <v>4027</v>
      </c>
      <c r="G1436">
        <v>69</v>
      </c>
    </row>
    <row r="1437" spans="1:7" x14ac:dyDescent="0.2">
      <c r="A1437" s="2">
        <v>45792</v>
      </c>
      <c r="B1437" t="s">
        <v>2080</v>
      </c>
      <c r="C1437" t="s">
        <v>1</v>
      </c>
      <c r="D1437" t="s">
        <v>3</v>
      </c>
      <c r="E1437">
        <v>1</v>
      </c>
      <c r="F1437" t="s">
        <v>4027</v>
      </c>
      <c r="G1437">
        <v>76</v>
      </c>
    </row>
    <row r="1438" spans="1:7" x14ac:dyDescent="0.2">
      <c r="A1438" s="2">
        <v>45792</v>
      </c>
      <c r="B1438" t="s">
        <v>2078</v>
      </c>
      <c r="C1438" t="s">
        <v>1</v>
      </c>
      <c r="D1438" t="s">
        <v>3</v>
      </c>
      <c r="E1438">
        <v>1</v>
      </c>
      <c r="F1438" t="s">
        <v>4027</v>
      </c>
      <c r="G1438">
        <v>60</v>
      </c>
    </row>
    <row r="1439" spans="1:7" x14ac:dyDescent="0.2">
      <c r="A1439" s="2">
        <v>45792</v>
      </c>
      <c r="B1439" t="s">
        <v>2075</v>
      </c>
      <c r="C1439" t="s">
        <v>1</v>
      </c>
      <c r="D1439" t="s">
        <v>3</v>
      </c>
      <c r="E1439">
        <v>1</v>
      </c>
      <c r="F1439" t="s">
        <v>4027</v>
      </c>
      <c r="G1439">
        <v>68</v>
      </c>
    </row>
    <row r="1440" spans="1:7" x14ac:dyDescent="0.2">
      <c r="A1440" s="2">
        <v>45792</v>
      </c>
      <c r="B1440" t="s">
        <v>2076</v>
      </c>
      <c r="C1440" t="s">
        <v>1</v>
      </c>
      <c r="D1440" t="s">
        <v>3</v>
      </c>
      <c r="E1440">
        <v>1</v>
      </c>
      <c r="F1440" t="s">
        <v>4027</v>
      </c>
      <c r="G1440">
        <v>62</v>
      </c>
    </row>
    <row r="1441" spans="1:7" x14ac:dyDescent="0.2">
      <c r="A1441" s="2">
        <v>45792</v>
      </c>
      <c r="B1441" t="s">
        <v>2074</v>
      </c>
      <c r="C1441" t="s">
        <v>1</v>
      </c>
      <c r="D1441" t="s">
        <v>3</v>
      </c>
      <c r="E1441">
        <v>1</v>
      </c>
      <c r="F1441" t="s">
        <v>4027</v>
      </c>
      <c r="G1441">
        <v>69</v>
      </c>
    </row>
    <row r="1442" spans="1:7" x14ac:dyDescent="0.2">
      <c r="A1442" s="2">
        <v>45792</v>
      </c>
      <c r="B1442" t="s">
        <v>2077</v>
      </c>
      <c r="C1442" t="s">
        <v>1</v>
      </c>
      <c r="D1442" t="s">
        <v>3</v>
      </c>
      <c r="E1442">
        <v>1</v>
      </c>
      <c r="F1442" t="s">
        <v>4027</v>
      </c>
      <c r="G1442">
        <v>62</v>
      </c>
    </row>
    <row r="1443" spans="1:7" x14ac:dyDescent="0.2">
      <c r="A1443" s="2">
        <v>45793</v>
      </c>
      <c r="B1443" t="s">
        <v>2090</v>
      </c>
      <c r="C1443" t="s">
        <v>1</v>
      </c>
      <c r="D1443" t="s">
        <v>3</v>
      </c>
      <c r="E1443">
        <v>1</v>
      </c>
      <c r="F1443" t="s">
        <v>4027</v>
      </c>
      <c r="G1443">
        <v>61</v>
      </c>
    </row>
    <row r="1444" spans="1:7" x14ac:dyDescent="0.2">
      <c r="A1444" s="2">
        <v>45793</v>
      </c>
      <c r="B1444" t="s">
        <v>2088</v>
      </c>
      <c r="C1444" t="s">
        <v>1</v>
      </c>
      <c r="D1444" t="s">
        <v>3</v>
      </c>
      <c r="E1444">
        <v>1</v>
      </c>
      <c r="F1444" t="s">
        <v>4027</v>
      </c>
      <c r="G1444">
        <v>71</v>
      </c>
    </row>
    <row r="1445" spans="1:7" x14ac:dyDescent="0.2">
      <c r="A1445" s="2">
        <v>45793</v>
      </c>
      <c r="B1445" t="s">
        <v>2091</v>
      </c>
      <c r="C1445" t="s">
        <v>1</v>
      </c>
      <c r="D1445" t="s">
        <v>3</v>
      </c>
      <c r="E1445">
        <v>1</v>
      </c>
      <c r="F1445" t="s">
        <v>4027</v>
      </c>
      <c r="G1445">
        <v>77</v>
      </c>
    </row>
    <row r="1446" spans="1:7" x14ac:dyDescent="0.2">
      <c r="A1446" s="2">
        <v>45793</v>
      </c>
      <c r="B1446" t="s">
        <v>2089</v>
      </c>
      <c r="C1446" t="s">
        <v>1</v>
      </c>
      <c r="D1446" t="s">
        <v>3</v>
      </c>
      <c r="E1446">
        <v>1</v>
      </c>
      <c r="F1446" t="s">
        <v>4027</v>
      </c>
      <c r="G1446">
        <v>60</v>
      </c>
    </row>
    <row r="1447" spans="1:7" x14ac:dyDescent="0.2">
      <c r="A1447" s="2">
        <v>45793</v>
      </c>
      <c r="B1447" t="s">
        <v>2087</v>
      </c>
      <c r="C1447" t="s">
        <v>1</v>
      </c>
      <c r="D1447" t="s">
        <v>3</v>
      </c>
      <c r="E1447">
        <v>1</v>
      </c>
      <c r="F1447" t="s">
        <v>4027</v>
      </c>
      <c r="G1447">
        <v>69</v>
      </c>
    </row>
    <row r="1448" spans="1:7" x14ac:dyDescent="0.2">
      <c r="A1448" s="2">
        <v>45793</v>
      </c>
      <c r="B1448" t="s">
        <v>2094</v>
      </c>
      <c r="C1448" t="s">
        <v>1</v>
      </c>
      <c r="D1448" t="s">
        <v>3</v>
      </c>
      <c r="E1448">
        <v>1</v>
      </c>
      <c r="F1448" t="s">
        <v>4027</v>
      </c>
      <c r="G1448">
        <v>60</v>
      </c>
    </row>
    <row r="1449" spans="1:7" x14ac:dyDescent="0.2">
      <c r="A1449" s="2">
        <v>45793</v>
      </c>
      <c r="B1449" t="s">
        <v>2085</v>
      </c>
      <c r="C1449" t="s">
        <v>1</v>
      </c>
      <c r="D1449" t="s">
        <v>3</v>
      </c>
      <c r="E1449">
        <v>1</v>
      </c>
      <c r="F1449" t="s">
        <v>4027</v>
      </c>
      <c r="G1449">
        <v>60</v>
      </c>
    </row>
    <row r="1450" spans="1:7" x14ac:dyDescent="0.2">
      <c r="A1450" s="2">
        <v>45793</v>
      </c>
      <c r="B1450" t="s">
        <v>2084</v>
      </c>
      <c r="C1450" t="s">
        <v>1</v>
      </c>
      <c r="D1450" t="s">
        <v>3</v>
      </c>
      <c r="E1450">
        <v>1</v>
      </c>
      <c r="F1450" t="s">
        <v>4027</v>
      </c>
      <c r="G1450">
        <v>68</v>
      </c>
    </row>
    <row r="1451" spans="1:7" x14ac:dyDescent="0.2">
      <c r="A1451" s="2">
        <v>45793</v>
      </c>
      <c r="B1451" t="s">
        <v>2092</v>
      </c>
      <c r="C1451" t="s">
        <v>1</v>
      </c>
      <c r="D1451" t="s">
        <v>3</v>
      </c>
      <c r="E1451">
        <v>1</v>
      </c>
      <c r="F1451" t="s">
        <v>4027</v>
      </c>
      <c r="G1451">
        <v>71</v>
      </c>
    </row>
    <row r="1452" spans="1:7" x14ac:dyDescent="0.2">
      <c r="A1452" s="2">
        <v>45793</v>
      </c>
      <c r="B1452" t="s">
        <v>1212</v>
      </c>
      <c r="C1452" t="s">
        <v>2</v>
      </c>
      <c r="D1452" t="s">
        <v>4</v>
      </c>
      <c r="E1452">
        <v>1</v>
      </c>
      <c r="F1452" t="s">
        <v>600</v>
      </c>
      <c r="G1452">
        <v>22</v>
      </c>
    </row>
    <row r="1453" spans="1:7" x14ac:dyDescent="0.2">
      <c r="A1453" s="2">
        <v>45793</v>
      </c>
      <c r="B1453" t="s">
        <v>2086</v>
      </c>
      <c r="C1453" t="s">
        <v>1</v>
      </c>
      <c r="D1453" t="s">
        <v>3</v>
      </c>
      <c r="E1453">
        <v>1</v>
      </c>
      <c r="F1453" t="s">
        <v>4027</v>
      </c>
      <c r="G1453">
        <v>61</v>
      </c>
    </row>
    <row r="1454" spans="1:7" x14ac:dyDescent="0.2">
      <c r="A1454" s="2">
        <v>45793</v>
      </c>
      <c r="B1454" t="s">
        <v>2093</v>
      </c>
      <c r="C1454" t="s">
        <v>1</v>
      </c>
      <c r="D1454" t="s">
        <v>3</v>
      </c>
      <c r="E1454">
        <v>1</v>
      </c>
      <c r="F1454" t="s">
        <v>4027</v>
      </c>
      <c r="G1454">
        <v>63</v>
      </c>
    </row>
    <row r="1455" spans="1:7" x14ac:dyDescent="0.2">
      <c r="A1455" s="2">
        <v>45793</v>
      </c>
      <c r="B1455" t="s">
        <v>1214</v>
      </c>
      <c r="C1455" t="s">
        <v>2</v>
      </c>
      <c r="D1455" t="s">
        <v>4</v>
      </c>
      <c r="E1455">
        <v>1</v>
      </c>
      <c r="F1455" t="s">
        <v>600</v>
      </c>
      <c r="G1455">
        <v>22</v>
      </c>
    </row>
    <row r="1456" spans="1:7" x14ac:dyDescent="0.2">
      <c r="A1456" s="2">
        <v>45793</v>
      </c>
      <c r="B1456" t="s">
        <v>2095</v>
      </c>
      <c r="C1456" t="s">
        <v>1</v>
      </c>
      <c r="D1456" t="s">
        <v>3</v>
      </c>
      <c r="E1456">
        <v>1</v>
      </c>
      <c r="F1456" t="s">
        <v>4027</v>
      </c>
      <c r="G1456">
        <v>65</v>
      </c>
    </row>
    <row r="1457" spans="1:7" x14ac:dyDescent="0.2">
      <c r="A1457" s="2">
        <v>45794</v>
      </c>
      <c r="B1457" t="s">
        <v>2103</v>
      </c>
      <c r="C1457" t="s">
        <v>1</v>
      </c>
      <c r="D1457" t="s">
        <v>3</v>
      </c>
      <c r="E1457">
        <v>1</v>
      </c>
      <c r="F1457" t="s">
        <v>4027</v>
      </c>
      <c r="G1457">
        <v>67</v>
      </c>
    </row>
    <row r="1458" spans="1:7" x14ac:dyDescent="0.2">
      <c r="A1458" s="2">
        <v>45794</v>
      </c>
      <c r="B1458" t="s">
        <v>2096</v>
      </c>
      <c r="C1458" t="s">
        <v>1</v>
      </c>
      <c r="D1458" t="s">
        <v>3</v>
      </c>
      <c r="E1458">
        <v>1</v>
      </c>
      <c r="F1458" t="s">
        <v>4027</v>
      </c>
      <c r="G1458">
        <v>62</v>
      </c>
    </row>
    <row r="1459" spans="1:7" x14ac:dyDescent="0.2">
      <c r="A1459" s="2">
        <v>45794</v>
      </c>
      <c r="B1459" t="s">
        <v>2097</v>
      </c>
      <c r="C1459" t="s">
        <v>1</v>
      </c>
      <c r="D1459" t="s">
        <v>3</v>
      </c>
      <c r="E1459">
        <v>1</v>
      </c>
      <c r="F1459" t="s">
        <v>4027</v>
      </c>
      <c r="G1459">
        <v>84</v>
      </c>
    </row>
    <row r="1460" spans="1:7" x14ac:dyDescent="0.2">
      <c r="A1460" s="2">
        <v>45794</v>
      </c>
      <c r="B1460" t="s">
        <v>2098</v>
      </c>
      <c r="C1460" t="s">
        <v>1</v>
      </c>
      <c r="D1460" t="s">
        <v>3</v>
      </c>
      <c r="E1460">
        <v>1</v>
      </c>
      <c r="F1460" t="s">
        <v>4027</v>
      </c>
      <c r="G1460">
        <v>61</v>
      </c>
    </row>
    <row r="1461" spans="1:7" x14ac:dyDescent="0.2">
      <c r="A1461" s="2">
        <v>45794</v>
      </c>
      <c r="B1461" t="s">
        <v>2099</v>
      </c>
      <c r="C1461" t="s">
        <v>1</v>
      </c>
      <c r="D1461" t="s">
        <v>3</v>
      </c>
      <c r="E1461">
        <v>1</v>
      </c>
      <c r="F1461" t="s">
        <v>4027</v>
      </c>
      <c r="G1461">
        <v>80</v>
      </c>
    </row>
    <row r="1462" spans="1:7" x14ac:dyDescent="0.2">
      <c r="A1462" s="2">
        <v>45794</v>
      </c>
      <c r="B1462" t="s">
        <v>2100</v>
      </c>
      <c r="C1462" t="s">
        <v>1</v>
      </c>
      <c r="D1462" t="s">
        <v>3</v>
      </c>
      <c r="E1462">
        <v>1</v>
      </c>
      <c r="F1462" t="s">
        <v>4027</v>
      </c>
      <c r="G1462">
        <v>66</v>
      </c>
    </row>
    <row r="1463" spans="1:7" x14ac:dyDescent="0.2">
      <c r="A1463" s="2">
        <v>45794</v>
      </c>
      <c r="B1463" t="s">
        <v>2101</v>
      </c>
      <c r="C1463" t="s">
        <v>1</v>
      </c>
      <c r="D1463" t="s">
        <v>3</v>
      </c>
      <c r="E1463">
        <v>1</v>
      </c>
      <c r="F1463" t="s">
        <v>4027</v>
      </c>
      <c r="G1463">
        <v>76</v>
      </c>
    </row>
    <row r="1464" spans="1:7" x14ac:dyDescent="0.2">
      <c r="A1464" s="2">
        <v>45794</v>
      </c>
      <c r="B1464" t="s">
        <v>2102</v>
      </c>
      <c r="C1464" t="s">
        <v>1</v>
      </c>
      <c r="D1464" t="s">
        <v>3</v>
      </c>
      <c r="E1464">
        <v>1</v>
      </c>
      <c r="F1464" t="s">
        <v>4027</v>
      </c>
      <c r="G1464">
        <v>66</v>
      </c>
    </row>
    <row r="1465" spans="1:7" x14ac:dyDescent="0.2">
      <c r="A1465" s="2">
        <v>45796</v>
      </c>
      <c r="B1465" t="s">
        <v>2109</v>
      </c>
      <c r="C1465" t="s">
        <v>1</v>
      </c>
      <c r="D1465" t="s">
        <v>3</v>
      </c>
      <c r="E1465">
        <v>1</v>
      </c>
      <c r="F1465" t="s">
        <v>4027</v>
      </c>
      <c r="G1465">
        <v>89</v>
      </c>
    </row>
    <row r="1466" spans="1:7" x14ac:dyDescent="0.2">
      <c r="A1466" s="2">
        <v>45796</v>
      </c>
      <c r="B1466" t="s">
        <v>2108</v>
      </c>
      <c r="C1466" t="s">
        <v>1</v>
      </c>
      <c r="D1466" t="s">
        <v>3</v>
      </c>
      <c r="E1466">
        <v>1</v>
      </c>
      <c r="F1466" t="s">
        <v>4027</v>
      </c>
      <c r="G1466">
        <v>85</v>
      </c>
    </row>
    <row r="1467" spans="1:7" x14ac:dyDescent="0.2">
      <c r="A1467" s="2">
        <v>45796</v>
      </c>
      <c r="B1467" t="s">
        <v>2107</v>
      </c>
      <c r="C1467" t="s">
        <v>1</v>
      </c>
      <c r="D1467" t="s">
        <v>3</v>
      </c>
      <c r="E1467">
        <v>1</v>
      </c>
      <c r="F1467" t="s">
        <v>4027</v>
      </c>
      <c r="G1467">
        <v>82</v>
      </c>
    </row>
    <row r="1468" spans="1:7" x14ac:dyDescent="0.2">
      <c r="A1468" s="2">
        <v>45796</v>
      </c>
      <c r="B1468" t="s">
        <v>2105</v>
      </c>
      <c r="C1468" t="s">
        <v>1</v>
      </c>
      <c r="D1468" t="s">
        <v>3</v>
      </c>
      <c r="E1468">
        <v>1</v>
      </c>
      <c r="F1468" t="s">
        <v>4027</v>
      </c>
      <c r="G1468">
        <v>71</v>
      </c>
    </row>
    <row r="1469" spans="1:7" x14ac:dyDescent="0.2">
      <c r="A1469" s="2">
        <v>45796</v>
      </c>
      <c r="B1469" t="s">
        <v>2104</v>
      </c>
      <c r="C1469" t="s">
        <v>1</v>
      </c>
      <c r="D1469" t="s">
        <v>3</v>
      </c>
      <c r="E1469">
        <v>1</v>
      </c>
      <c r="F1469" t="s">
        <v>4027</v>
      </c>
      <c r="G1469">
        <v>68</v>
      </c>
    </row>
    <row r="1470" spans="1:7" x14ac:dyDescent="0.2">
      <c r="A1470" s="2">
        <v>45796</v>
      </c>
      <c r="B1470" t="s">
        <v>2106</v>
      </c>
      <c r="C1470" t="s">
        <v>1</v>
      </c>
      <c r="D1470" t="s">
        <v>3</v>
      </c>
      <c r="E1470">
        <v>1</v>
      </c>
      <c r="F1470" t="s">
        <v>4027</v>
      </c>
      <c r="G1470">
        <v>86</v>
      </c>
    </row>
    <row r="1471" spans="1:7" x14ac:dyDescent="0.2">
      <c r="A1471" s="2">
        <v>45797</v>
      </c>
      <c r="B1471" t="s">
        <v>2118</v>
      </c>
      <c r="C1471" t="s">
        <v>1</v>
      </c>
      <c r="D1471" t="s">
        <v>3</v>
      </c>
      <c r="E1471">
        <v>1</v>
      </c>
      <c r="F1471" t="s">
        <v>4027</v>
      </c>
      <c r="G1471">
        <v>67</v>
      </c>
    </row>
    <row r="1472" spans="1:7" x14ac:dyDescent="0.2">
      <c r="A1472" s="2">
        <v>45797</v>
      </c>
      <c r="B1472" t="s">
        <v>2119</v>
      </c>
      <c r="C1472" t="s">
        <v>1</v>
      </c>
      <c r="D1472" t="s">
        <v>3</v>
      </c>
      <c r="E1472">
        <v>1</v>
      </c>
      <c r="F1472" t="s">
        <v>4027</v>
      </c>
      <c r="G1472">
        <v>86</v>
      </c>
    </row>
    <row r="1473" spans="1:7" x14ac:dyDescent="0.2">
      <c r="A1473" s="2">
        <v>45797</v>
      </c>
      <c r="B1473" t="s">
        <v>2114</v>
      </c>
      <c r="C1473" t="s">
        <v>1</v>
      </c>
      <c r="D1473" t="s">
        <v>3</v>
      </c>
      <c r="E1473">
        <v>1</v>
      </c>
      <c r="F1473" t="s">
        <v>4027</v>
      </c>
      <c r="G1473">
        <v>60</v>
      </c>
    </row>
    <row r="1474" spans="1:7" x14ac:dyDescent="0.2">
      <c r="A1474" s="2">
        <v>45797</v>
      </c>
      <c r="B1474" t="s">
        <v>2121</v>
      </c>
      <c r="C1474" t="s">
        <v>1</v>
      </c>
      <c r="D1474" t="s">
        <v>3</v>
      </c>
      <c r="E1474">
        <v>1</v>
      </c>
      <c r="F1474" t="s">
        <v>4027</v>
      </c>
      <c r="G1474">
        <v>64</v>
      </c>
    </row>
    <row r="1475" spans="1:7" x14ac:dyDescent="0.2">
      <c r="A1475" s="2">
        <v>45797</v>
      </c>
      <c r="B1475" t="s">
        <v>2120</v>
      </c>
      <c r="C1475" t="s">
        <v>1</v>
      </c>
      <c r="D1475" t="s">
        <v>3</v>
      </c>
      <c r="E1475">
        <v>1</v>
      </c>
      <c r="F1475" t="s">
        <v>4027</v>
      </c>
      <c r="G1475">
        <v>86</v>
      </c>
    </row>
    <row r="1476" spans="1:7" x14ac:dyDescent="0.2">
      <c r="A1476" s="2">
        <v>45797</v>
      </c>
      <c r="B1476" t="s">
        <v>2117</v>
      </c>
      <c r="C1476" t="s">
        <v>1</v>
      </c>
      <c r="D1476" t="s">
        <v>3</v>
      </c>
      <c r="E1476">
        <v>1</v>
      </c>
      <c r="F1476" t="s">
        <v>4027</v>
      </c>
      <c r="G1476">
        <v>77</v>
      </c>
    </row>
    <row r="1477" spans="1:7" x14ac:dyDescent="0.2">
      <c r="A1477" s="2">
        <v>45797</v>
      </c>
      <c r="B1477" t="s">
        <v>2110</v>
      </c>
      <c r="C1477" t="s">
        <v>1</v>
      </c>
      <c r="D1477" t="s">
        <v>3</v>
      </c>
      <c r="E1477">
        <v>1</v>
      </c>
      <c r="F1477" t="s">
        <v>4027</v>
      </c>
      <c r="G1477">
        <v>72</v>
      </c>
    </row>
    <row r="1478" spans="1:7" x14ac:dyDescent="0.2">
      <c r="A1478" s="2">
        <v>45797</v>
      </c>
      <c r="B1478" t="s">
        <v>2115</v>
      </c>
      <c r="C1478" t="s">
        <v>1</v>
      </c>
      <c r="D1478" t="s">
        <v>3</v>
      </c>
      <c r="E1478">
        <v>1</v>
      </c>
      <c r="F1478" t="s">
        <v>4027</v>
      </c>
      <c r="G1478">
        <v>73</v>
      </c>
    </row>
    <row r="1479" spans="1:7" x14ac:dyDescent="0.2">
      <c r="A1479" s="2">
        <v>45797</v>
      </c>
      <c r="B1479" t="s">
        <v>2113</v>
      </c>
      <c r="C1479" t="s">
        <v>1</v>
      </c>
      <c r="D1479" t="s">
        <v>3</v>
      </c>
      <c r="E1479">
        <v>1</v>
      </c>
      <c r="F1479" t="s">
        <v>4027</v>
      </c>
      <c r="G1479">
        <v>62</v>
      </c>
    </row>
    <row r="1480" spans="1:7" x14ac:dyDescent="0.2">
      <c r="A1480" s="2">
        <v>45797</v>
      </c>
      <c r="B1480" t="s">
        <v>2112</v>
      </c>
      <c r="C1480" t="s">
        <v>1</v>
      </c>
      <c r="D1480" t="s">
        <v>3</v>
      </c>
      <c r="E1480">
        <v>1</v>
      </c>
      <c r="F1480" t="s">
        <v>4027</v>
      </c>
      <c r="G1480">
        <v>72</v>
      </c>
    </row>
    <row r="1481" spans="1:7" x14ac:dyDescent="0.2">
      <c r="A1481" s="2">
        <v>45797</v>
      </c>
      <c r="B1481" t="s">
        <v>2111</v>
      </c>
      <c r="C1481" t="s">
        <v>1</v>
      </c>
      <c r="D1481" t="s">
        <v>3</v>
      </c>
      <c r="E1481">
        <v>1</v>
      </c>
      <c r="F1481" t="s">
        <v>4027</v>
      </c>
      <c r="G1481">
        <v>60</v>
      </c>
    </row>
    <row r="1482" spans="1:7" x14ac:dyDescent="0.2">
      <c r="A1482" s="2">
        <v>45797</v>
      </c>
      <c r="B1482" t="s">
        <v>2116</v>
      </c>
      <c r="C1482" t="s">
        <v>1</v>
      </c>
      <c r="D1482" t="s">
        <v>3</v>
      </c>
      <c r="E1482">
        <v>1</v>
      </c>
      <c r="F1482" t="s">
        <v>4027</v>
      </c>
      <c r="G1482">
        <v>72</v>
      </c>
    </row>
    <row r="1483" spans="1:7" x14ac:dyDescent="0.2">
      <c r="A1483" s="2">
        <v>45799</v>
      </c>
      <c r="B1483" t="s">
        <v>2128</v>
      </c>
      <c r="C1483" t="s">
        <v>1</v>
      </c>
      <c r="D1483" t="s">
        <v>3</v>
      </c>
      <c r="E1483">
        <v>1</v>
      </c>
      <c r="F1483" t="s">
        <v>4027</v>
      </c>
      <c r="G1483">
        <v>79</v>
      </c>
    </row>
    <row r="1484" spans="1:7" x14ac:dyDescent="0.2">
      <c r="A1484" s="2">
        <v>45799</v>
      </c>
      <c r="B1484" t="s">
        <v>2131</v>
      </c>
      <c r="C1484" t="s">
        <v>1</v>
      </c>
      <c r="D1484" t="s">
        <v>3</v>
      </c>
      <c r="E1484">
        <v>1</v>
      </c>
      <c r="F1484" t="s">
        <v>4027</v>
      </c>
      <c r="G1484">
        <v>61</v>
      </c>
    </row>
    <row r="1485" spans="1:7" x14ac:dyDescent="0.2">
      <c r="A1485" s="2">
        <v>45799</v>
      </c>
      <c r="B1485" t="s">
        <v>2130</v>
      </c>
      <c r="C1485" t="s">
        <v>1</v>
      </c>
      <c r="D1485" t="s">
        <v>3</v>
      </c>
      <c r="E1485">
        <v>1</v>
      </c>
      <c r="F1485" t="s">
        <v>4027</v>
      </c>
      <c r="G1485">
        <v>64</v>
      </c>
    </row>
    <row r="1486" spans="1:7" x14ac:dyDescent="0.2">
      <c r="A1486" s="2">
        <v>45799</v>
      </c>
      <c r="B1486" t="s">
        <v>2129</v>
      </c>
      <c r="C1486" t="s">
        <v>1</v>
      </c>
      <c r="D1486" t="s">
        <v>3</v>
      </c>
      <c r="E1486">
        <v>1</v>
      </c>
      <c r="F1486" t="s">
        <v>4027</v>
      </c>
      <c r="G1486">
        <v>83</v>
      </c>
    </row>
    <row r="1487" spans="1:7" x14ac:dyDescent="0.2">
      <c r="A1487" s="2">
        <v>45799</v>
      </c>
      <c r="B1487" t="s">
        <v>2127</v>
      </c>
      <c r="C1487" t="s">
        <v>1</v>
      </c>
      <c r="D1487" t="s">
        <v>3</v>
      </c>
      <c r="E1487">
        <v>1</v>
      </c>
      <c r="F1487" t="s">
        <v>4027</v>
      </c>
      <c r="G1487">
        <v>84</v>
      </c>
    </row>
    <row r="1488" spans="1:7" x14ac:dyDescent="0.2">
      <c r="A1488" s="2">
        <v>45799</v>
      </c>
      <c r="B1488" t="s">
        <v>2133</v>
      </c>
      <c r="C1488" t="s">
        <v>1</v>
      </c>
      <c r="D1488" t="s">
        <v>3</v>
      </c>
      <c r="E1488">
        <v>1</v>
      </c>
      <c r="F1488" t="s">
        <v>4027</v>
      </c>
      <c r="G1488">
        <v>75</v>
      </c>
    </row>
    <row r="1489" spans="1:7" x14ac:dyDescent="0.2">
      <c r="A1489" s="2">
        <v>45799</v>
      </c>
      <c r="B1489" t="s">
        <v>2125</v>
      </c>
      <c r="C1489" t="s">
        <v>1</v>
      </c>
      <c r="D1489" t="s">
        <v>3</v>
      </c>
      <c r="E1489">
        <v>1</v>
      </c>
      <c r="F1489" t="s">
        <v>4027</v>
      </c>
      <c r="G1489">
        <v>72</v>
      </c>
    </row>
    <row r="1490" spans="1:7" x14ac:dyDescent="0.2">
      <c r="A1490" s="2">
        <v>45799</v>
      </c>
      <c r="B1490" t="s">
        <v>2124</v>
      </c>
      <c r="C1490" t="s">
        <v>1</v>
      </c>
      <c r="D1490" t="s">
        <v>3</v>
      </c>
      <c r="E1490">
        <v>1</v>
      </c>
      <c r="F1490" t="s">
        <v>4027</v>
      </c>
      <c r="G1490">
        <v>69</v>
      </c>
    </row>
    <row r="1491" spans="1:7" x14ac:dyDescent="0.2">
      <c r="A1491" s="2">
        <v>45799</v>
      </c>
      <c r="B1491" t="s">
        <v>2123</v>
      </c>
      <c r="C1491" t="s">
        <v>1</v>
      </c>
      <c r="D1491" t="s">
        <v>3</v>
      </c>
      <c r="E1491">
        <v>1</v>
      </c>
      <c r="F1491" t="s">
        <v>4027</v>
      </c>
      <c r="G1491">
        <v>69</v>
      </c>
    </row>
    <row r="1492" spans="1:7" x14ac:dyDescent="0.2">
      <c r="A1492" s="2">
        <v>45799</v>
      </c>
      <c r="B1492" t="s">
        <v>2122</v>
      </c>
      <c r="C1492" t="s">
        <v>1</v>
      </c>
      <c r="D1492" t="s">
        <v>3</v>
      </c>
      <c r="E1492">
        <v>1</v>
      </c>
      <c r="F1492" t="s">
        <v>4027</v>
      </c>
      <c r="G1492">
        <v>63</v>
      </c>
    </row>
    <row r="1493" spans="1:7" x14ac:dyDescent="0.2">
      <c r="A1493" s="2">
        <v>45799</v>
      </c>
      <c r="B1493" t="s">
        <v>2126</v>
      </c>
      <c r="C1493" t="s">
        <v>1</v>
      </c>
      <c r="D1493" t="s">
        <v>3</v>
      </c>
      <c r="E1493">
        <v>1</v>
      </c>
      <c r="F1493" t="s">
        <v>4027</v>
      </c>
      <c r="G1493">
        <v>76</v>
      </c>
    </row>
    <row r="1494" spans="1:7" x14ac:dyDescent="0.2">
      <c r="A1494" s="2">
        <v>45799</v>
      </c>
      <c r="B1494" t="s">
        <v>2132</v>
      </c>
      <c r="C1494" t="s">
        <v>1</v>
      </c>
      <c r="D1494" t="s">
        <v>3</v>
      </c>
      <c r="E1494">
        <v>1</v>
      </c>
      <c r="F1494" t="s">
        <v>4027</v>
      </c>
      <c r="G1494">
        <v>85</v>
      </c>
    </row>
    <row r="1495" spans="1:7" x14ac:dyDescent="0.2">
      <c r="A1495" s="2">
        <v>45800</v>
      </c>
      <c r="B1495" t="s">
        <v>2139</v>
      </c>
      <c r="C1495" t="s">
        <v>1</v>
      </c>
      <c r="D1495" t="s">
        <v>3</v>
      </c>
      <c r="E1495">
        <v>1</v>
      </c>
      <c r="F1495" t="s">
        <v>4027</v>
      </c>
      <c r="G1495">
        <v>78</v>
      </c>
    </row>
    <row r="1496" spans="1:7" x14ac:dyDescent="0.2">
      <c r="A1496" s="2">
        <v>45800</v>
      </c>
      <c r="B1496" t="s">
        <v>2146</v>
      </c>
      <c r="C1496" t="s">
        <v>1</v>
      </c>
      <c r="D1496" t="s">
        <v>3</v>
      </c>
      <c r="E1496">
        <v>1</v>
      </c>
      <c r="F1496" t="s">
        <v>4027</v>
      </c>
      <c r="G1496">
        <v>75</v>
      </c>
    </row>
    <row r="1497" spans="1:7" x14ac:dyDescent="0.2">
      <c r="A1497" s="2">
        <v>45800</v>
      </c>
      <c r="B1497" t="s">
        <v>2147</v>
      </c>
      <c r="C1497" t="s">
        <v>1</v>
      </c>
      <c r="D1497" t="s">
        <v>3</v>
      </c>
      <c r="E1497">
        <v>1</v>
      </c>
      <c r="F1497" t="s">
        <v>4027</v>
      </c>
      <c r="G1497">
        <v>66</v>
      </c>
    </row>
    <row r="1498" spans="1:7" x14ac:dyDescent="0.2">
      <c r="A1498" s="2">
        <v>45800</v>
      </c>
      <c r="B1498" t="s">
        <v>2145</v>
      </c>
      <c r="C1498" t="s">
        <v>1</v>
      </c>
      <c r="D1498" t="s">
        <v>3</v>
      </c>
      <c r="E1498">
        <v>1</v>
      </c>
      <c r="F1498" t="s">
        <v>4027</v>
      </c>
      <c r="G1498">
        <v>86</v>
      </c>
    </row>
    <row r="1499" spans="1:7" x14ac:dyDescent="0.2">
      <c r="A1499" s="2">
        <v>45800</v>
      </c>
      <c r="B1499" t="s">
        <v>2144</v>
      </c>
      <c r="C1499" t="s">
        <v>1</v>
      </c>
      <c r="D1499" t="s">
        <v>3</v>
      </c>
      <c r="E1499">
        <v>1</v>
      </c>
      <c r="F1499" t="s">
        <v>4027</v>
      </c>
      <c r="G1499">
        <v>63</v>
      </c>
    </row>
    <row r="1500" spans="1:7" x14ac:dyDescent="0.2">
      <c r="A1500" s="2">
        <v>45800</v>
      </c>
      <c r="B1500" t="s">
        <v>2143</v>
      </c>
      <c r="C1500" t="s">
        <v>1</v>
      </c>
      <c r="D1500" t="s">
        <v>3</v>
      </c>
      <c r="E1500">
        <v>1</v>
      </c>
      <c r="F1500" t="s">
        <v>4027</v>
      </c>
      <c r="G1500">
        <v>71</v>
      </c>
    </row>
    <row r="1501" spans="1:7" x14ac:dyDescent="0.2">
      <c r="A1501" s="2">
        <v>45800</v>
      </c>
      <c r="B1501" t="s">
        <v>2141</v>
      </c>
      <c r="C1501" t="s">
        <v>1</v>
      </c>
      <c r="D1501" t="s">
        <v>3</v>
      </c>
      <c r="E1501">
        <v>1</v>
      </c>
      <c r="F1501" t="s">
        <v>4027</v>
      </c>
      <c r="G1501">
        <v>65</v>
      </c>
    </row>
    <row r="1502" spans="1:7" x14ac:dyDescent="0.2">
      <c r="A1502" s="2">
        <v>45800</v>
      </c>
      <c r="B1502" t="s">
        <v>2142</v>
      </c>
      <c r="C1502" t="s">
        <v>1</v>
      </c>
      <c r="D1502" t="s">
        <v>3</v>
      </c>
      <c r="E1502">
        <v>1</v>
      </c>
      <c r="F1502" t="s">
        <v>4027</v>
      </c>
      <c r="G1502">
        <v>82</v>
      </c>
    </row>
    <row r="1503" spans="1:7" x14ac:dyDescent="0.2">
      <c r="A1503" s="2">
        <v>45800</v>
      </c>
      <c r="B1503" t="s">
        <v>2138</v>
      </c>
      <c r="C1503" t="s">
        <v>1</v>
      </c>
      <c r="D1503" t="s">
        <v>3</v>
      </c>
      <c r="E1503">
        <v>1</v>
      </c>
      <c r="F1503" t="s">
        <v>4027</v>
      </c>
      <c r="G1503">
        <v>85</v>
      </c>
    </row>
    <row r="1504" spans="1:7" x14ac:dyDescent="0.2">
      <c r="A1504" s="2">
        <v>45800</v>
      </c>
      <c r="B1504" t="s">
        <v>2137</v>
      </c>
      <c r="C1504" t="s">
        <v>1</v>
      </c>
      <c r="D1504" t="s">
        <v>3</v>
      </c>
      <c r="E1504">
        <v>1</v>
      </c>
      <c r="F1504" t="s">
        <v>4027</v>
      </c>
      <c r="G1504">
        <v>71</v>
      </c>
    </row>
    <row r="1505" spans="1:7" x14ac:dyDescent="0.2">
      <c r="A1505" s="2">
        <v>45800</v>
      </c>
      <c r="B1505" t="s">
        <v>2136</v>
      </c>
      <c r="C1505" t="s">
        <v>1</v>
      </c>
      <c r="D1505" t="s">
        <v>3</v>
      </c>
      <c r="E1505">
        <v>1</v>
      </c>
      <c r="F1505" t="s">
        <v>4027</v>
      </c>
      <c r="G1505">
        <v>87</v>
      </c>
    </row>
    <row r="1506" spans="1:7" x14ac:dyDescent="0.2">
      <c r="A1506" s="2">
        <v>45800</v>
      </c>
      <c r="B1506" t="s">
        <v>2135</v>
      </c>
      <c r="C1506" t="s">
        <v>1</v>
      </c>
      <c r="D1506" t="s">
        <v>3</v>
      </c>
      <c r="E1506">
        <v>1</v>
      </c>
      <c r="F1506" t="s">
        <v>4027</v>
      </c>
      <c r="G1506">
        <v>61</v>
      </c>
    </row>
    <row r="1507" spans="1:7" x14ac:dyDescent="0.2">
      <c r="A1507" s="2">
        <v>45800</v>
      </c>
      <c r="B1507" t="s">
        <v>2134</v>
      </c>
      <c r="C1507" t="s">
        <v>1</v>
      </c>
      <c r="D1507" t="s">
        <v>3</v>
      </c>
      <c r="E1507">
        <v>1</v>
      </c>
      <c r="F1507" t="s">
        <v>4027</v>
      </c>
      <c r="G1507">
        <v>69</v>
      </c>
    </row>
    <row r="1508" spans="1:7" x14ac:dyDescent="0.2">
      <c r="A1508" s="2">
        <v>45800</v>
      </c>
      <c r="B1508" t="s">
        <v>2140</v>
      </c>
      <c r="C1508" t="s">
        <v>1</v>
      </c>
      <c r="D1508" t="s">
        <v>3</v>
      </c>
      <c r="E1508">
        <v>1</v>
      </c>
      <c r="F1508" t="s">
        <v>4027</v>
      </c>
      <c r="G1508">
        <v>73</v>
      </c>
    </row>
    <row r="1509" spans="1:7" x14ac:dyDescent="0.2">
      <c r="A1509" s="2">
        <v>45801</v>
      </c>
      <c r="B1509" t="s">
        <v>1236</v>
      </c>
      <c r="C1509" t="s">
        <v>2</v>
      </c>
      <c r="D1509" t="s">
        <v>4</v>
      </c>
      <c r="E1509">
        <v>1</v>
      </c>
      <c r="F1509" t="s">
        <v>600</v>
      </c>
      <c r="G1509">
        <v>22</v>
      </c>
    </row>
    <row r="1510" spans="1:7" x14ac:dyDescent="0.2">
      <c r="A1510" s="2">
        <v>45801</v>
      </c>
      <c r="B1510" t="s">
        <v>1246</v>
      </c>
      <c r="C1510" t="s">
        <v>2</v>
      </c>
      <c r="D1510" t="s">
        <v>4</v>
      </c>
      <c r="E1510">
        <v>1</v>
      </c>
      <c r="F1510" t="s">
        <v>600</v>
      </c>
      <c r="G1510">
        <v>22</v>
      </c>
    </row>
    <row r="1511" spans="1:7" x14ac:dyDescent="0.2">
      <c r="A1511" s="2">
        <v>45801</v>
      </c>
      <c r="B1511" t="s">
        <v>1224</v>
      </c>
      <c r="C1511" t="s">
        <v>2</v>
      </c>
      <c r="D1511" t="s">
        <v>4</v>
      </c>
      <c r="E1511">
        <v>1</v>
      </c>
      <c r="F1511" t="s">
        <v>600</v>
      </c>
      <c r="G1511">
        <v>22</v>
      </c>
    </row>
    <row r="1512" spans="1:7" x14ac:dyDescent="0.2">
      <c r="A1512" s="2">
        <v>45801</v>
      </c>
      <c r="B1512" t="s">
        <v>1239</v>
      </c>
      <c r="C1512" t="s">
        <v>2</v>
      </c>
      <c r="D1512" t="s">
        <v>4</v>
      </c>
      <c r="E1512">
        <v>1</v>
      </c>
      <c r="F1512" t="s">
        <v>600</v>
      </c>
      <c r="G1512">
        <v>22</v>
      </c>
    </row>
    <row r="1513" spans="1:7" x14ac:dyDescent="0.2">
      <c r="A1513" s="2">
        <v>45801</v>
      </c>
      <c r="B1513" t="s">
        <v>1231</v>
      </c>
      <c r="C1513" t="s">
        <v>2</v>
      </c>
      <c r="D1513" t="s">
        <v>4</v>
      </c>
      <c r="E1513">
        <v>1</v>
      </c>
      <c r="F1513" t="s">
        <v>600</v>
      </c>
      <c r="G1513">
        <v>22</v>
      </c>
    </row>
    <row r="1514" spans="1:7" x14ac:dyDescent="0.2">
      <c r="A1514" s="2">
        <v>45801</v>
      </c>
      <c r="B1514" t="s">
        <v>1221</v>
      </c>
      <c r="C1514" t="s">
        <v>2</v>
      </c>
      <c r="D1514" t="s">
        <v>4</v>
      </c>
      <c r="E1514">
        <v>1</v>
      </c>
      <c r="F1514" t="s">
        <v>600</v>
      </c>
      <c r="G1514">
        <v>22</v>
      </c>
    </row>
    <row r="1515" spans="1:7" x14ac:dyDescent="0.2">
      <c r="A1515" s="2">
        <v>45801</v>
      </c>
      <c r="B1515" t="s">
        <v>2151</v>
      </c>
      <c r="C1515" t="s">
        <v>1</v>
      </c>
      <c r="D1515" t="s">
        <v>3</v>
      </c>
      <c r="E1515">
        <v>1</v>
      </c>
      <c r="F1515" t="s">
        <v>4027</v>
      </c>
      <c r="G1515">
        <v>80</v>
      </c>
    </row>
    <row r="1516" spans="1:7" x14ac:dyDescent="0.2">
      <c r="A1516" s="2">
        <v>45801</v>
      </c>
      <c r="B1516" t="s">
        <v>2150</v>
      </c>
      <c r="C1516" t="s">
        <v>1</v>
      </c>
      <c r="D1516" t="s">
        <v>3</v>
      </c>
      <c r="E1516">
        <v>1</v>
      </c>
      <c r="F1516" t="s">
        <v>4027</v>
      </c>
      <c r="G1516">
        <v>89</v>
      </c>
    </row>
    <row r="1517" spans="1:7" x14ac:dyDescent="0.2">
      <c r="A1517" s="2">
        <v>45801</v>
      </c>
      <c r="B1517" t="s">
        <v>2149</v>
      </c>
      <c r="C1517" t="s">
        <v>1</v>
      </c>
      <c r="D1517" t="s">
        <v>3</v>
      </c>
      <c r="E1517">
        <v>1</v>
      </c>
      <c r="F1517" t="s">
        <v>4027</v>
      </c>
      <c r="G1517">
        <v>64</v>
      </c>
    </row>
    <row r="1518" spans="1:7" x14ac:dyDescent="0.2">
      <c r="A1518" s="2">
        <v>45801</v>
      </c>
      <c r="B1518" t="s">
        <v>2148</v>
      </c>
      <c r="C1518" t="s">
        <v>1</v>
      </c>
      <c r="D1518" t="s">
        <v>3</v>
      </c>
      <c r="E1518">
        <v>1</v>
      </c>
      <c r="F1518" t="s">
        <v>4027</v>
      </c>
      <c r="G1518">
        <v>76</v>
      </c>
    </row>
    <row r="1519" spans="1:7" x14ac:dyDescent="0.2">
      <c r="A1519" s="2">
        <v>45801</v>
      </c>
      <c r="B1519" t="s">
        <v>1229</v>
      </c>
      <c r="C1519" t="s">
        <v>2</v>
      </c>
      <c r="D1519" t="s">
        <v>4</v>
      </c>
      <c r="E1519">
        <v>1</v>
      </c>
      <c r="F1519" t="s">
        <v>600</v>
      </c>
      <c r="G1519">
        <v>22</v>
      </c>
    </row>
    <row r="1520" spans="1:7" x14ac:dyDescent="0.2">
      <c r="A1520" s="2">
        <v>45803</v>
      </c>
      <c r="B1520" t="s">
        <v>1248</v>
      </c>
      <c r="C1520" t="s">
        <v>2</v>
      </c>
      <c r="D1520" t="s">
        <v>4</v>
      </c>
      <c r="E1520">
        <v>1</v>
      </c>
      <c r="F1520" t="s">
        <v>600</v>
      </c>
      <c r="G1520">
        <v>22</v>
      </c>
    </row>
    <row r="1521" spans="1:7" x14ac:dyDescent="0.2">
      <c r="A1521" s="2">
        <v>45803</v>
      </c>
      <c r="B1521" t="s">
        <v>2161</v>
      </c>
      <c r="C1521" t="s">
        <v>1</v>
      </c>
      <c r="D1521" t="s">
        <v>3</v>
      </c>
      <c r="E1521">
        <v>1</v>
      </c>
      <c r="F1521" t="s">
        <v>4027</v>
      </c>
      <c r="G1521">
        <v>83</v>
      </c>
    </row>
    <row r="1522" spans="1:7" x14ac:dyDescent="0.2">
      <c r="A1522" s="2">
        <v>45803</v>
      </c>
      <c r="B1522" t="s">
        <v>2156</v>
      </c>
      <c r="C1522" t="s">
        <v>1</v>
      </c>
      <c r="D1522" t="s">
        <v>3</v>
      </c>
      <c r="E1522">
        <v>1</v>
      </c>
      <c r="F1522" t="s">
        <v>4027</v>
      </c>
      <c r="G1522">
        <v>77</v>
      </c>
    </row>
    <row r="1523" spans="1:7" x14ac:dyDescent="0.2">
      <c r="A1523" s="2">
        <v>45803</v>
      </c>
      <c r="B1523" t="s">
        <v>2159</v>
      </c>
      <c r="C1523" t="s">
        <v>1</v>
      </c>
      <c r="D1523" t="s">
        <v>3</v>
      </c>
      <c r="E1523">
        <v>1</v>
      </c>
      <c r="F1523" t="s">
        <v>4027</v>
      </c>
      <c r="G1523">
        <v>64</v>
      </c>
    </row>
    <row r="1524" spans="1:7" x14ac:dyDescent="0.2">
      <c r="A1524" s="2">
        <v>45803</v>
      </c>
      <c r="B1524" t="s">
        <v>2152</v>
      </c>
      <c r="C1524" t="s">
        <v>1</v>
      </c>
      <c r="D1524" t="s">
        <v>3</v>
      </c>
      <c r="E1524">
        <v>1</v>
      </c>
      <c r="F1524" t="s">
        <v>4027</v>
      </c>
      <c r="G1524">
        <v>71</v>
      </c>
    </row>
    <row r="1525" spans="1:7" x14ac:dyDescent="0.2">
      <c r="A1525" s="2">
        <v>45803</v>
      </c>
      <c r="B1525" t="s">
        <v>2153</v>
      </c>
      <c r="C1525" t="s">
        <v>1</v>
      </c>
      <c r="D1525" t="s">
        <v>3</v>
      </c>
      <c r="E1525">
        <v>1</v>
      </c>
      <c r="F1525" t="s">
        <v>4027</v>
      </c>
      <c r="G1525">
        <v>66</v>
      </c>
    </row>
    <row r="1526" spans="1:7" x14ac:dyDescent="0.2">
      <c r="A1526" s="2">
        <v>45803</v>
      </c>
      <c r="B1526" t="s">
        <v>2154</v>
      </c>
      <c r="C1526" t="s">
        <v>1</v>
      </c>
      <c r="D1526" t="s">
        <v>3</v>
      </c>
      <c r="E1526">
        <v>1</v>
      </c>
      <c r="F1526" t="s">
        <v>4027</v>
      </c>
      <c r="G1526">
        <v>89</v>
      </c>
    </row>
    <row r="1527" spans="1:7" x14ac:dyDescent="0.2">
      <c r="A1527" s="2">
        <v>45803</v>
      </c>
      <c r="B1527" t="s">
        <v>2155</v>
      </c>
      <c r="C1527" t="s">
        <v>1</v>
      </c>
      <c r="D1527" t="s">
        <v>3</v>
      </c>
      <c r="E1527">
        <v>1</v>
      </c>
      <c r="F1527" t="s">
        <v>4027</v>
      </c>
      <c r="G1527">
        <v>76</v>
      </c>
    </row>
    <row r="1528" spans="1:7" x14ac:dyDescent="0.2">
      <c r="A1528" s="2">
        <v>45803</v>
      </c>
      <c r="B1528" t="s">
        <v>2157</v>
      </c>
      <c r="C1528" t="s">
        <v>1</v>
      </c>
      <c r="D1528" t="s">
        <v>3</v>
      </c>
      <c r="E1528">
        <v>1</v>
      </c>
      <c r="F1528" t="s">
        <v>4027</v>
      </c>
      <c r="G1528">
        <v>86</v>
      </c>
    </row>
    <row r="1529" spans="1:7" x14ac:dyDescent="0.2">
      <c r="A1529" s="2">
        <v>45803</v>
      </c>
      <c r="B1529" t="s">
        <v>2158</v>
      </c>
      <c r="C1529" t="s">
        <v>1</v>
      </c>
      <c r="D1529" t="s">
        <v>3</v>
      </c>
      <c r="E1529">
        <v>1</v>
      </c>
      <c r="F1529" t="s">
        <v>4027</v>
      </c>
      <c r="G1529">
        <v>78</v>
      </c>
    </row>
    <row r="1530" spans="1:7" x14ac:dyDescent="0.2">
      <c r="A1530" s="2">
        <v>45803</v>
      </c>
      <c r="B1530" t="s">
        <v>2160</v>
      </c>
      <c r="C1530" t="s">
        <v>1</v>
      </c>
      <c r="D1530" t="s">
        <v>3</v>
      </c>
      <c r="E1530">
        <v>1</v>
      </c>
      <c r="F1530" t="s">
        <v>4027</v>
      </c>
      <c r="G1530">
        <v>88</v>
      </c>
    </row>
    <row r="1531" spans="1:7" x14ac:dyDescent="0.2">
      <c r="A1531" s="2">
        <v>45804</v>
      </c>
      <c r="B1531" t="s">
        <v>1252</v>
      </c>
      <c r="C1531" t="s">
        <v>2</v>
      </c>
      <c r="D1531" t="s">
        <v>4</v>
      </c>
      <c r="E1531">
        <v>1</v>
      </c>
      <c r="F1531" t="s">
        <v>600</v>
      </c>
      <c r="G1531">
        <v>22</v>
      </c>
    </row>
    <row r="1532" spans="1:7" x14ac:dyDescent="0.2">
      <c r="A1532" s="2">
        <v>45804</v>
      </c>
      <c r="B1532" t="s">
        <v>1258</v>
      </c>
      <c r="C1532" t="s">
        <v>2</v>
      </c>
      <c r="D1532" t="s">
        <v>4</v>
      </c>
      <c r="E1532">
        <v>1</v>
      </c>
      <c r="F1532" t="s">
        <v>600</v>
      </c>
      <c r="G1532">
        <v>22</v>
      </c>
    </row>
    <row r="1533" spans="1:7" x14ac:dyDescent="0.2">
      <c r="A1533" s="2">
        <v>45804</v>
      </c>
      <c r="B1533" t="s">
        <v>1277</v>
      </c>
      <c r="C1533" t="s">
        <v>2</v>
      </c>
      <c r="D1533" t="s">
        <v>4</v>
      </c>
      <c r="E1533">
        <v>1</v>
      </c>
      <c r="F1533" t="s">
        <v>600</v>
      </c>
      <c r="G1533">
        <v>22</v>
      </c>
    </row>
    <row r="1534" spans="1:7" x14ac:dyDescent="0.2">
      <c r="A1534" s="2">
        <v>45804</v>
      </c>
      <c r="B1534" t="s">
        <v>3459</v>
      </c>
      <c r="C1534" t="s">
        <v>2</v>
      </c>
      <c r="D1534" t="s">
        <v>4</v>
      </c>
      <c r="E1534">
        <v>1</v>
      </c>
      <c r="F1534" t="s">
        <v>600</v>
      </c>
      <c r="G1534">
        <v>22</v>
      </c>
    </row>
    <row r="1535" spans="1:7" x14ac:dyDescent="0.2">
      <c r="A1535" s="2">
        <v>45804</v>
      </c>
      <c r="B1535" t="s">
        <v>3460</v>
      </c>
      <c r="C1535" t="s">
        <v>2</v>
      </c>
      <c r="D1535" t="s">
        <v>4</v>
      </c>
      <c r="E1535">
        <v>1</v>
      </c>
      <c r="F1535" t="s">
        <v>600</v>
      </c>
      <c r="G1535">
        <v>22</v>
      </c>
    </row>
    <row r="1536" spans="1:7" x14ac:dyDescent="0.2">
      <c r="A1536" s="2">
        <v>45804</v>
      </c>
      <c r="B1536" t="s">
        <v>3461</v>
      </c>
      <c r="C1536" t="s">
        <v>2</v>
      </c>
      <c r="D1536" t="s">
        <v>4</v>
      </c>
      <c r="E1536">
        <v>1</v>
      </c>
      <c r="F1536" t="s">
        <v>600</v>
      </c>
      <c r="G1536">
        <v>22</v>
      </c>
    </row>
    <row r="1537" spans="1:7" x14ac:dyDescent="0.2">
      <c r="A1537" s="2">
        <v>45804</v>
      </c>
      <c r="B1537" t="s">
        <v>3462</v>
      </c>
      <c r="C1537" t="s">
        <v>2</v>
      </c>
      <c r="D1537" t="s">
        <v>4</v>
      </c>
      <c r="E1537">
        <v>1</v>
      </c>
      <c r="F1537" t="s">
        <v>600</v>
      </c>
      <c r="G1537">
        <v>22</v>
      </c>
    </row>
    <row r="1538" spans="1:7" x14ac:dyDescent="0.2">
      <c r="A1538" s="2">
        <v>45804</v>
      </c>
      <c r="B1538" t="s">
        <v>3463</v>
      </c>
      <c r="C1538" t="s">
        <v>2</v>
      </c>
      <c r="D1538" t="s">
        <v>4</v>
      </c>
      <c r="E1538">
        <v>1</v>
      </c>
      <c r="F1538" t="s">
        <v>600</v>
      </c>
      <c r="G1538">
        <v>22</v>
      </c>
    </row>
    <row r="1539" spans="1:7" x14ac:dyDescent="0.2">
      <c r="A1539" s="2">
        <v>45804</v>
      </c>
      <c r="B1539" t="s">
        <v>3464</v>
      </c>
      <c r="C1539" t="s">
        <v>2</v>
      </c>
      <c r="D1539" t="s">
        <v>4</v>
      </c>
      <c r="E1539">
        <v>1</v>
      </c>
      <c r="F1539" t="s">
        <v>600</v>
      </c>
      <c r="G1539">
        <v>22</v>
      </c>
    </row>
    <row r="1540" spans="1:7" x14ac:dyDescent="0.2">
      <c r="A1540" s="2">
        <v>45804</v>
      </c>
      <c r="B1540" t="s">
        <v>1269</v>
      </c>
      <c r="C1540" t="s">
        <v>2</v>
      </c>
      <c r="D1540" t="s">
        <v>4</v>
      </c>
      <c r="E1540">
        <v>1</v>
      </c>
      <c r="F1540" t="s">
        <v>600</v>
      </c>
      <c r="G1540">
        <v>22</v>
      </c>
    </row>
    <row r="1541" spans="1:7" x14ac:dyDescent="0.2">
      <c r="A1541" s="2">
        <v>45804</v>
      </c>
      <c r="B1541" t="s">
        <v>2166</v>
      </c>
      <c r="C1541" t="s">
        <v>1</v>
      </c>
      <c r="D1541" t="s">
        <v>3</v>
      </c>
      <c r="E1541">
        <v>1</v>
      </c>
      <c r="F1541" t="s">
        <v>4027</v>
      </c>
      <c r="G1541">
        <v>76</v>
      </c>
    </row>
    <row r="1542" spans="1:7" x14ac:dyDescent="0.2">
      <c r="A1542" s="2">
        <v>45804</v>
      </c>
      <c r="B1542" t="s">
        <v>3466</v>
      </c>
      <c r="C1542" t="s">
        <v>2</v>
      </c>
      <c r="D1542" t="s">
        <v>4</v>
      </c>
      <c r="E1542">
        <v>1</v>
      </c>
      <c r="F1542" t="s">
        <v>600</v>
      </c>
      <c r="G1542">
        <v>22</v>
      </c>
    </row>
    <row r="1543" spans="1:7" x14ac:dyDescent="0.2">
      <c r="A1543" s="2">
        <v>45804</v>
      </c>
      <c r="B1543" t="s">
        <v>2169</v>
      </c>
      <c r="C1543" t="s">
        <v>1</v>
      </c>
      <c r="D1543" t="s">
        <v>3</v>
      </c>
      <c r="E1543">
        <v>1</v>
      </c>
      <c r="F1543" t="s">
        <v>4027</v>
      </c>
      <c r="G1543">
        <v>70</v>
      </c>
    </row>
    <row r="1544" spans="1:7" x14ac:dyDescent="0.2">
      <c r="A1544" s="2">
        <v>45804</v>
      </c>
      <c r="B1544" t="s">
        <v>2162</v>
      </c>
      <c r="C1544" t="s">
        <v>1</v>
      </c>
      <c r="D1544" t="s">
        <v>3</v>
      </c>
      <c r="E1544">
        <v>1</v>
      </c>
      <c r="F1544" t="s">
        <v>4027</v>
      </c>
      <c r="G1544">
        <v>84</v>
      </c>
    </row>
    <row r="1545" spans="1:7" x14ac:dyDescent="0.2">
      <c r="A1545" s="2">
        <v>45804</v>
      </c>
      <c r="B1545" t="s">
        <v>2163</v>
      </c>
      <c r="C1545" t="s">
        <v>1</v>
      </c>
      <c r="D1545" t="s">
        <v>3</v>
      </c>
      <c r="E1545">
        <v>1</v>
      </c>
      <c r="F1545" t="s">
        <v>4027</v>
      </c>
      <c r="G1545">
        <v>71</v>
      </c>
    </row>
    <row r="1546" spans="1:7" x14ac:dyDescent="0.2">
      <c r="A1546" s="2">
        <v>45804</v>
      </c>
      <c r="B1546" t="s">
        <v>2164</v>
      </c>
      <c r="C1546" t="s">
        <v>1</v>
      </c>
      <c r="D1546" t="s">
        <v>3</v>
      </c>
      <c r="E1546">
        <v>1</v>
      </c>
      <c r="F1546" t="s">
        <v>4027</v>
      </c>
      <c r="G1546">
        <v>66</v>
      </c>
    </row>
    <row r="1547" spans="1:7" x14ac:dyDescent="0.2">
      <c r="A1547" s="2">
        <v>45804</v>
      </c>
      <c r="B1547" t="s">
        <v>2165</v>
      </c>
      <c r="C1547" t="s">
        <v>1</v>
      </c>
      <c r="D1547" t="s">
        <v>3</v>
      </c>
      <c r="E1547">
        <v>1</v>
      </c>
      <c r="F1547" t="s">
        <v>4027</v>
      </c>
      <c r="G1547">
        <v>65</v>
      </c>
    </row>
    <row r="1548" spans="1:7" x14ac:dyDescent="0.2">
      <c r="A1548" s="2">
        <v>45804</v>
      </c>
      <c r="B1548" t="s">
        <v>3465</v>
      </c>
      <c r="C1548" t="s">
        <v>2</v>
      </c>
      <c r="D1548" t="s">
        <v>4</v>
      </c>
      <c r="E1548">
        <v>1</v>
      </c>
      <c r="F1548" t="s">
        <v>600</v>
      </c>
      <c r="G1548">
        <v>22</v>
      </c>
    </row>
    <row r="1549" spans="1:7" x14ac:dyDescent="0.2">
      <c r="A1549" s="2">
        <v>45804</v>
      </c>
      <c r="B1549" t="s">
        <v>2167</v>
      </c>
      <c r="C1549" t="s">
        <v>1</v>
      </c>
      <c r="D1549" t="s">
        <v>3</v>
      </c>
      <c r="E1549">
        <v>1</v>
      </c>
      <c r="F1549" t="s">
        <v>4027</v>
      </c>
      <c r="G1549">
        <v>78</v>
      </c>
    </row>
    <row r="1550" spans="1:7" x14ac:dyDescent="0.2">
      <c r="A1550" s="2">
        <v>45804</v>
      </c>
      <c r="B1550" t="s">
        <v>2171</v>
      </c>
      <c r="C1550" t="s">
        <v>1</v>
      </c>
      <c r="D1550" t="s">
        <v>3</v>
      </c>
      <c r="E1550">
        <v>1</v>
      </c>
      <c r="F1550" t="s">
        <v>4027</v>
      </c>
      <c r="G1550">
        <v>75</v>
      </c>
    </row>
    <row r="1551" spans="1:7" x14ac:dyDescent="0.2">
      <c r="A1551" s="2">
        <v>45804</v>
      </c>
      <c r="B1551" t="s">
        <v>2170</v>
      </c>
      <c r="C1551" t="s">
        <v>1</v>
      </c>
      <c r="D1551" t="s">
        <v>3</v>
      </c>
      <c r="E1551">
        <v>1</v>
      </c>
      <c r="F1551" t="s">
        <v>4027</v>
      </c>
      <c r="G1551">
        <v>60</v>
      </c>
    </row>
    <row r="1552" spans="1:7" x14ac:dyDescent="0.2">
      <c r="A1552" s="2">
        <v>45804</v>
      </c>
      <c r="B1552" t="s">
        <v>2168</v>
      </c>
      <c r="C1552" t="s">
        <v>1</v>
      </c>
      <c r="D1552" t="s">
        <v>3</v>
      </c>
      <c r="E1552">
        <v>1</v>
      </c>
      <c r="F1552" t="s">
        <v>4027</v>
      </c>
      <c r="G1552">
        <v>84</v>
      </c>
    </row>
    <row r="1553" spans="1:7" x14ac:dyDescent="0.2">
      <c r="A1553" s="2">
        <v>45805</v>
      </c>
      <c r="B1553" t="s">
        <v>2178</v>
      </c>
      <c r="C1553" t="s">
        <v>1</v>
      </c>
      <c r="D1553" t="s">
        <v>3</v>
      </c>
      <c r="E1553">
        <v>1</v>
      </c>
      <c r="F1553" t="s">
        <v>4027</v>
      </c>
      <c r="G1553">
        <v>82</v>
      </c>
    </row>
    <row r="1554" spans="1:7" x14ac:dyDescent="0.2">
      <c r="A1554" s="2">
        <v>45805</v>
      </c>
      <c r="B1554" t="s">
        <v>2172</v>
      </c>
      <c r="C1554" t="s">
        <v>1</v>
      </c>
      <c r="D1554" t="s">
        <v>3</v>
      </c>
      <c r="E1554">
        <v>1</v>
      </c>
      <c r="F1554" t="s">
        <v>4027</v>
      </c>
      <c r="G1554">
        <v>68</v>
      </c>
    </row>
    <row r="1555" spans="1:7" x14ac:dyDescent="0.2">
      <c r="A1555" s="2">
        <v>45805</v>
      </c>
      <c r="B1555" t="s">
        <v>2173</v>
      </c>
      <c r="C1555" t="s">
        <v>1</v>
      </c>
      <c r="D1555" t="s">
        <v>3</v>
      </c>
      <c r="E1555">
        <v>1</v>
      </c>
      <c r="F1555" t="s">
        <v>4027</v>
      </c>
      <c r="G1555">
        <v>79</v>
      </c>
    </row>
    <row r="1556" spans="1:7" x14ac:dyDescent="0.2">
      <c r="A1556" s="2">
        <v>45805</v>
      </c>
      <c r="B1556" t="s">
        <v>2174</v>
      </c>
      <c r="C1556" t="s">
        <v>1</v>
      </c>
      <c r="D1556" t="s">
        <v>3</v>
      </c>
      <c r="E1556">
        <v>1</v>
      </c>
      <c r="F1556" t="s">
        <v>4027</v>
      </c>
      <c r="G1556">
        <v>64</v>
      </c>
    </row>
    <row r="1557" spans="1:7" x14ac:dyDescent="0.2">
      <c r="A1557" s="2">
        <v>45805</v>
      </c>
      <c r="B1557" t="s">
        <v>2175</v>
      </c>
      <c r="C1557" t="s">
        <v>1</v>
      </c>
      <c r="D1557" t="s">
        <v>3</v>
      </c>
      <c r="E1557">
        <v>1</v>
      </c>
      <c r="F1557" t="s">
        <v>4027</v>
      </c>
      <c r="G1557">
        <v>84</v>
      </c>
    </row>
    <row r="1558" spans="1:7" x14ac:dyDescent="0.2">
      <c r="A1558" s="2">
        <v>45805</v>
      </c>
      <c r="B1558" t="s">
        <v>2176</v>
      </c>
      <c r="C1558" t="s">
        <v>1</v>
      </c>
      <c r="D1558" t="s">
        <v>3</v>
      </c>
      <c r="E1558">
        <v>1</v>
      </c>
      <c r="F1558" t="s">
        <v>4027</v>
      </c>
      <c r="G1558">
        <v>89</v>
      </c>
    </row>
    <row r="1559" spans="1:7" x14ac:dyDescent="0.2">
      <c r="A1559" s="2">
        <v>45805</v>
      </c>
      <c r="B1559" t="s">
        <v>2177</v>
      </c>
      <c r="C1559" t="s">
        <v>1</v>
      </c>
      <c r="D1559" t="s">
        <v>3</v>
      </c>
      <c r="E1559">
        <v>1</v>
      </c>
      <c r="F1559" t="s">
        <v>4027</v>
      </c>
      <c r="G1559">
        <v>71</v>
      </c>
    </row>
    <row r="1560" spans="1:7" x14ac:dyDescent="0.2">
      <c r="A1560" s="2">
        <v>45805</v>
      </c>
      <c r="B1560" t="s">
        <v>2179</v>
      </c>
      <c r="C1560" t="s">
        <v>1</v>
      </c>
      <c r="D1560" t="s">
        <v>3</v>
      </c>
      <c r="E1560">
        <v>1</v>
      </c>
      <c r="F1560" t="s">
        <v>4027</v>
      </c>
      <c r="G1560">
        <v>78</v>
      </c>
    </row>
    <row r="1561" spans="1:7" x14ac:dyDescent="0.2">
      <c r="A1561" s="2">
        <v>45806</v>
      </c>
      <c r="B1561" t="s">
        <v>2193</v>
      </c>
      <c r="C1561" t="s">
        <v>1</v>
      </c>
      <c r="D1561" t="s">
        <v>3</v>
      </c>
      <c r="E1561">
        <v>1</v>
      </c>
      <c r="F1561" t="s">
        <v>4027</v>
      </c>
      <c r="G1561">
        <v>60</v>
      </c>
    </row>
    <row r="1562" spans="1:7" x14ac:dyDescent="0.2">
      <c r="A1562" s="2">
        <v>45806</v>
      </c>
      <c r="B1562" t="s">
        <v>2191</v>
      </c>
      <c r="C1562" t="s">
        <v>1</v>
      </c>
      <c r="D1562" t="s">
        <v>3</v>
      </c>
      <c r="E1562">
        <v>1</v>
      </c>
      <c r="F1562" t="s">
        <v>4027</v>
      </c>
      <c r="G1562">
        <v>63</v>
      </c>
    </row>
    <row r="1563" spans="1:7" x14ac:dyDescent="0.2">
      <c r="A1563" s="2">
        <v>45806</v>
      </c>
      <c r="B1563" t="s">
        <v>2190</v>
      </c>
      <c r="C1563" t="s">
        <v>1</v>
      </c>
      <c r="D1563" t="s">
        <v>3</v>
      </c>
      <c r="E1563">
        <v>1</v>
      </c>
      <c r="F1563" t="s">
        <v>4027</v>
      </c>
      <c r="G1563">
        <v>89</v>
      </c>
    </row>
    <row r="1564" spans="1:7" x14ac:dyDescent="0.2">
      <c r="A1564" s="2">
        <v>45806</v>
      </c>
      <c r="B1564" t="s">
        <v>2194</v>
      </c>
      <c r="C1564" t="s">
        <v>1</v>
      </c>
      <c r="D1564" t="s">
        <v>3</v>
      </c>
      <c r="E1564">
        <v>1</v>
      </c>
      <c r="F1564" t="s">
        <v>4027</v>
      </c>
      <c r="G1564">
        <v>75</v>
      </c>
    </row>
    <row r="1565" spans="1:7" x14ac:dyDescent="0.2">
      <c r="A1565" s="2">
        <v>45806</v>
      </c>
      <c r="B1565" t="s">
        <v>2192</v>
      </c>
      <c r="C1565" t="s">
        <v>1</v>
      </c>
      <c r="D1565" t="s">
        <v>3</v>
      </c>
      <c r="E1565">
        <v>1</v>
      </c>
      <c r="F1565" t="s">
        <v>4027</v>
      </c>
      <c r="G1565">
        <v>64</v>
      </c>
    </row>
    <row r="1566" spans="1:7" x14ac:dyDescent="0.2">
      <c r="A1566" s="2">
        <v>45806</v>
      </c>
      <c r="B1566" t="s">
        <v>2189</v>
      </c>
      <c r="C1566" t="s">
        <v>1</v>
      </c>
      <c r="D1566" t="s">
        <v>3</v>
      </c>
      <c r="E1566">
        <v>1</v>
      </c>
      <c r="F1566" t="s">
        <v>4027</v>
      </c>
      <c r="G1566">
        <v>71</v>
      </c>
    </row>
    <row r="1567" spans="1:7" x14ac:dyDescent="0.2">
      <c r="A1567" s="2">
        <v>45806</v>
      </c>
      <c r="B1567" t="s">
        <v>2188</v>
      </c>
      <c r="C1567" t="s">
        <v>1</v>
      </c>
      <c r="D1567" t="s">
        <v>3</v>
      </c>
      <c r="E1567">
        <v>1</v>
      </c>
      <c r="F1567" t="s">
        <v>4027</v>
      </c>
      <c r="G1567">
        <v>84</v>
      </c>
    </row>
    <row r="1568" spans="1:7" x14ac:dyDescent="0.2">
      <c r="A1568" s="2">
        <v>45806</v>
      </c>
      <c r="B1568" t="s">
        <v>2186</v>
      </c>
      <c r="C1568" t="s">
        <v>1</v>
      </c>
      <c r="D1568" t="s">
        <v>3</v>
      </c>
      <c r="E1568">
        <v>1</v>
      </c>
      <c r="F1568" t="s">
        <v>4027</v>
      </c>
      <c r="G1568">
        <v>60</v>
      </c>
    </row>
    <row r="1569" spans="1:7" x14ac:dyDescent="0.2">
      <c r="A1569" s="2">
        <v>45806</v>
      </c>
      <c r="B1569" t="s">
        <v>2187</v>
      </c>
      <c r="C1569" t="s">
        <v>1</v>
      </c>
      <c r="D1569" t="s">
        <v>3</v>
      </c>
      <c r="E1569">
        <v>1</v>
      </c>
      <c r="F1569" t="s">
        <v>4027</v>
      </c>
      <c r="G1569">
        <v>65</v>
      </c>
    </row>
    <row r="1570" spans="1:7" x14ac:dyDescent="0.2">
      <c r="A1570" s="2">
        <v>45806</v>
      </c>
      <c r="B1570" t="s">
        <v>2184</v>
      </c>
      <c r="C1570" t="s">
        <v>1</v>
      </c>
      <c r="D1570" t="s">
        <v>3</v>
      </c>
      <c r="E1570">
        <v>1</v>
      </c>
      <c r="F1570" t="s">
        <v>4027</v>
      </c>
      <c r="G1570">
        <v>89</v>
      </c>
    </row>
    <row r="1571" spans="1:7" x14ac:dyDescent="0.2">
      <c r="A1571" s="2">
        <v>45806</v>
      </c>
      <c r="B1571" t="s">
        <v>2183</v>
      </c>
      <c r="C1571" t="s">
        <v>1</v>
      </c>
      <c r="D1571" t="s">
        <v>3</v>
      </c>
      <c r="E1571">
        <v>1</v>
      </c>
      <c r="F1571" t="s">
        <v>4027</v>
      </c>
      <c r="G1571">
        <v>61</v>
      </c>
    </row>
    <row r="1572" spans="1:7" x14ac:dyDescent="0.2">
      <c r="A1572" s="2">
        <v>45806</v>
      </c>
      <c r="B1572" t="s">
        <v>2182</v>
      </c>
      <c r="C1572" t="s">
        <v>1</v>
      </c>
      <c r="D1572" t="s">
        <v>3</v>
      </c>
      <c r="E1572">
        <v>1</v>
      </c>
      <c r="F1572" t="s">
        <v>4027</v>
      </c>
      <c r="G1572">
        <v>78</v>
      </c>
    </row>
    <row r="1573" spans="1:7" x14ac:dyDescent="0.2">
      <c r="A1573" s="2">
        <v>45806</v>
      </c>
      <c r="B1573" t="s">
        <v>2181</v>
      </c>
      <c r="C1573" t="s">
        <v>1</v>
      </c>
      <c r="D1573" t="s">
        <v>3</v>
      </c>
      <c r="E1573">
        <v>1</v>
      </c>
      <c r="F1573" t="s">
        <v>4027</v>
      </c>
      <c r="G1573">
        <v>76</v>
      </c>
    </row>
    <row r="1574" spans="1:7" x14ac:dyDescent="0.2">
      <c r="A1574" s="2">
        <v>45806</v>
      </c>
      <c r="B1574" t="s">
        <v>2180</v>
      </c>
      <c r="C1574" t="s">
        <v>1</v>
      </c>
      <c r="D1574" t="s">
        <v>3</v>
      </c>
      <c r="E1574">
        <v>1</v>
      </c>
      <c r="F1574" t="s">
        <v>4027</v>
      </c>
      <c r="G1574">
        <v>85</v>
      </c>
    </row>
    <row r="1575" spans="1:7" x14ac:dyDescent="0.2">
      <c r="A1575" s="2">
        <v>45806</v>
      </c>
      <c r="B1575" t="s">
        <v>2185</v>
      </c>
      <c r="C1575" t="s">
        <v>1</v>
      </c>
      <c r="D1575" t="s">
        <v>3</v>
      </c>
      <c r="E1575">
        <v>1</v>
      </c>
      <c r="F1575" t="s">
        <v>4027</v>
      </c>
      <c r="G1575">
        <v>65</v>
      </c>
    </row>
    <row r="1576" spans="1:7" x14ac:dyDescent="0.2">
      <c r="A1576" s="2">
        <v>45807</v>
      </c>
      <c r="B1576" t="s">
        <v>2196</v>
      </c>
      <c r="C1576" t="s">
        <v>1</v>
      </c>
      <c r="D1576" t="s">
        <v>3</v>
      </c>
      <c r="E1576">
        <v>1</v>
      </c>
      <c r="F1576" t="s">
        <v>4027</v>
      </c>
      <c r="G1576">
        <v>82</v>
      </c>
    </row>
    <row r="1577" spans="1:7" x14ac:dyDescent="0.2">
      <c r="A1577" s="2">
        <v>45807</v>
      </c>
      <c r="B1577" t="s">
        <v>2201</v>
      </c>
      <c r="C1577" t="s">
        <v>1</v>
      </c>
      <c r="D1577" t="s">
        <v>3</v>
      </c>
      <c r="E1577">
        <v>1</v>
      </c>
      <c r="F1577" t="s">
        <v>4027</v>
      </c>
      <c r="G1577">
        <v>69</v>
      </c>
    </row>
    <row r="1578" spans="1:7" x14ac:dyDescent="0.2">
      <c r="A1578" s="2">
        <v>45807</v>
      </c>
      <c r="B1578" t="s">
        <v>2195</v>
      </c>
      <c r="C1578" t="s">
        <v>1</v>
      </c>
      <c r="D1578" t="s">
        <v>3</v>
      </c>
      <c r="E1578">
        <v>1</v>
      </c>
      <c r="F1578" t="s">
        <v>4027</v>
      </c>
      <c r="G1578">
        <v>62</v>
      </c>
    </row>
    <row r="1579" spans="1:7" x14ac:dyDescent="0.2">
      <c r="A1579" s="2">
        <v>45807</v>
      </c>
      <c r="B1579" t="s">
        <v>2197</v>
      </c>
      <c r="C1579" t="s">
        <v>1</v>
      </c>
      <c r="D1579" t="s">
        <v>3</v>
      </c>
      <c r="E1579">
        <v>1</v>
      </c>
      <c r="F1579" t="s">
        <v>4027</v>
      </c>
      <c r="G1579">
        <v>87</v>
      </c>
    </row>
    <row r="1580" spans="1:7" x14ac:dyDescent="0.2">
      <c r="A1580" s="2">
        <v>45807</v>
      </c>
      <c r="B1580" t="s">
        <v>2202</v>
      </c>
      <c r="C1580" t="s">
        <v>1</v>
      </c>
      <c r="D1580" t="s">
        <v>3</v>
      </c>
      <c r="E1580">
        <v>1</v>
      </c>
      <c r="F1580" t="s">
        <v>4027</v>
      </c>
      <c r="G1580">
        <v>76</v>
      </c>
    </row>
    <row r="1581" spans="1:7" x14ac:dyDescent="0.2">
      <c r="A1581" s="2">
        <v>45807</v>
      </c>
      <c r="B1581" t="s">
        <v>2199</v>
      </c>
      <c r="C1581" t="s">
        <v>1</v>
      </c>
      <c r="D1581" t="s">
        <v>3</v>
      </c>
      <c r="E1581">
        <v>1</v>
      </c>
      <c r="F1581" t="s">
        <v>4027</v>
      </c>
      <c r="G1581">
        <v>89</v>
      </c>
    </row>
    <row r="1582" spans="1:7" x14ac:dyDescent="0.2">
      <c r="A1582" s="2">
        <v>45807</v>
      </c>
      <c r="B1582" t="s">
        <v>2203</v>
      </c>
      <c r="C1582" t="s">
        <v>1</v>
      </c>
      <c r="D1582" t="s">
        <v>3</v>
      </c>
      <c r="E1582">
        <v>1</v>
      </c>
      <c r="F1582" t="s">
        <v>4027</v>
      </c>
      <c r="G1582">
        <v>65</v>
      </c>
    </row>
    <row r="1583" spans="1:7" x14ac:dyDescent="0.2">
      <c r="A1583" s="2">
        <v>45807</v>
      </c>
      <c r="B1583" t="s">
        <v>2198</v>
      </c>
      <c r="C1583" t="s">
        <v>1</v>
      </c>
      <c r="D1583" t="s">
        <v>3</v>
      </c>
      <c r="E1583">
        <v>1</v>
      </c>
      <c r="F1583" t="s">
        <v>4027</v>
      </c>
      <c r="G1583">
        <v>69</v>
      </c>
    </row>
    <row r="1584" spans="1:7" x14ac:dyDescent="0.2">
      <c r="A1584" s="2">
        <v>45807</v>
      </c>
      <c r="B1584" t="s">
        <v>3470</v>
      </c>
      <c r="C1584" t="s">
        <v>2</v>
      </c>
      <c r="D1584" t="s">
        <v>4</v>
      </c>
      <c r="E1584">
        <v>1</v>
      </c>
      <c r="F1584" t="s">
        <v>600</v>
      </c>
      <c r="G1584">
        <v>22</v>
      </c>
    </row>
    <row r="1585" spans="1:7" x14ac:dyDescent="0.2">
      <c r="A1585" s="2">
        <v>45807</v>
      </c>
      <c r="B1585" t="s">
        <v>3469</v>
      </c>
      <c r="C1585" t="s">
        <v>2</v>
      </c>
      <c r="D1585" t="s">
        <v>4</v>
      </c>
      <c r="E1585">
        <v>1</v>
      </c>
      <c r="F1585" t="s">
        <v>600</v>
      </c>
      <c r="G1585">
        <v>22</v>
      </c>
    </row>
    <row r="1586" spans="1:7" x14ac:dyDescent="0.2">
      <c r="A1586" s="2">
        <v>45807</v>
      </c>
      <c r="B1586" t="s">
        <v>2204</v>
      </c>
      <c r="C1586" t="s">
        <v>1</v>
      </c>
      <c r="D1586" t="s">
        <v>3</v>
      </c>
      <c r="E1586">
        <v>1</v>
      </c>
      <c r="F1586" t="s">
        <v>4027</v>
      </c>
      <c r="G1586">
        <v>65</v>
      </c>
    </row>
    <row r="1587" spans="1:7" x14ac:dyDescent="0.2">
      <c r="A1587" s="2">
        <v>45807</v>
      </c>
      <c r="B1587" t="s">
        <v>3468</v>
      </c>
      <c r="C1587" t="s">
        <v>2</v>
      </c>
      <c r="D1587" t="s">
        <v>4</v>
      </c>
      <c r="E1587">
        <v>1</v>
      </c>
      <c r="F1587" t="s">
        <v>600</v>
      </c>
      <c r="G1587">
        <v>22</v>
      </c>
    </row>
    <row r="1588" spans="1:7" x14ac:dyDescent="0.2">
      <c r="A1588" s="2">
        <v>45807</v>
      </c>
      <c r="B1588" t="s">
        <v>2200</v>
      </c>
      <c r="C1588" t="s">
        <v>1</v>
      </c>
      <c r="D1588" t="s">
        <v>3</v>
      </c>
      <c r="E1588">
        <v>1</v>
      </c>
      <c r="F1588" t="s">
        <v>4027</v>
      </c>
      <c r="G1588">
        <v>75</v>
      </c>
    </row>
    <row r="1589" spans="1:7" x14ac:dyDescent="0.2">
      <c r="A1589" s="2">
        <v>45807</v>
      </c>
      <c r="B1589" t="s">
        <v>3467</v>
      </c>
      <c r="C1589" t="s">
        <v>2</v>
      </c>
      <c r="D1589" t="s">
        <v>4</v>
      </c>
      <c r="E1589">
        <v>1</v>
      </c>
      <c r="F1589" t="s">
        <v>600</v>
      </c>
      <c r="G1589">
        <v>22</v>
      </c>
    </row>
    <row r="1590" spans="1:7" x14ac:dyDescent="0.2">
      <c r="A1590" s="2">
        <v>45810</v>
      </c>
      <c r="B1590" t="s">
        <v>2206</v>
      </c>
      <c r="C1590" t="s">
        <v>1</v>
      </c>
      <c r="D1590" t="s">
        <v>3</v>
      </c>
      <c r="E1590">
        <v>1</v>
      </c>
      <c r="F1590" t="s">
        <v>4027</v>
      </c>
      <c r="G1590">
        <v>70</v>
      </c>
    </row>
    <row r="1591" spans="1:7" x14ac:dyDescent="0.2">
      <c r="A1591" s="2">
        <v>45810</v>
      </c>
      <c r="B1591" t="s">
        <v>2205</v>
      </c>
      <c r="C1591" t="s">
        <v>1</v>
      </c>
      <c r="D1591" t="s">
        <v>3</v>
      </c>
      <c r="E1591">
        <v>1</v>
      </c>
      <c r="F1591" t="s">
        <v>4027</v>
      </c>
      <c r="G1591">
        <v>70</v>
      </c>
    </row>
    <row r="1592" spans="1:7" x14ac:dyDescent="0.2">
      <c r="A1592" s="2">
        <v>45810</v>
      </c>
      <c r="B1592" t="s">
        <v>2207</v>
      </c>
      <c r="C1592" t="s">
        <v>1</v>
      </c>
      <c r="D1592" t="s">
        <v>3</v>
      </c>
      <c r="E1592">
        <v>1</v>
      </c>
      <c r="F1592" t="s">
        <v>4027</v>
      </c>
      <c r="G1592">
        <v>74</v>
      </c>
    </row>
    <row r="1593" spans="1:7" x14ac:dyDescent="0.2">
      <c r="A1593" s="2">
        <v>45811</v>
      </c>
      <c r="B1593" t="s">
        <v>2210</v>
      </c>
      <c r="C1593" t="s">
        <v>1</v>
      </c>
      <c r="D1593" t="s">
        <v>3</v>
      </c>
      <c r="E1593">
        <v>1</v>
      </c>
      <c r="F1593" t="s">
        <v>4027</v>
      </c>
      <c r="G1593">
        <v>83</v>
      </c>
    </row>
    <row r="1594" spans="1:7" x14ac:dyDescent="0.2">
      <c r="A1594" s="2">
        <v>45811</v>
      </c>
      <c r="B1594" t="s">
        <v>2215</v>
      </c>
      <c r="C1594" t="s">
        <v>1</v>
      </c>
      <c r="D1594" t="s">
        <v>3</v>
      </c>
      <c r="E1594">
        <v>1</v>
      </c>
      <c r="F1594" t="s">
        <v>4027</v>
      </c>
      <c r="G1594">
        <v>71</v>
      </c>
    </row>
    <row r="1595" spans="1:7" x14ac:dyDescent="0.2">
      <c r="A1595" s="2">
        <v>45811</v>
      </c>
      <c r="B1595" t="s">
        <v>3471</v>
      </c>
      <c r="C1595" t="s">
        <v>2</v>
      </c>
      <c r="D1595" t="s">
        <v>4</v>
      </c>
      <c r="E1595">
        <v>1</v>
      </c>
      <c r="F1595" t="s">
        <v>600</v>
      </c>
      <c r="G1595">
        <v>22</v>
      </c>
    </row>
    <row r="1596" spans="1:7" x14ac:dyDescent="0.2">
      <c r="A1596" s="2">
        <v>45811</v>
      </c>
      <c r="B1596" t="s">
        <v>2214</v>
      </c>
      <c r="C1596" t="s">
        <v>1</v>
      </c>
      <c r="D1596" t="s">
        <v>3</v>
      </c>
      <c r="E1596">
        <v>1</v>
      </c>
      <c r="F1596" t="s">
        <v>4027</v>
      </c>
      <c r="G1596">
        <v>73</v>
      </c>
    </row>
    <row r="1597" spans="1:7" x14ac:dyDescent="0.2">
      <c r="A1597" s="2">
        <v>45811</v>
      </c>
      <c r="B1597" t="s">
        <v>2208</v>
      </c>
      <c r="C1597" t="s">
        <v>1</v>
      </c>
      <c r="D1597" t="s">
        <v>3</v>
      </c>
      <c r="E1597">
        <v>1</v>
      </c>
      <c r="F1597" t="s">
        <v>4027</v>
      </c>
      <c r="G1597">
        <v>85</v>
      </c>
    </row>
    <row r="1598" spans="1:7" x14ac:dyDescent="0.2">
      <c r="A1598" s="2">
        <v>45811</v>
      </c>
      <c r="B1598" t="s">
        <v>2209</v>
      </c>
      <c r="C1598" t="s">
        <v>1</v>
      </c>
      <c r="D1598" t="s">
        <v>3</v>
      </c>
      <c r="E1598">
        <v>1</v>
      </c>
      <c r="F1598" t="s">
        <v>4027</v>
      </c>
      <c r="G1598">
        <v>72</v>
      </c>
    </row>
    <row r="1599" spans="1:7" x14ac:dyDescent="0.2">
      <c r="A1599" s="2">
        <v>45811</v>
      </c>
      <c r="B1599" t="s">
        <v>2213</v>
      </c>
      <c r="C1599" t="s">
        <v>1</v>
      </c>
      <c r="D1599" t="s">
        <v>3</v>
      </c>
      <c r="E1599">
        <v>1</v>
      </c>
      <c r="F1599" t="s">
        <v>4027</v>
      </c>
      <c r="G1599">
        <v>64</v>
      </c>
    </row>
    <row r="1600" spans="1:7" x14ac:dyDescent="0.2">
      <c r="A1600" s="2">
        <v>45811</v>
      </c>
      <c r="B1600" t="s">
        <v>2211</v>
      </c>
      <c r="C1600" t="s">
        <v>1</v>
      </c>
      <c r="D1600" t="s">
        <v>3</v>
      </c>
      <c r="E1600">
        <v>1</v>
      </c>
      <c r="F1600" t="s">
        <v>4027</v>
      </c>
      <c r="G1600">
        <v>88</v>
      </c>
    </row>
    <row r="1601" spans="1:7" x14ac:dyDescent="0.2">
      <c r="A1601" s="2">
        <v>45811</v>
      </c>
      <c r="B1601" t="s">
        <v>2212</v>
      </c>
      <c r="C1601" t="s">
        <v>1</v>
      </c>
      <c r="D1601" t="s">
        <v>3</v>
      </c>
      <c r="E1601">
        <v>1</v>
      </c>
      <c r="F1601" t="s">
        <v>4027</v>
      </c>
      <c r="G1601">
        <v>76</v>
      </c>
    </row>
    <row r="1602" spans="1:7" x14ac:dyDescent="0.2">
      <c r="A1602" s="2">
        <v>45812</v>
      </c>
      <c r="B1602" t="s">
        <v>2217</v>
      </c>
      <c r="C1602" t="s">
        <v>1</v>
      </c>
      <c r="D1602" t="s">
        <v>3</v>
      </c>
      <c r="E1602">
        <v>1</v>
      </c>
      <c r="F1602" t="s">
        <v>4027</v>
      </c>
      <c r="G1602">
        <v>61</v>
      </c>
    </row>
    <row r="1603" spans="1:7" x14ac:dyDescent="0.2">
      <c r="A1603" s="2">
        <v>45812</v>
      </c>
      <c r="B1603" t="s">
        <v>2216</v>
      </c>
      <c r="C1603" t="s">
        <v>1</v>
      </c>
      <c r="D1603" t="s">
        <v>3</v>
      </c>
      <c r="E1603">
        <v>1</v>
      </c>
      <c r="F1603" t="s">
        <v>4027</v>
      </c>
      <c r="G1603">
        <v>66</v>
      </c>
    </row>
    <row r="1604" spans="1:7" x14ac:dyDescent="0.2">
      <c r="A1604" s="2">
        <v>45812</v>
      </c>
      <c r="B1604" t="s">
        <v>2219</v>
      </c>
      <c r="C1604" t="s">
        <v>1</v>
      </c>
      <c r="D1604" t="s">
        <v>3</v>
      </c>
      <c r="E1604">
        <v>1</v>
      </c>
      <c r="F1604" t="s">
        <v>4027</v>
      </c>
      <c r="G1604">
        <v>82</v>
      </c>
    </row>
    <row r="1605" spans="1:7" x14ac:dyDescent="0.2">
      <c r="A1605" s="2">
        <v>45812</v>
      </c>
      <c r="B1605" t="s">
        <v>2218</v>
      </c>
      <c r="C1605" t="s">
        <v>1</v>
      </c>
      <c r="D1605" t="s">
        <v>3</v>
      </c>
      <c r="E1605">
        <v>1</v>
      </c>
      <c r="F1605" t="s">
        <v>4027</v>
      </c>
      <c r="G1605">
        <v>74</v>
      </c>
    </row>
    <row r="1606" spans="1:7" x14ac:dyDescent="0.2">
      <c r="A1606" s="2">
        <v>45812</v>
      </c>
      <c r="B1606" t="s">
        <v>2220</v>
      </c>
      <c r="C1606" t="s">
        <v>1</v>
      </c>
      <c r="D1606" t="s">
        <v>3</v>
      </c>
      <c r="E1606">
        <v>1</v>
      </c>
      <c r="F1606" t="s">
        <v>4027</v>
      </c>
      <c r="G1606">
        <v>80</v>
      </c>
    </row>
    <row r="1607" spans="1:7" x14ac:dyDescent="0.2">
      <c r="A1607" s="2">
        <v>45813</v>
      </c>
      <c r="B1607" t="s">
        <v>2221</v>
      </c>
      <c r="C1607" t="s">
        <v>1</v>
      </c>
      <c r="D1607" t="s">
        <v>3</v>
      </c>
      <c r="E1607">
        <v>1</v>
      </c>
      <c r="F1607" t="s">
        <v>4027</v>
      </c>
      <c r="G1607">
        <v>72</v>
      </c>
    </row>
    <row r="1608" spans="1:7" x14ac:dyDescent="0.2">
      <c r="A1608" s="2">
        <v>45813</v>
      </c>
      <c r="B1608" t="s">
        <v>2222</v>
      </c>
      <c r="C1608" t="s">
        <v>1</v>
      </c>
      <c r="D1608" t="s">
        <v>3</v>
      </c>
      <c r="E1608">
        <v>1</v>
      </c>
      <c r="F1608" t="s">
        <v>4027</v>
      </c>
      <c r="G1608">
        <v>81</v>
      </c>
    </row>
    <row r="1609" spans="1:7" x14ac:dyDescent="0.2">
      <c r="A1609" s="2">
        <v>45813</v>
      </c>
      <c r="B1609" t="s">
        <v>2223</v>
      </c>
      <c r="C1609" t="s">
        <v>1</v>
      </c>
      <c r="D1609" t="s">
        <v>3</v>
      </c>
      <c r="E1609">
        <v>1</v>
      </c>
      <c r="F1609" t="s">
        <v>4027</v>
      </c>
      <c r="G1609">
        <v>88</v>
      </c>
    </row>
    <row r="1610" spans="1:7" x14ac:dyDescent="0.2">
      <c r="A1610" s="2">
        <v>45813</v>
      </c>
      <c r="B1610" t="s">
        <v>2224</v>
      </c>
      <c r="C1610" t="s">
        <v>1</v>
      </c>
      <c r="D1610" t="s">
        <v>3</v>
      </c>
      <c r="E1610">
        <v>1</v>
      </c>
      <c r="F1610" t="s">
        <v>4027</v>
      </c>
      <c r="G1610">
        <v>79</v>
      </c>
    </row>
    <row r="1611" spans="1:7" x14ac:dyDescent="0.2">
      <c r="A1611" s="2">
        <v>45813</v>
      </c>
      <c r="B1611" t="s">
        <v>3474</v>
      </c>
      <c r="C1611" t="s">
        <v>2</v>
      </c>
      <c r="D1611" t="s">
        <v>4</v>
      </c>
      <c r="E1611">
        <v>1</v>
      </c>
      <c r="F1611" t="s">
        <v>600</v>
      </c>
      <c r="G1611">
        <v>22</v>
      </c>
    </row>
    <row r="1612" spans="1:7" x14ac:dyDescent="0.2">
      <c r="A1612" s="2">
        <v>45813</v>
      </c>
      <c r="B1612" t="s">
        <v>3473</v>
      </c>
      <c r="C1612" t="s">
        <v>2</v>
      </c>
      <c r="D1612" t="s">
        <v>4</v>
      </c>
      <c r="E1612">
        <v>1</v>
      </c>
      <c r="F1612" t="s">
        <v>600</v>
      </c>
      <c r="G1612">
        <v>22</v>
      </c>
    </row>
    <row r="1613" spans="1:7" x14ac:dyDescent="0.2">
      <c r="A1613" s="2">
        <v>45813</v>
      </c>
      <c r="B1613" t="s">
        <v>3472</v>
      </c>
      <c r="C1613" t="s">
        <v>2</v>
      </c>
      <c r="D1613" t="s">
        <v>4</v>
      </c>
      <c r="E1613">
        <v>1</v>
      </c>
      <c r="F1613" t="s">
        <v>600</v>
      </c>
      <c r="G1613">
        <v>22</v>
      </c>
    </row>
    <row r="1614" spans="1:7" x14ac:dyDescent="0.2">
      <c r="A1614" s="2">
        <v>45814</v>
      </c>
      <c r="B1614" t="s">
        <v>3475</v>
      </c>
      <c r="C1614" t="s">
        <v>2</v>
      </c>
      <c r="D1614" t="s">
        <v>4</v>
      </c>
      <c r="E1614">
        <v>1</v>
      </c>
      <c r="F1614" t="s">
        <v>600</v>
      </c>
      <c r="G1614">
        <v>22</v>
      </c>
    </row>
    <row r="1615" spans="1:7" x14ac:dyDescent="0.2">
      <c r="A1615" s="2">
        <v>45814</v>
      </c>
      <c r="B1615" t="s">
        <v>2225</v>
      </c>
      <c r="C1615" t="s">
        <v>1</v>
      </c>
      <c r="D1615" t="s">
        <v>3</v>
      </c>
      <c r="E1615">
        <v>1</v>
      </c>
      <c r="F1615" t="s">
        <v>4027</v>
      </c>
      <c r="G1615">
        <v>66</v>
      </c>
    </row>
    <row r="1616" spans="1:7" x14ac:dyDescent="0.2">
      <c r="A1616" s="2">
        <v>45814</v>
      </c>
      <c r="B1616" t="s">
        <v>2226</v>
      </c>
      <c r="C1616" t="s">
        <v>1</v>
      </c>
      <c r="D1616" t="s">
        <v>3</v>
      </c>
      <c r="E1616">
        <v>1</v>
      </c>
      <c r="F1616" t="s">
        <v>4027</v>
      </c>
      <c r="G1616">
        <v>80</v>
      </c>
    </row>
    <row r="1617" spans="1:7" x14ac:dyDescent="0.2">
      <c r="A1617" s="2">
        <v>45814</v>
      </c>
      <c r="B1617" t="s">
        <v>2227</v>
      </c>
      <c r="C1617" t="s">
        <v>1</v>
      </c>
      <c r="D1617" t="s">
        <v>3</v>
      </c>
      <c r="E1617">
        <v>1</v>
      </c>
      <c r="F1617" t="s">
        <v>4027</v>
      </c>
      <c r="G1617">
        <v>67</v>
      </c>
    </row>
    <row r="1618" spans="1:7" x14ac:dyDescent="0.2">
      <c r="A1618" s="2">
        <v>45814</v>
      </c>
      <c r="B1618" t="s">
        <v>2228</v>
      </c>
      <c r="C1618" t="s">
        <v>1</v>
      </c>
      <c r="D1618" t="s">
        <v>3</v>
      </c>
      <c r="E1618">
        <v>1</v>
      </c>
      <c r="F1618" t="s">
        <v>4027</v>
      </c>
      <c r="G1618">
        <v>84</v>
      </c>
    </row>
    <row r="1619" spans="1:7" x14ac:dyDescent="0.2">
      <c r="A1619" s="2">
        <v>45814</v>
      </c>
      <c r="B1619" t="s">
        <v>2229</v>
      </c>
      <c r="C1619" t="s">
        <v>1</v>
      </c>
      <c r="D1619" t="s">
        <v>3</v>
      </c>
      <c r="E1619">
        <v>1</v>
      </c>
      <c r="F1619" t="s">
        <v>4027</v>
      </c>
      <c r="G1619">
        <v>73</v>
      </c>
    </row>
    <row r="1620" spans="1:7" x14ac:dyDescent="0.2">
      <c r="A1620" s="2">
        <v>45814</v>
      </c>
      <c r="B1620" t="s">
        <v>2230</v>
      </c>
      <c r="C1620" t="s">
        <v>1</v>
      </c>
      <c r="D1620" t="s">
        <v>3</v>
      </c>
      <c r="E1620">
        <v>1</v>
      </c>
      <c r="F1620" t="s">
        <v>4027</v>
      </c>
      <c r="G1620">
        <v>89</v>
      </c>
    </row>
    <row r="1621" spans="1:7" x14ac:dyDescent="0.2">
      <c r="A1621" s="2">
        <v>45814</v>
      </c>
      <c r="B1621" t="s">
        <v>2231</v>
      </c>
      <c r="C1621" t="s">
        <v>1</v>
      </c>
      <c r="D1621" t="s">
        <v>3</v>
      </c>
      <c r="E1621">
        <v>1</v>
      </c>
      <c r="F1621" t="s">
        <v>4027</v>
      </c>
      <c r="G1621">
        <v>70</v>
      </c>
    </row>
    <row r="1622" spans="1:7" x14ac:dyDescent="0.2">
      <c r="A1622" s="2">
        <v>45815</v>
      </c>
      <c r="B1622" t="s">
        <v>2236</v>
      </c>
      <c r="C1622" t="s">
        <v>1</v>
      </c>
      <c r="D1622" t="s">
        <v>3</v>
      </c>
      <c r="E1622">
        <v>1</v>
      </c>
      <c r="F1622" t="s">
        <v>4027</v>
      </c>
      <c r="G1622">
        <v>83</v>
      </c>
    </row>
    <row r="1623" spans="1:7" x14ac:dyDescent="0.2">
      <c r="A1623" s="2">
        <v>45815</v>
      </c>
      <c r="B1623" t="s">
        <v>2233</v>
      </c>
      <c r="C1623" t="s">
        <v>1</v>
      </c>
      <c r="D1623" t="s">
        <v>3</v>
      </c>
      <c r="E1623">
        <v>1</v>
      </c>
      <c r="F1623" t="s">
        <v>4027</v>
      </c>
      <c r="G1623">
        <v>74</v>
      </c>
    </row>
    <row r="1624" spans="1:7" x14ac:dyDescent="0.2">
      <c r="A1624" s="2">
        <v>45815</v>
      </c>
      <c r="B1624" t="s">
        <v>2234</v>
      </c>
      <c r="C1624" t="s">
        <v>1</v>
      </c>
      <c r="D1624" t="s">
        <v>3</v>
      </c>
      <c r="E1624">
        <v>1</v>
      </c>
      <c r="F1624" t="s">
        <v>4027</v>
      </c>
      <c r="G1624">
        <v>78</v>
      </c>
    </row>
    <row r="1625" spans="1:7" x14ac:dyDescent="0.2">
      <c r="A1625" s="2">
        <v>45815</v>
      </c>
      <c r="B1625" t="s">
        <v>2235</v>
      </c>
      <c r="C1625" t="s">
        <v>1</v>
      </c>
      <c r="D1625" t="s">
        <v>3</v>
      </c>
      <c r="E1625">
        <v>1</v>
      </c>
      <c r="F1625" t="s">
        <v>4027</v>
      </c>
      <c r="G1625">
        <v>70</v>
      </c>
    </row>
    <row r="1626" spans="1:7" x14ac:dyDescent="0.2">
      <c r="A1626" s="2">
        <v>45815</v>
      </c>
      <c r="B1626" t="s">
        <v>2232</v>
      </c>
      <c r="C1626" t="s">
        <v>1</v>
      </c>
      <c r="D1626" t="s">
        <v>3</v>
      </c>
      <c r="E1626">
        <v>1</v>
      </c>
      <c r="F1626" t="s">
        <v>4027</v>
      </c>
      <c r="G1626">
        <v>61</v>
      </c>
    </row>
    <row r="1627" spans="1:7" x14ac:dyDescent="0.2">
      <c r="A1627" s="2">
        <v>45817</v>
      </c>
      <c r="B1627" t="s">
        <v>2237</v>
      </c>
      <c r="C1627" t="s">
        <v>1</v>
      </c>
      <c r="D1627" t="s">
        <v>3</v>
      </c>
      <c r="E1627">
        <v>1</v>
      </c>
      <c r="F1627" t="s">
        <v>4027</v>
      </c>
      <c r="G1627">
        <v>65</v>
      </c>
    </row>
    <row r="1628" spans="1:7" x14ac:dyDescent="0.2">
      <c r="A1628" s="2">
        <v>45817</v>
      </c>
      <c r="B1628" t="s">
        <v>2238</v>
      </c>
      <c r="C1628" t="s">
        <v>1</v>
      </c>
      <c r="D1628" t="s">
        <v>3</v>
      </c>
      <c r="E1628">
        <v>1</v>
      </c>
      <c r="F1628" t="s">
        <v>4027</v>
      </c>
      <c r="G1628">
        <v>78</v>
      </c>
    </row>
    <row r="1629" spans="1:7" x14ac:dyDescent="0.2">
      <c r="A1629" s="2">
        <v>45817</v>
      </c>
      <c r="B1629" t="s">
        <v>2239</v>
      </c>
      <c r="C1629" t="s">
        <v>1</v>
      </c>
      <c r="D1629" t="s">
        <v>3</v>
      </c>
      <c r="E1629">
        <v>1</v>
      </c>
      <c r="F1629" t="s">
        <v>4027</v>
      </c>
      <c r="G1629">
        <v>72</v>
      </c>
    </row>
    <row r="1630" spans="1:7" x14ac:dyDescent="0.2">
      <c r="A1630" s="2">
        <v>45817</v>
      </c>
      <c r="B1630" t="s">
        <v>2240</v>
      </c>
      <c r="C1630" t="s">
        <v>1</v>
      </c>
      <c r="D1630" t="s">
        <v>3</v>
      </c>
      <c r="E1630">
        <v>1</v>
      </c>
      <c r="F1630" t="s">
        <v>4027</v>
      </c>
      <c r="G1630">
        <v>68</v>
      </c>
    </row>
    <row r="1631" spans="1:7" x14ac:dyDescent="0.2">
      <c r="A1631" s="2">
        <v>45818</v>
      </c>
      <c r="B1631" t="s">
        <v>2243</v>
      </c>
      <c r="C1631" t="s">
        <v>1</v>
      </c>
      <c r="D1631" t="s">
        <v>3</v>
      </c>
      <c r="E1631">
        <v>1</v>
      </c>
      <c r="F1631" t="s">
        <v>4027</v>
      </c>
      <c r="G1631">
        <v>86</v>
      </c>
    </row>
    <row r="1632" spans="1:7" x14ac:dyDescent="0.2">
      <c r="A1632" s="2">
        <v>45818</v>
      </c>
      <c r="B1632" t="s">
        <v>3476</v>
      </c>
      <c r="C1632" t="s">
        <v>2</v>
      </c>
      <c r="D1632" t="s">
        <v>4</v>
      </c>
      <c r="E1632">
        <v>1</v>
      </c>
      <c r="F1632" t="s">
        <v>600</v>
      </c>
      <c r="G1632">
        <v>22</v>
      </c>
    </row>
    <row r="1633" spans="1:7" x14ac:dyDescent="0.2">
      <c r="A1633" s="2">
        <v>45818</v>
      </c>
      <c r="B1633" t="s">
        <v>2246</v>
      </c>
      <c r="C1633" t="s">
        <v>1</v>
      </c>
      <c r="D1633" t="s">
        <v>3</v>
      </c>
      <c r="E1633">
        <v>1</v>
      </c>
      <c r="F1633" t="s">
        <v>4027</v>
      </c>
      <c r="G1633">
        <v>78</v>
      </c>
    </row>
    <row r="1634" spans="1:7" x14ac:dyDescent="0.2">
      <c r="A1634" s="2">
        <v>45818</v>
      </c>
      <c r="B1634" t="s">
        <v>2245</v>
      </c>
      <c r="C1634" t="s">
        <v>1</v>
      </c>
      <c r="D1634" t="s">
        <v>3</v>
      </c>
      <c r="E1634">
        <v>1</v>
      </c>
      <c r="F1634" t="s">
        <v>4027</v>
      </c>
      <c r="G1634">
        <v>67</v>
      </c>
    </row>
    <row r="1635" spans="1:7" x14ac:dyDescent="0.2">
      <c r="A1635" s="2">
        <v>45818</v>
      </c>
      <c r="B1635" t="s">
        <v>2244</v>
      </c>
      <c r="C1635" t="s">
        <v>1</v>
      </c>
      <c r="D1635" t="s">
        <v>3</v>
      </c>
      <c r="E1635">
        <v>1</v>
      </c>
      <c r="F1635" t="s">
        <v>4027</v>
      </c>
      <c r="G1635">
        <v>85</v>
      </c>
    </row>
    <row r="1636" spans="1:7" x14ac:dyDescent="0.2">
      <c r="A1636" s="2">
        <v>45818</v>
      </c>
      <c r="B1636" t="s">
        <v>2242</v>
      </c>
      <c r="C1636" t="s">
        <v>1</v>
      </c>
      <c r="D1636" t="s">
        <v>3</v>
      </c>
      <c r="E1636">
        <v>1</v>
      </c>
      <c r="F1636" t="s">
        <v>4027</v>
      </c>
      <c r="G1636">
        <v>88</v>
      </c>
    </row>
    <row r="1637" spans="1:7" x14ac:dyDescent="0.2">
      <c r="A1637" s="2">
        <v>45818</v>
      </c>
      <c r="B1637" t="s">
        <v>2241</v>
      </c>
      <c r="C1637" t="s">
        <v>1</v>
      </c>
      <c r="D1637" t="s">
        <v>3</v>
      </c>
      <c r="E1637">
        <v>1</v>
      </c>
      <c r="F1637" t="s">
        <v>4027</v>
      </c>
      <c r="G1637">
        <v>64</v>
      </c>
    </row>
    <row r="1638" spans="1:7" x14ac:dyDescent="0.2">
      <c r="A1638" s="2">
        <v>45819</v>
      </c>
      <c r="B1638" t="s">
        <v>2252</v>
      </c>
      <c r="C1638" t="s">
        <v>1</v>
      </c>
      <c r="D1638" t="s">
        <v>3</v>
      </c>
      <c r="E1638">
        <v>1</v>
      </c>
      <c r="F1638" t="s">
        <v>4027</v>
      </c>
      <c r="G1638">
        <v>61</v>
      </c>
    </row>
    <row r="1639" spans="1:7" x14ac:dyDescent="0.2">
      <c r="A1639" s="2">
        <v>45819</v>
      </c>
      <c r="B1639" t="s">
        <v>2248</v>
      </c>
      <c r="C1639" t="s">
        <v>1</v>
      </c>
      <c r="D1639" t="s">
        <v>3</v>
      </c>
      <c r="E1639">
        <v>1</v>
      </c>
      <c r="F1639" t="s">
        <v>4027</v>
      </c>
      <c r="G1639">
        <v>83</v>
      </c>
    </row>
    <row r="1640" spans="1:7" x14ac:dyDescent="0.2">
      <c r="A1640" s="2">
        <v>45819</v>
      </c>
      <c r="B1640" t="s">
        <v>2249</v>
      </c>
      <c r="C1640" t="s">
        <v>1</v>
      </c>
      <c r="D1640" t="s">
        <v>3</v>
      </c>
      <c r="E1640">
        <v>1</v>
      </c>
      <c r="F1640" t="s">
        <v>4027</v>
      </c>
      <c r="G1640">
        <v>77</v>
      </c>
    </row>
    <row r="1641" spans="1:7" x14ac:dyDescent="0.2">
      <c r="A1641" s="2">
        <v>45819</v>
      </c>
      <c r="B1641" t="s">
        <v>2251</v>
      </c>
      <c r="C1641" t="s">
        <v>1</v>
      </c>
      <c r="D1641" t="s">
        <v>3</v>
      </c>
      <c r="E1641">
        <v>1</v>
      </c>
      <c r="F1641" t="s">
        <v>4027</v>
      </c>
      <c r="G1641">
        <v>80</v>
      </c>
    </row>
    <row r="1642" spans="1:7" x14ac:dyDescent="0.2">
      <c r="A1642" s="2">
        <v>45819</v>
      </c>
      <c r="B1642" t="s">
        <v>2247</v>
      </c>
      <c r="C1642" t="s">
        <v>1</v>
      </c>
      <c r="D1642" t="s">
        <v>3</v>
      </c>
      <c r="E1642">
        <v>1</v>
      </c>
      <c r="F1642" t="s">
        <v>4027</v>
      </c>
      <c r="G1642">
        <v>76</v>
      </c>
    </row>
    <row r="1643" spans="1:7" x14ac:dyDescent="0.2">
      <c r="A1643" s="2">
        <v>45819</v>
      </c>
      <c r="B1643" t="s">
        <v>2250</v>
      </c>
      <c r="C1643" t="s">
        <v>1</v>
      </c>
      <c r="D1643" t="s">
        <v>3</v>
      </c>
      <c r="E1643">
        <v>1</v>
      </c>
      <c r="F1643" t="s">
        <v>4027</v>
      </c>
      <c r="G1643">
        <v>60</v>
      </c>
    </row>
    <row r="1644" spans="1:7" x14ac:dyDescent="0.2">
      <c r="A1644" s="2">
        <v>45820</v>
      </c>
      <c r="B1644" t="s">
        <v>2258</v>
      </c>
      <c r="C1644" t="s">
        <v>1</v>
      </c>
      <c r="D1644" t="s">
        <v>3</v>
      </c>
      <c r="E1644">
        <v>1</v>
      </c>
      <c r="F1644" t="s">
        <v>4027</v>
      </c>
      <c r="G1644">
        <v>85</v>
      </c>
    </row>
    <row r="1645" spans="1:7" x14ac:dyDescent="0.2">
      <c r="A1645" s="2">
        <v>45820</v>
      </c>
      <c r="B1645" t="s">
        <v>2254</v>
      </c>
      <c r="C1645" t="s">
        <v>1</v>
      </c>
      <c r="D1645" t="s">
        <v>3</v>
      </c>
      <c r="E1645">
        <v>1</v>
      </c>
      <c r="F1645" t="s">
        <v>4027</v>
      </c>
      <c r="G1645">
        <v>74</v>
      </c>
    </row>
    <row r="1646" spans="1:7" x14ac:dyDescent="0.2">
      <c r="A1646" s="2">
        <v>45820</v>
      </c>
      <c r="B1646" t="s">
        <v>3478</v>
      </c>
      <c r="C1646" t="s">
        <v>2</v>
      </c>
      <c r="D1646" t="s">
        <v>4</v>
      </c>
      <c r="E1646">
        <v>1</v>
      </c>
      <c r="F1646" t="s">
        <v>600</v>
      </c>
      <c r="G1646">
        <v>22</v>
      </c>
    </row>
    <row r="1647" spans="1:7" x14ac:dyDescent="0.2">
      <c r="A1647" s="2">
        <v>45820</v>
      </c>
      <c r="B1647" t="s">
        <v>3477</v>
      </c>
      <c r="C1647" t="s">
        <v>2</v>
      </c>
      <c r="D1647" t="s">
        <v>4</v>
      </c>
      <c r="E1647">
        <v>1</v>
      </c>
      <c r="F1647" t="s">
        <v>600</v>
      </c>
      <c r="G1647">
        <v>22</v>
      </c>
    </row>
    <row r="1648" spans="1:7" x14ac:dyDescent="0.2">
      <c r="A1648" s="2">
        <v>45820</v>
      </c>
      <c r="B1648" t="s">
        <v>2262</v>
      </c>
      <c r="C1648" t="s">
        <v>1</v>
      </c>
      <c r="D1648" t="s">
        <v>3</v>
      </c>
      <c r="E1648">
        <v>1</v>
      </c>
      <c r="F1648" t="s">
        <v>4027</v>
      </c>
      <c r="G1648">
        <v>63</v>
      </c>
    </row>
    <row r="1649" spans="1:7" x14ac:dyDescent="0.2">
      <c r="A1649" s="2">
        <v>45820</v>
      </c>
      <c r="B1649" t="s">
        <v>2261</v>
      </c>
      <c r="C1649" t="s">
        <v>1</v>
      </c>
      <c r="D1649" t="s">
        <v>3</v>
      </c>
      <c r="E1649">
        <v>1</v>
      </c>
      <c r="F1649" t="s">
        <v>4027</v>
      </c>
      <c r="G1649">
        <v>79</v>
      </c>
    </row>
    <row r="1650" spans="1:7" x14ac:dyDescent="0.2">
      <c r="A1650" s="2">
        <v>45820</v>
      </c>
      <c r="B1650" t="s">
        <v>2260</v>
      </c>
      <c r="C1650" t="s">
        <v>1</v>
      </c>
      <c r="D1650" t="s">
        <v>3</v>
      </c>
      <c r="E1650">
        <v>1</v>
      </c>
      <c r="F1650" t="s">
        <v>4027</v>
      </c>
      <c r="G1650">
        <v>68</v>
      </c>
    </row>
    <row r="1651" spans="1:7" x14ac:dyDescent="0.2">
      <c r="A1651" s="2">
        <v>45820</v>
      </c>
      <c r="B1651" t="s">
        <v>2253</v>
      </c>
      <c r="C1651" t="s">
        <v>1</v>
      </c>
      <c r="D1651" t="s">
        <v>3</v>
      </c>
      <c r="E1651">
        <v>1</v>
      </c>
      <c r="F1651" t="s">
        <v>4027</v>
      </c>
      <c r="G1651">
        <v>83</v>
      </c>
    </row>
    <row r="1652" spans="1:7" x14ac:dyDescent="0.2">
      <c r="A1652" s="2">
        <v>45820</v>
      </c>
      <c r="B1652" t="s">
        <v>2255</v>
      </c>
      <c r="C1652" t="s">
        <v>1</v>
      </c>
      <c r="D1652" t="s">
        <v>3</v>
      </c>
      <c r="E1652">
        <v>1</v>
      </c>
      <c r="F1652" t="s">
        <v>4027</v>
      </c>
      <c r="G1652">
        <v>60</v>
      </c>
    </row>
    <row r="1653" spans="1:7" x14ac:dyDescent="0.2">
      <c r="A1653" s="2">
        <v>45820</v>
      </c>
      <c r="B1653" t="s">
        <v>2257</v>
      </c>
      <c r="C1653" t="s">
        <v>1</v>
      </c>
      <c r="D1653" t="s">
        <v>3</v>
      </c>
      <c r="E1653">
        <v>1</v>
      </c>
      <c r="F1653" t="s">
        <v>4027</v>
      </c>
      <c r="G1653">
        <v>72</v>
      </c>
    </row>
    <row r="1654" spans="1:7" x14ac:dyDescent="0.2">
      <c r="A1654" s="2">
        <v>45820</v>
      </c>
      <c r="B1654" t="s">
        <v>2256</v>
      </c>
      <c r="C1654" t="s">
        <v>1</v>
      </c>
      <c r="D1654" t="s">
        <v>3</v>
      </c>
      <c r="E1654">
        <v>1</v>
      </c>
      <c r="F1654" t="s">
        <v>4027</v>
      </c>
      <c r="G1654">
        <v>69</v>
      </c>
    </row>
    <row r="1655" spans="1:7" x14ac:dyDescent="0.2">
      <c r="A1655" s="2">
        <v>45820</v>
      </c>
      <c r="B1655" t="s">
        <v>2259</v>
      </c>
      <c r="C1655" t="s">
        <v>1</v>
      </c>
      <c r="D1655" t="s">
        <v>3</v>
      </c>
      <c r="E1655">
        <v>1</v>
      </c>
      <c r="F1655" t="s">
        <v>4027</v>
      </c>
      <c r="G1655">
        <v>76</v>
      </c>
    </row>
    <row r="1656" spans="1:7" x14ac:dyDescent="0.2">
      <c r="A1656" s="2">
        <v>45821</v>
      </c>
      <c r="B1656" t="s">
        <v>2263</v>
      </c>
      <c r="C1656" t="s">
        <v>1</v>
      </c>
      <c r="D1656" t="s">
        <v>3</v>
      </c>
      <c r="E1656">
        <v>1</v>
      </c>
      <c r="F1656" t="s">
        <v>4027</v>
      </c>
      <c r="G1656">
        <v>67</v>
      </c>
    </row>
    <row r="1657" spans="1:7" x14ac:dyDescent="0.2">
      <c r="A1657" s="2">
        <v>45821</v>
      </c>
      <c r="B1657" t="s">
        <v>2264</v>
      </c>
      <c r="C1657" t="s">
        <v>1</v>
      </c>
      <c r="D1657" t="s">
        <v>3</v>
      </c>
      <c r="E1657">
        <v>1</v>
      </c>
      <c r="F1657" t="s">
        <v>4027</v>
      </c>
      <c r="G1657">
        <v>60</v>
      </c>
    </row>
    <row r="1658" spans="1:7" x14ac:dyDescent="0.2">
      <c r="A1658" s="2">
        <v>45821</v>
      </c>
      <c r="B1658" t="s">
        <v>2265</v>
      </c>
      <c r="C1658" t="s">
        <v>1</v>
      </c>
      <c r="D1658" t="s">
        <v>3</v>
      </c>
      <c r="E1658">
        <v>1</v>
      </c>
      <c r="F1658" t="s">
        <v>4027</v>
      </c>
      <c r="G1658">
        <v>85</v>
      </c>
    </row>
    <row r="1659" spans="1:7" x14ac:dyDescent="0.2">
      <c r="A1659" s="2">
        <v>45821</v>
      </c>
      <c r="B1659" t="s">
        <v>2266</v>
      </c>
      <c r="C1659" t="s">
        <v>1</v>
      </c>
      <c r="D1659" t="s">
        <v>3</v>
      </c>
      <c r="E1659">
        <v>1</v>
      </c>
      <c r="F1659" t="s">
        <v>4027</v>
      </c>
      <c r="G1659">
        <v>75</v>
      </c>
    </row>
    <row r="1660" spans="1:7" x14ac:dyDescent="0.2">
      <c r="A1660" s="2">
        <v>45822</v>
      </c>
      <c r="B1660" t="s">
        <v>2267</v>
      </c>
      <c r="C1660" t="s">
        <v>1</v>
      </c>
      <c r="D1660" t="s">
        <v>3</v>
      </c>
      <c r="E1660">
        <v>1</v>
      </c>
      <c r="F1660" t="s">
        <v>4027</v>
      </c>
      <c r="G1660">
        <v>71</v>
      </c>
    </row>
    <row r="1661" spans="1:7" x14ac:dyDescent="0.2">
      <c r="A1661" s="2">
        <v>45822</v>
      </c>
      <c r="B1661" t="s">
        <v>2268</v>
      </c>
      <c r="C1661" t="s">
        <v>1</v>
      </c>
      <c r="D1661" t="s">
        <v>3</v>
      </c>
      <c r="E1661">
        <v>1</v>
      </c>
      <c r="F1661" t="s">
        <v>4027</v>
      </c>
      <c r="G1661">
        <v>87</v>
      </c>
    </row>
    <row r="1662" spans="1:7" x14ac:dyDescent="0.2">
      <c r="A1662" s="2">
        <v>45822</v>
      </c>
      <c r="B1662" t="s">
        <v>2269</v>
      </c>
      <c r="C1662" t="s">
        <v>1</v>
      </c>
      <c r="D1662" t="s">
        <v>3</v>
      </c>
      <c r="E1662">
        <v>1</v>
      </c>
      <c r="F1662" t="s">
        <v>4027</v>
      </c>
      <c r="G1662">
        <v>73</v>
      </c>
    </row>
    <row r="1663" spans="1:7" x14ac:dyDescent="0.2">
      <c r="A1663" s="2">
        <v>45822</v>
      </c>
      <c r="B1663" t="s">
        <v>2270</v>
      </c>
      <c r="C1663" t="s">
        <v>1</v>
      </c>
      <c r="D1663" t="s">
        <v>3</v>
      </c>
      <c r="E1663">
        <v>1</v>
      </c>
      <c r="F1663" t="s">
        <v>4027</v>
      </c>
      <c r="G1663">
        <v>76</v>
      </c>
    </row>
    <row r="1664" spans="1:7" x14ac:dyDescent="0.2">
      <c r="A1664" s="2">
        <v>45824</v>
      </c>
      <c r="B1664" t="s">
        <v>3479</v>
      </c>
      <c r="C1664" t="s">
        <v>2</v>
      </c>
      <c r="D1664" t="s">
        <v>4</v>
      </c>
      <c r="E1664">
        <v>1</v>
      </c>
      <c r="F1664" t="s">
        <v>600</v>
      </c>
      <c r="G1664">
        <v>22</v>
      </c>
    </row>
    <row r="1665" spans="1:7" x14ac:dyDescent="0.2">
      <c r="A1665" s="2">
        <v>45824</v>
      </c>
      <c r="B1665" t="s">
        <v>3480</v>
      </c>
      <c r="C1665" t="s">
        <v>2</v>
      </c>
      <c r="D1665" t="s">
        <v>4</v>
      </c>
      <c r="E1665">
        <v>1</v>
      </c>
      <c r="F1665" t="s">
        <v>600</v>
      </c>
      <c r="G1665">
        <v>22</v>
      </c>
    </row>
    <row r="1666" spans="1:7" x14ac:dyDescent="0.2">
      <c r="A1666" s="2">
        <v>45824</v>
      </c>
      <c r="B1666" t="s">
        <v>3481</v>
      </c>
      <c r="C1666" t="s">
        <v>2</v>
      </c>
      <c r="D1666" t="s">
        <v>4</v>
      </c>
      <c r="E1666">
        <v>1</v>
      </c>
      <c r="F1666" t="s">
        <v>600</v>
      </c>
      <c r="G1666">
        <v>22</v>
      </c>
    </row>
    <row r="1667" spans="1:7" x14ac:dyDescent="0.2">
      <c r="A1667" s="2">
        <v>45824</v>
      </c>
      <c r="B1667" t="s">
        <v>2271</v>
      </c>
      <c r="C1667" t="s">
        <v>1</v>
      </c>
      <c r="D1667" t="s">
        <v>3</v>
      </c>
      <c r="E1667">
        <v>1</v>
      </c>
      <c r="F1667" t="s">
        <v>4027</v>
      </c>
      <c r="G1667">
        <v>66</v>
      </c>
    </row>
    <row r="1668" spans="1:7" x14ac:dyDescent="0.2">
      <c r="A1668" s="2">
        <v>45824</v>
      </c>
      <c r="B1668" t="s">
        <v>2274</v>
      </c>
      <c r="C1668" t="s">
        <v>1</v>
      </c>
      <c r="D1668" t="s">
        <v>3</v>
      </c>
      <c r="E1668">
        <v>1</v>
      </c>
      <c r="F1668" t="s">
        <v>4027</v>
      </c>
      <c r="G1668">
        <v>81</v>
      </c>
    </row>
    <row r="1669" spans="1:7" x14ac:dyDescent="0.2">
      <c r="A1669" s="2">
        <v>45824</v>
      </c>
      <c r="B1669" t="s">
        <v>2273</v>
      </c>
      <c r="C1669" t="s">
        <v>1</v>
      </c>
      <c r="D1669" t="s">
        <v>3</v>
      </c>
      <c r="E1669">
        <v>1</v>
      </c>
      <c r="F1669" t="s">
        <v>4027</v>
      </c>
      <c r="G1669">
        <v>78</v>
      </c>
    </row>
    <row r="1670" spans="1:7" x14ac:dyDescent="0.2">
      <c r="A1670" s="2">
        <v>45824</v>
      </c>
      <c r="B1670" t="s">
        <v>2272</v>
      </c>
      <c r="C1670" t="s">
        <v>1</v>
      </c>
      <c r="D1670" t="s">
        <v>3</v>
      </c>
      <c r="E1670">
        <v>1</v>
      </c>
      <c r="F1670" t="s">
        <v>4027</v>
      </c>
      <c r="G1670">
        <v>73</v>
      </c>
    </row>
    <row r="1671" spans="1:7" x14ac:dyDescent="0.2">
      <c r="A1671" s="2">
        <v>45825</v>
      </c>
      <c r="B1671" t="s">
        <v>3482</v>
      </c>
      <c r="C1671" t="s">
        <v>2</v>
      </c>
      <c r="D1671" t="s">
        <v>4</v>
      </c>
      <c r="E1671">
        <v>1</v>
      </c>
      <c r="F1671" t="s">
        <v>600</v>
      </c>
      <c r="G1671">
        <v>22</v>
      </c>
    </row>
    <row r="1672" spans="1:7" x14ac:dyDescent="0.2">
      <c r="A1672" s="2">
        <v>45825</v>
      </c>
      <c r="B1672" t="s">
        <v>3484</v>
      </c>
      <c r="C1672" t="s">
        <v>2</v>
      </c>
      <c r="D1672" t="s">
        <v>4</v>
      </c>
      <c r="E1672">
        <v>1</v>
      </c>
      <c r="F1672" t="s">
        <v>600</v>
      </c>
      <c r="G1672">
        <v>22</v>
      </c>
    </row>
    <row r="1673" spans="1:7" x14ac:dyDescent="0.2">
      <c r="A1673" s="2">
        <v>45825</v>
      </c>
      <c r="B1673" t="s">
        <v>3483</v>
      </c>
      <c r="C1673" t="s">
        <v>2</v>
      </c>
      <c r="D1673" t="s">
        <v>4</v>
      </c>
      <c r="E1673">
        <v>1</v>
      </c>
      <c r="F1673" t="s">
        <v>600</v>
      </c>
      <c r="G1673">
        <v>22</v>
      </c>
    </row>
    <row r="1674" spans="1:7" x14ac:dyDescent="0.2">
      <c r="A1674" s="2">
        <v>45825</v>
      </c>
      <c r="B1674" t="s">
        <v>2275</v>
      </c>
      <c r="C1674" t="s">
        <v>1</v>
      </c>
      <c r="D1674" t="s">
        <v>3</v>
      </c>
      <c r="E1674">
        <v>1</v>
      </c>
      <c r="F1674" t="s">
        <v>4027</v>
      </c>
      <c r="G1674">
        <v>82</v>
      </c>
    </row>
    <row r="1675" spans="1:7" x14ac:dyDescent="0.2">
      <c r="A1675" s="2">
        <v>45825</v>
      </c>
      <c r="B1675" t="s">
        <v>2279</v>
      </c>
      <c r="C1675" t="s">
        <v>1</v>
      </c>
      <c r="D1675" t="s">
        <v>3</v>
      </c>
      <c r="E1675">
        <v>1</v>
      </c>
      <c r="F1675" t="s">
        <v>4027</v>
      </c>
      <c r="G1675">
        <v>66</v>
      </c>
    </row>
    <row r="1676" spans="1:7" x14ac:dyDescent="0.2">
      <c r="A1676" s="2">
        <v>45825</v>
      </c>
      <c r="B1676" t="s">
        <v>2278</v>
      </c>
      <c r="C1676" t="s">
        <v>1</v>
      </c>
      <c r="D1676" t="s">
        <v>3</v>
      </c>
      <c r="E1676">
        <v>1</v>
      </c>
      <c r="F1676" t="s">
        <v>4027</v>
      </c>
      <c r="G1676">
        <v>61</v>
      </c>
    </row>
    <row r="1677" spans="1:7" x14ac:dyDescent="0.2">
      <c r="A1677" s="2">
        <v>45825</v>
      </c>
      <c r="B1677" t="s">
        <v>2277</v>
      </c>
      <c r="C1677" t="s">
        <v>1</v>
      </c>
      <c r="D1677" t="s">
        <v>3</v>
      </c>
      <c r="E1677">
        <v>1</v>
      </c>
      <c r="F1677" t="s">
        <v>4027</v>
      </c>
      <c r="G1677">
        <v>75</v>
      </c>
    </row>
    <row r="1678" spans="1:7" x14ac:dyDescent="0.2">
      <c r="A1678" s="2">
        <v>45825</v>
      </c>
      <c r="B1678" t="s">
        <v>2276</v>
      </c>
      <c r="C1678" t="s">
        <v>1</v>
      </c>
      <c r="D1678" t="s">
        <v>3</v>
      </c>
      <c r="E1678">
        <v>1</v>
      </c>
      <c r="F1678" t="s">
        <v>4027</v>
      </c>
      <c r="G1678">
        <v>76</v>
      </c>
    </row>
    <row r="1679" spans="1:7" x14ac:dyDescent="0.2">
      <c r="A1679" s="2">
        <v>45826</v>
      </c>
      <c r="B1679" t="s">
        <v>2285</v>
      </c>
      <c r="C1679" t="s">
        <v>1</v>
      </c>
      <c r="D1679" t="s">
        <v>3</v>
      </c>
      <c r="E1679">
        <v>1</v>
      </c>
      <c r="F1679" t="s">
        <v>4027</v>
      </c>
      <c r="G1679">
        <v>87</v>
      </c>
    </row>
    <row r="1680" spans="1:7" x14ac:dyDescent="0.2">
      <c r="A1680" s="2">
        <v>45826</v>
      </c>
      <c r="B1680" t="s">
        <v>2284</v>
      </c>
      <c r="C1680" t="s">
        <v>1</v>
      </c>
      <c r="D1680" t="s">
        <v>3</v>
      </c>
      <c r="E1680">
        <v>1</v>
      </c>
      <c r="F1680" t="s">
        <v>4027</v>
      </c>
      <c r="G1680">
        <v>73</v>
      </c>
    </row>
    <row r="1681" spans="1:7" x14ac:dyDescent="0.2">
      <c r="A1681" s="2">
        <v>45826</v>
      </c>
      <c r="B1681" t="s">
        <v>2283</v>
      </c>
      <c r="C1681" t="s">
        <v>1</v>
      </c>
      <c r="D1681" t="s">
        <v>3</v>
      </c>
      <c r="E1681">
        <v>1</v>
      </c>
      <c r="F1681" t="s">
        <v>4027</v>
      </c>
      <c r="G1681">
        <v>82</v>
      </c>
    </row>
    <row r="1682" spans="1:7" x14ac:dyDescent="0.2">
      <c r="A1682" s="2">
        <v>45826</v>
      </c>
      <c r="B1682" t="s">
        <v>2282</v>
      </c>
      <c r="C1682" t="s">
        <v>1</v>
      </c>
      <c r="D1682" t="s">
        <v>3</v>
      </c>
      <c r="E1682">
        <v>1</v>
      </c>
      <c r="F1682" t="s">
        <v>4027</v>
      </c>
      <c r="G1682">
        <v>82</v>
      </c>
    </row>
    <row r="1683" spans="1:7" x14ac:dyDescent="0.2">
      <c r="A1683" s="2">
        <v>45826</v>
      </c>
      <c r="B1683" t="s">
        <v>3486</v>
      </c>
      <c r="C1683" t="s">
        <v>2</v>
      </c>
      <c r="D1683" t="s">
        <v>4</v>
      </c>
      <c r="E1683">
        <v>1</v>
      </c>
      <c r="F1683" t="s">
        <v>600</v>
      </c>
      <c r="G1683">
        <v>22</v>
      </c>
    </row>
    <row r="1684" spans="1:7" x14ac:dyDescent="0.2">
      <c r="A1684" s="2">
        <v>45826</v>
      </c>
      <c r="B1684" t="s">
        <v>2281</v>
      </c>
      <c r="C1684" t="s">
        <v>1</v>
      </c>
      <c r="D1684" t="s">
        <v>3</v>
      </c>
      <c r="E1684">
        <v>1</v>
      </c>
      <c r="F1684" t="s">
        <v>4027</v>
      </c>
      <c r="G1684">
        <v>74</v>
      </c>
    </row>
    <row r="1685" spans="1:7" x14ac:dyDescent="0.2">
      <c r="A1685" s="2">
        <v>45826</v>
      </c>
      <c r="B1685" t="s">
        <v>2280</v>
      </c>
      <c r="C1685" t="s">
        <v>1</v>
      </c>
      <c r="D1685" t="s">
        <v>3</v>
      </c>
      <c r="E1685">
        <v>1</v>
      </c>
      <c r="F1685" t="s">
        <v>4027</v>
      </c>
      <c r="G1685">
        <v>86</v>
      </c>
    </row>
    <row r="1686" spans="1:7" x14ac:dyDescent="0.2">
      <c r="A1686" s="2">
        <v>45826</v>
      </c>
      <c r="B1686" t="s">
        <v>3485</v>
      </c>
      <c r="C1686" t="s">
        <v>2</v>
      </c>
      <c r="D1686" t="s">
        <v>4</v>
      </c>
      <c r="E1686">
        <v>1</v>
      </c>
      <c r="F1686" t="s">
        <v>600</v>
      </c>
      <c r="G1686">
        <v>22</v>
      </c>
    </row>
    <row r="1687" spans="1:7" x14ac:dyDescent="0.2">
      <c r="A1687" s="2">
        <v>45827</v>
      </c>
      <c r="B1687" t="s">
        <v>2290</v>
      </c>
      <c r="C1687" t="s">
        <v>1</v>
      </c>
      <c r="D1687" t="s">
        <v>3</v>
      </c>
      <c r="E1687">
        <v>1</v>
      </c>
      <c r="F1687" t="s">
        <v>4027</v>
      </c>
      <c r="G1687">
        <v>69</v>
      </c>
    </row>
    <row r="1688" spans="1:7" x14ac:dyDescent="0.2">
      <c r="A1688" s="2">
        <v>45827</v>
      </c>
      <c r="B1688" t="s">
        <v>2286</v>
      </c>
      <c r="C1688" t="s">
        <v>1</v>
      </c>
      <c r="D1688" t="s">
        <v>3</v>
      </c>
      <c r="E1688">
        <v>1</v>
      </c>
      <c r="F1688" t="s">
        <v>4027</v>
      </c>
      <c r="G1688">
        <v>60</v>
      </c>
    </row>
    <row r="1689" spans="1:7" x14ac:dyDescent="0.2">
      <c r="A1689" s="2">
        <v>45827</v>
      </c>
      <c r="B1689" t="s">
        <v>2287</v>
      </c>
      <c r="C1689" t="s">
        <v>1</v>
      </c>
      <c r="D1689" t="s">
        <v>3</v>
      </c>
      <c r="E1689">
        <v>1</v>
      </c>
      <c r="F1689" t="s">
        <v>4027</v>
      </c>
      <c r="G1689">
        <v>67</v>
      </c>
    </row>
    <row r="1690" spans="1:7" x14ac:dyDescent="0.2">
      <c r="A1690" s="2">
        <v>45827</v>
      </c>
      <c r="B1690" t="s">
        <v>2288</v>
      </c>
      <c r="C1690" t="s">
        <v>1</v>
      </c>
      <c r="D1690" t="s">
        <v>3</v>
      </c>
      <c r="E1690">
        <v>1</v>
      </c>
      <c r="F1690" t="s">
        <v>4027</v>
      </c>
      <c r="G1690">
        <v>67</v>
      </c>
    </row>
    <row r="1691" spans="1:7" x14ac:dyDescent="0.2">
      <c r="A1691" s="2">
        <v>45827</v>
      </c>
      <c r="B1691" t="s">
        <v>2289</v>
      </c>
      <c r="C1691" t="s">
        <v>1</v>
      </c>
      <c r="D1691" t="s">
        <v>3</v>
      </c>
      <c r="E1691">
        <v>1</v>
      </c>
      <c r="F1691" t="s">
        <v>4027</v>
      </c>
      <c r="G1691">
        <v>86</v>
      </c>
    </row>
    <row r="1692" spans="1:7" x14ac:dyDescent="0.2">
      <c r="A1692" s="2">
        <v>45828</v>
      </c>
      <c r="B1692" t="s">
        <v>2292</v>
      </c>
      <c r="C1692" t="s">
        <v>1</v>
      </c>
      <c r="D1692" t="s">
        <v>3</v>
      </c>
      <c r="E1692">
        <v>1</v>
      </c>
      <c r="F1692" t="s">
        <v>4027</v>
      </c>
      <c r="G1692">
        <v>72</v>
      </c>
    </row>
    <row r="1693" spans="1:7" x14ac:dyDescent="0.2">
      <c r="A1693" s="2">
        <v>45828</v>
      </c>
      <c r="B1693" t="s">
        <v>2291</v>
      </c>
      <c r="C1693" t="s">
        <v>1</v>
      </c>
      <c r="D1693" t="s">
        <v>3</v>
      </c>
      <c r="E1693">
        <v>1</v>
      </c>
      <c r="F1693" t="s">
        <v>4027</v>
      </c>
      <c r="G1693">
        <v>85</v>
      </c>
    </row>
    <row r="1694" spans="1:7" x14ac:dyDescent="0.2">
      <c r="A1694" s="2">
        <v>45828</v>
      </c>
      <c r="B1694" t="s">
        <v>2293</v>
      </c>
      <c r="C1694" t="s">
        <v>1</v>
      </c>
      <c r="D1694" t="s">
        <v>3</v>
      </c>
      <c r="E1694">
        <v>1</v>
      </c>
      <c r="F1694" t="s">
        <v>4027</v>
      </c>
      <c r="G1694">
        <v>71</v>
      </c>
    </row>
    <row r="1695" spans="1:7" x14ac:dyDescent="0.2">
      <c r="A1695" s="2">
        <v>45832</v>
      </c>
      <c r="B1695" t="s">
        <v>2301</v>
      </c>
      <c r="C1695" t="s">
        <v>1</v>
      </c>
      <c r="D1695" t="s">
        <v>3</v>
      </c>
      <c r="E1695">
        <v>1</v>
      </c>
      <c r="F1695" t="s">
        <v>4027</v>
      </c>
      <c r="G1695">
        <v>85</v>
      </c>
    </row>
    <row r="1696" spans="1:7" x14ac:dyDescent="0.2">
      <c r="A1696" s="2">
        <v>45832</v>
      </c>
      <c r="B1696" t="s">
        <v>2294</v>
      </c>
      <c r="C1696" t="s">
        <v>1</v>
      </c>
      <c r="D1696" t="s">
        <v>3</v>
      </c>
      <c r="E1696">
        <v>1</v>
      </c>
      <c r="F1696" t="s">
        <v>4027</v>
      </c>
      <c r="G1696">
        <v>79</v>
      </c>
    </row>
    <row r="1697" spans="1:7" x14ac:dyDescent="0.2">
      <c r="A1697" s="2">
        <v>45832</v>
      </c>
      <c r="B1697" t="s">
        <v>2295</v>
      </c>
      <c r="C1697" t="s">
        <v>1</v>
      </c>
      <c r="D1697" t="s">
        <v>3</v>
      </c>
      <c r="E1697">
        <v>1</v>
      </c>
      <c r="F1697" t="s">
        <v>4027</v>
      </c>
      <c r="G1697">
        <v>72</v>
      </c>
    </row>
    <row r="1698" spans="1:7" x14ac:dyDescent="0.2">
      <c r="A1698" s="2">
        <v>45832</v>
      </c>
      <c r="B1698" t="s">
        <v>2296</v>
      </c>
      <c r="C1698" t="s">
        <v>1</v>
      </c>
      <c r="D1698" t="s">
        <v>3</v>
      </c>
      <c r="E1698">
        <v>1</v>
      </c>
      <c r="F1698" t="s">
        <v>4027</v>
      </c>
      <c r="G1698">
        <v>77</v>
      </c>
    </row>
    <row r="1699" spans="1:7" x14ac:dyDescent="0.2">
      <c r="A1699" s="2">
        <v>45832</v>
      </c>
      <c r="B1699" t="s">
        <v>2297</v>
      </c>
      <c r="C1699" t="s">
        <v>1</v>
      </c>
      <c r="D1699" t="s">
        <v>3</v>
      </c>
      <c r="E1699">
        <v>1</v>
      </c>
      <c r="F1699" t="s">
        <v>4027</v>
      </c>
      <c r="G1699">
        <v>77</v>
      </c>
    </row>
    <row r="1700" spans="1:7" x14ac:dyDescent="0.2">
      <c r="A1700" s="2">
        <v>45832</v>
      </c>
      <c r="B1700" t="s">
        <v>2298</v>
      </c>
      <c r="C1700" t="s">
        <v>1</v>
      </c>
      <c r="D1700" t="s">
        <v>3</v>
      </c>
      <c r="E1700">
        <v>1</v>
      </c>
      <c r="F1700" t="s">
        <v>4027</v>
      </c>
      <c r="G1700">
        <v>87</v>
      </c>
    </row>
    <row r="1701" spans="1:7" x14ac:dyDescent="0.2">
      <c r="A1701" s="2">
        <v>45832</v>
      </c>
      <c r="B1701" t="s">
        <v>2299</v>
      </c>
      <c r="C1701" t="s">
        <v>1</v>
      </c>
      <c r="D1701" t="s">
        <v>3</v>
      </c>
      <c r="E1701">
        <v>1</v>
      </c>
      <c r="F1701" t="s">
        <v>4027</v>
      </c>
      <c r="G1701">
        <v>79</v>
      </c>
    </row>
    <row r="1702" spans="1:7" x14ac:dyDescent="0.2">
      <c r="A1702" s="2">
        <v>45832</v>
      </c>
      <c r="B1702" t="s">
        <v>2300</v>
      </c>
      <c r="C1702" t="s">
        <v>1</v>
      </c>
      <c r="D1702" t="s">
        <v>3</v>
      </c>
      <c r="E1702">
        <v>1</v>
      </c>
      <c r="F1702" t="s">
        <v>4027</v>
      </c>
      <c r="G1702">
        <v>77</v>
      </c>
    </row>
    <row r="1703" spans="1:7" x14ac:dyDescent="0.2">
      <c r="A1703" s="2">
        <v>45832</v>
      </c>
      <c r="B1703" t="s">
        <v>2302</v>
      </c>
      <c r="C1703" t="s">
        <v>1</v>
      </c>
      <c r="D1703" t="s">
        <v>3</v>
      </c>
      <c r="E1703">
        <v>1</v>
      </c>
      <c r="F1703" t="s">
        <v>4027</v>
      </c>
      <c r="G1703">
        <v>63</v>
      </c>
    </row>
    <row r="1704" spans="1:7" x14ac:dyDescent="0.2">
      <c r="A1704" s="2">
        <v>45833</v>
      </c>
      <c r="B1704" t="s">
        <v>2305</v>
      </c>
      <c r="C1704" t="s">
        <v>1</v>
      </c>
      <c r="D1704" t="s">
        <v>3</v>
      </c>
      <c r="E1704">
        <v>1</v>
      </c>
      <c r="F1704" t="s">
        <v>4027</v>
      </c>
      <c r="G1704">
        <v>66</v>
      </c>
    </row>
    <row r="1705" spans="1:7" x14ac:dyDescent="0.2">
      <c r="A1705" s="2">
        <v>45833</v>
      </c>
      <c r="B1705" t="s">
        <v>2306</v>
      </c>
      <c r="C1705" t="s">
        <v>1</v>
      </c>
      <c r="D1705" t="s">
        <v>3</v>
      </c>
      <c r="E1705">
        <v>1</v>
      </c>
      <c r="F1705" t="s">
        <v>4027</v>
      </c>
      <c r="G1705">
        <v>61</v>
      </c>
    </row>
    <row r="1706" spans="1:7" x14ac:dyDescent="0.2">
      <c r="A1706" s="2">
        <v>45833</v>
      </c>
      <c r="B1706" t="s">
        <v>2303</v>
      </c>
      <c r="C1706" t="s">
        <v>1</v>
      </c>
      <c r="D1706" t="s">
        <v>3</v>
      </c>
      <c r="E1706">
        <v>1</v>
      </c>
      <c r="F1706" t="s">
        <v>4027</v>
      </c>
      <c r="G1706">
        <v>89</v>
      </c>
    </row>
    <row r="1707" spans="1:7" x14ac:dyDescent="0.2">
      <c r="A1707" s="2">
        <v>45833</v>
      </c>
      <c r="B1707" t="s">
        <v>2304</v>
      </c>
      <c r="C1707" t="s">
        <v>1</v>
      </c>
      <c r="D1707" t="s">
        <v>3</v>
      </c>
      <c r="E1707">
        <v>1</v>
      </c>
      <c r="F1707" t="s">
        <v>4027</v>
      </c>
      <c r="G1707">
        <v>60</v>
      </c>
    </row>
    <row r="1708" spans="1:7" x14ac:dyDescent="0.2">
      <c r="A1708" s="2">
        <v>45833</v>
      </c>
      <c r="B1708" t="s">
        <v>3488</v>
      </c>
      <c r="C1708" t="s">
        <v>2</v>
      </c>
      <c r="D1708" t="s">
        <v>4</v>
      </c>
      <c r="E1708">
        <v>1</v>
      </c>
      <c r="F1708" t="s">
        <v>600</v>
      </c>
      <c r="G1708">
        <v>22</v>
      </c>
    </row>
    <row r="1709" spans="1:7" x14ac:dyDescent="0.2">
      <c r="A1709" s="2">
        <v>45833</v>
      </c>
      <c r="B1709" t="s">
        <v>3491</v>
      </c>
      <c r="C1709" t="s">
        <v>2</v>
      </c>
      <c r="D1709" t="s">
        <v>4</v>
      </c>
      <c r="E1709">
        <v>1</v>
      </c>
      <c r="F1709" t="s">
        <v>600</v>
      </c>
      <c r="G1709">
        <v>22</v>
      </c>
    </row>
    <row r="1710" spans="1:7" x14ac:dyDescent="0.2">
      <c r="A1710" s="2">
        <v>45833</v>
      </c>
      <c r="B1710" t="s">
        <v>3490</v>
      </c>
      <c r="C1710" t="s">
        <v>2</v>
      </c>
      <c r="D1710" t="s">
        <v>4</v>
      </c>
      <c r="E1710">
        <v>1</v>
      </c>
      <c r="F1710" t="s">
        <v>600</v>
      </c>
      <c r="G1710">
        <v>22</v>
      </c>
    </row>
    <row r="1711" spans="1:7" x14ac:dyDescent="0.2">
      <c r="A1711" s="2">
        <v>45833</v>
      </c>
      <c r="B1711" t="s">
        <v>3489</v>
      </c>
      <c r="C1711" t="s">
        <v>2</v>
      </c>
      <c r="D1711" t="s">
        <v>4</v>
      </c>
      <c r="E1711">
        <v>1</v>
      </c>
      <c r="F1711" t="s">
        <v>600</v>
      </c>
      <c r="G1711">
        <v>22</v>
      </c>
    </row>
    <row r="1712" spans="1:7" x14ac:dyDescent="0.2">
      <c r="A1712" s="2">
        <v>45833</v>
      </c>
      <c r="B1712" t="s">
        <v>3487</v>
      </c>
      <c r="C1712" t="s">
        <v>2</v>
      </c>
      <c r="D1712" t="s">
        <v>4</v>
      </c>
      <c r="E1712">
        <v>1</v>
      </c>
      <c r="F1712" t="s">
        <v>600</v>
      </c>
      <c r="G1712">
        <v>22</v>
      </c>
    </row>
    <row r="1713" spans="1:7" x14ac:dyDescent="0.2">
      <c r="A1713" s="2">
        <v>45834</v>
      </c>
      <c r="B1713" t="s">
        <v>2307</v>
      </c>
      <c r="C1713" t="s">
        <v>1</v>
      </c>
      <c r="D1713" t="s">
        <v>3</v>
      </c>
      <c r="E1713">
        <v>1</v>
      </c>
      <c r="F1713" t="s">
        <v>4027</v>
      </c>
      <c r="G1713">
        <v>89</v>
      </c>
    </row>
    <row r="1714" spans="1:7" x14ac:dyDescent="0.2">
      <c r="A1714" s="2">
        <v>45834</v>
      </c>
      <c r="B1714" t="s">
        <v>2308</v>
      </c>
      <c r="C1714" t="s">
        <v>1</v>
      </c>
      <c r="D1714" t="s">
        <v>3</v>
      </c>
      <c r="E1714">
        <v>1</v>
      </c>
      <c r="F1714" t="s">
        <v>4027</v>
      </c>
      <c r="G1714">
        <v>73</v>
      </c>
    </row>
    <row r="1715" spans="1:7" x14ac:dyDescent="0.2">
      <c r="A1715" s="2">
        <v>45834</v>
      </c>
      <c r="B1715" t="s">
        <v>2311</v>
      </c>
      <c r="C1715" t="s">
        <v>1</v>
      </c>
      <c r="D1715" t="s">
        <v>3</v>
      </c>
      <c r="E1715">
        <v>1</v>
      </c>
      <c r="F1715" t="s">
        <v>4027</v>
      </c>
      <c r="G1715">
        <v>70</v>
      </c>
    </row>
    <row r="1716" spans="1:7" x14ac:dyDescent="0.2">
      <c r="A1716" s="2">
        <v>45834</v>
      </c>
      <c r="B1716" t="s">
        <v>2310</v>
      </c>
      <c r="C1716" t="s">
        <v>1</v>
      </c>
      <c r="D1716" t="s">
        <v>3</v>
      </c>
      <c r="E1716">
        <v>1</v>
      </c>
      <c r="F1716" t="s">
        <v>4027</v>
      </c>
      <c r="G1716">
        <v>89</v>
      </c>
    </row>
    <row r="1717" spans="1:7" x14ac:dyDescent="0.2">
      <c r="A1717" s="2">
        <v>45834</v>
      </c>
      <c r="B1717" t="s">
        <v>2312</v>
      </c>
      <c r="C1717" t="s">
        <v>1</v>
      </c>
      <c r="D1717" t="s">
        <v>3</v>
      </c>
      <c r="E1717">
        <v>1</v>
      </c>
      <c r="F1717" t="s">
        <v>4027</v>
      </c>
      <c r="G1717">
        <v>76</v>
      </c>
    </row>
    <row r="1718" spans="1:7" x14ac:dyDescent="0.2">
      <c r="A1718" s="2">
        <v>45834</v>
      </c>
      <c r="B1718" t="s">
        <v>2309</v>
      </c>
      <c r="C1718" t="s">
        <v>1</v>
      </c>
      <c r="D1718" t="s">
        <v>3</v>
      </c>
      <c r="E1718">
        <v>1</v>
      </c>
      <c r="F1718" t="s">
        <v>4027</v>
      </c>
      <c r="G1718">
        <v>81</v>
      </c>
    </row>
    <row r="1719" spans="1:7" x14ac:dyDescent="0.2">
      <c r="A1719" s="2">
        <v>45835</v>
      </c>
      <c r="B1719" t="s">
        <v>3492</v>
      </c>
      <c r="C1719" t="s">
        <v>2</v>
      </c>
      <c r="D1719" t="s">
        <v>4</v>
      </c>
      <c r="E1719">
        <v>1</v>
      </c>
      <c r="F1719" t="s">
        <v>600</v>
      </c>
      <c r="G1719">
        <v>22</v>
      </c>
    </row>
    <row r="1720" spans="1:7" x14ac:dyDescent="0.2">
      <c r="A1720" s="2">
        <v>45835</v>
      </c>
      <c r="B1720" t="s">
        <v>3493</v>
      </c>
      <c r="C1720" t="s">
        <v>2</v>
      </c>
      <c r="D1720" t="s">
        <v>4</v>
      </c>
      <c r="E1720">
        <v>1</v>
      </c>
      <c r="F1720" t="s">
        <v>600</v>
      </c>
      <c r="G1720">
        <v>22</v>
      </c>
    </row>
    <row r="1721" spans="1:7" x14ac:dyDescent="0.2">
      <c r="A1721" s="2">
        <v>45835</v>
      </c>
      <c r="B1721" t="s">
        <v>3494</v>
      </c>
      <c r="C1721" t="s">
        <v>2</v>
      </c>
      <c r="D1721" t="s">
        <v>4</v>
      </c>
      <c r="E1721">
        <v>1</v>
      </c>
      <c r="F1721" t="s">
        <v>600</v>
      </c>
      <c r="G1721">
        <v>22</v>
      </c>
    </row>
    <row r="1722" spans="1:7" x14ac:dyDescent="0.2">
      <c r="A1722" s="2">
        <v>45836</v>
      </c>
      <c r="B1722" t="s">
        <v>2313</v>
      </c>
      <c r="C1722" t="s">
        <v>1</v>
      </c>
      <c r="D1722" t="s">
        <v>3</v>
      </c>
      <c r="E1722">
        <v>1</v>
      </c>
      <c r="F1722" t="s">
        <v>4027</v>
      </c>
      <c r="G1722">
        <v>64</v>
      </c>
    </row>
    <row r="1723" spans="1:7" x14ac:dyDescent="0.2">
      <c r="A1723" s="2">
        <v>45838</v>
      </c>
      <c r="B1723" t="s">
        <v>2315</v>
      </c>
      <c r="C1723" t="s">
        <v>1</v>
      </c>
      <c r="D1723" t="s">
        <v>3</v>
      </c>
      <c r="E1723">
        <v>1</v>
      </c>
      <c r="F1723" t="s">
        <v>4027</v>
      </c>
      <c r="G1723">
        <v>87</v>
      </c>
    </row>
    <row r="1724" spans="1:7" x14ac:dyDescent="0.2">
      <c r="A1724" s="2">
        <v>45838</v>
      </c>
      <c r="B1724" t="s">
        <v>2314</v>
      </c>
      <c r="C1724" t="s">
        <v>1</v>
      </c>
      <c r="D1724" t="s">
        <v>3</v>
      </c>
      <c r="E1724">
        <v>1</v>
      </c>
      <c r="F1724" t="s">
        <v>4027</v>
      </c>
      <c r="G1724">
        <v>61</v>
      </c>
    </row>
    <row r="1725" spans="1:7" x14ac:dyDescent="0.2">
      <c r="A1725" s="2">
        <v>45839</v>
      </c>
      <c r="B1725" t="s">
        <v>2317</v>
      </c>
      <c r="C1725" t="s">
        <v>1</v>
      </c>
      <c r="D1725" t="s">
        <v>3</v>
      </c>
      <c r="E1725">
        <v>1</v>
      </c>
      <c r="F1725" t="s">
        <v>4027</v>
      </c>
      <c r="G1725">
        <v>65</v>
      </c>
    </row>
    <row r="1726" spans="1:7" x14ac:dyDescent="0.2">
      <c r="A1726" s="2">
        <v>45839</v>
      </c>
      <c r="B1726" t="s">
        <v>2318</v>
      </c>
      <c r="C1726" t="s">
        <v>1</v>
      </c>
      <c r="D1726" t="s">
        <v>3</v>
      </c>
      <c r="E1726">
        <v>1</v>
      </c>
      <c r="F1726" t="s">
        <v>4027</v>
      </c>
      <c r="G1726">
        <v>82</v>
      </c>
    </row>
    <row r="1727" spans="1:7" x14ac:dyDescent="0.2">
      <c r="A1727" s="2">
        <v>45839</v>
      </c>
      <c r="B1727" t="s">
        <v>2320</v>
      </c>
      <c r="C1727" t="s">
        <v>1</v>
      </c>
      <c r="D1727" t="s">
        <v>3</v>
      </c>
      <c r="E1727">
        <v>1</v>
      </c>
      <c r="F1727" t="s">
        <v>4027</v>
      </c>
      <c r="G1727">
        <v>66</v>
      </c>
    </row>
    <row r="1728" spans="1:7" x14ac:dyDescent="0.2">
      <c r="A1728" s="2">
        <v>45839</v>
      </c>
      <c r="B1728" t="s">
        <v>2321</v>
      </c>
      <c r="C1728" t="s">
        <v>1</v>
      </c>
      <c r="D1728" t="s">
        <v>3</v>
      </c>
      <c r="E1728">
        <v>1</v>
      </c>
      <c r="F1728" t="s">
        <v>4027</v>
      </c>
      <c r="G1728">
        <v>79</v>
      </c>
    </row>
    <row r="1729" spans="1:7" x14ac:dyDescent="0.2">
      <c r="A1729" s="2">
        <v>45839</v>
      </c>
      <c r="B1729" t="s">
        <v>2322</v>
      </c>
      <c r="C1729" t="s">
        <v>1</v>
      </c>
      <c r="D1729" t="s">
        <v>3</v>
      </c>
      <c r="E1729">
        <v>1</v>
      </c>
      <c r="F1729" t="s">
        <v>4027</v>
      </c>
      <c r="G1729">
        <v>74</v>
      </c>
    </row>
    <row r="1730" spans="1:7" x14ac:dyDescent="0.2">
      <c r="A1730" s="2">
        <v>45839</v>
      </c>
      <c r="B1730" t="s">
        <v>2323</v>
      </c>
      <c r="C1730" t="s">
        <v>1</v>
      </c>
      <c r="D1730" t="s">
        <v>3</v>
      </c>
      <c r="E1730">
        <v>1</v>
      </c>
      <c r="F1730" t="s">
        <v>4027</v>
      </c>
      <c r="G1730">
        <v>64</v>
      </c>
    </row>
    <row r="1731" spans="1:7" x14ac:dyDescent="0.2">
      <c r="A1731" s="2">
        <v>45839</v>
      </c>
      <c r="B1731" t="s">
        <v>2316</v>
      </c>
      <c r="C1731" t="s">
        <v>1</v>
      </c>
      <c r="D1731" t="s">
        <v>3</v>
      </c>
      <c r="E1731">
        <v>1</v>
      </c>
      <c r="F1731" t="s">
        <v>4027</v>
      </c>
      <c r="G1731">
        <v>63</v>
      </c>
    </row>
    <row r="1732" spans="1:7" x14ac:dyDescent="0.2">
      <c r="A1732" s="2">
        <v>45839</v>
      </c>
      <c r="B1732" t="s">
        <v>2319</v>
      </c>
      <c r="C1732" t="s">
        <v>1</v>
      </c>
      <c r="D1732" t="s">
        <v>3</v>
      </c>
      <c r="E1732">
        <v>1</v>
      </c>
      <c r="F1732" t="s">
        <v>4027</v>
      </c>
      <c r="G1732">
        <v>80</v>
      </c>
    </row>
    <row r="1733" spans="1:7" x14ac:dyDescent="0.2">
      <c r="A1733" s="2">
        <v>45840</v>
      </c>
      <c r="B1733" t="s">
        <v>2324</v>
      </c>
      <c r="C1733" t="s">
        <v>1</v>
      </c>
      <c r="D1733" t="s">
        <v>3</v>
      </c>
      <c r="E1733">
        <v>1</v>
      </c>
      <c r="F1733" t="s">
        <v>4027</v>
      </c>
      <c r="G1733">
        <v>62</v>
      </c>
    </row>
    <row r="1734" spans="1:7" x14ac:dyDescent="0.2">
      <c r="A1734" s="2">
        <v>45840</v>
      </c>
      <c r="B1734" t="s">
        <v>2327</v>
      </c>
      <c r="C1734" t="s">
        <v>1</v>
      </c>
      <c r="D1734" t="s">
        <v>3</v>
      </c>
      <c r="E1734">
        <v>1</v>
      </c>
      <c r="F1734" t="s">
        <v>4027</v>
      </c>
      <c r="G1734">
        <v>72</v>
      </c>
    </row>
    <row r="1735" spans="1:7" x14ac:dyDescent="0.2">
      <c r="A1735" s="2">
        <v>45840</v>
      </c>
      <c r="B1735" t="s">
        <v>2326</v>
      </c>
      <c r="C1735" t="s">
        <v>1</v>
      </c>
      <c r="D1735" t="s">
        <v>3</v>
      </c>
      <c r="E1735">
        <v>1</v>
      </c>
      <c r="F1735" t="s">
        <v>4027</v>
      </c>
      <c r="G1735">
        <v>70</v>
      </c>
    </row>
    <row r="1736" spans="1:7" x14ac:dyDescent="0.2">
      <c r="A1736" s="2">
        <v>45840</v>
      </c>
      <c r="B1736" t="s">
        <v>2325</v>
      </c>
      <c r="C1736" t="s">
        <v>1</v>
      </c>
      <c r="D1736" t="s">
        <v>3</v>
      </c>
      <c r="E1736">
        <v>1</v>
      </c>
      <c r="F1736" t="s">
        <v>4027</v>
      </c>
      <c r="G1736">
        <v>66</v>
      </c>
    </row>
    <row r="1737" spans="1:7" x14ac:dyDescent="0.2">
      <c r="A1737" s="2">
        <v>45840</v>
      </c>
      <c r="B1737" t="s">
        <v>2328</v>
      </c>
      <c r="C1737" t="s">
        <v>1</v>
      </c>
      <c r="D1737" t="s">
        <v>3</v>
      </c>
      <c r="E1737">
        <v>1</v>
      </c>
      <c r="F1737" t="s">
        <v>4027</v>
      </c>
      <c r="G1737">
        <v>78</v>
      </c>
    </row>
    <row r="1738" spans="1:7" x14ac:dyDescent="0.2">
      <c r="A1738" s="2">
        <v>45841</v>
      </c>
      <c r="B1738" t="s">
        <v>2329</v>
      </c>
      <c r="C1738" t="s">
        <v>1</v>
      </c>
      <c r="D1738" t="s">
        <v>3</v>
      </c>
      <c r="E1738">
        <v>1</v>
      </c>
      <c r="F1738" t="s">
        <v>4027</v>
      </c>
      <c r="G1738">
        <v>72</v>
      </c>
    </row>
    <row r="1739" spans="1:7" x14ac:dyDescent="0.2">
      <c r="A1739" s="2">
        <v>45841</v>
      </c>
      <c r="B1739" t="s">
        <v>2331</v>
      </c>
      <c r="C1739" t="s">
        <v>1</v>
      </c>
      <c r="D1739" t="s">
        <v>3</v>
      </c>
      <c r="E1739">
        <v>1</v>
      </c>
      <c r="F1739" t="s">
        <v>4027</v>
      </c>
      <c r="G1739">
        <v>88</v>
      </c>
    </row>
    <row r="1740" spans="1:7" x14ac:dyDescent="0.2">
      <c r="A1740" s="2">
        <v>45841</v>
      </c>
      <c r="B1740" t="s">
        <v>2332</v>
      </c>
      <c r="C1740" t="s">
        <v>1</v>
      </c>
      <c r="D1740" t="s">
        <v>3</v>
      </c>
      <c r="E1740">
        <v>1</v>
      </c>
      <c r="F1740" t="s">
        <v>4027</v>
      </c>
      <c r="G1740">
        <v>68</v>
      </c>
    </row>
    <row r="1741" spans="1:7" x14ac:dyDescent="0.2">
      <c r="A1741" s="2">
        <v>45841</v>
      </c>
      <c r="B1741" t="s">
        <v>2333</v>
      </c>
      <c r="C1741" t="s">
        <v>1</v>
      </c>
      <c r="D1741" t="s">
        <v>3</v>
      </c>
      <c r="E1741">
        <v>1</v>
      </c>
      <c r="F1741" t="s">
        <v>4027</v>
      </c>
      <c r="G1741">
        <v>88</v>
      </c>
    </row>
    <row r="1742" spans="1:7" x14ac:dyDescent="0.2">
      <c r="A1742" s="2">
        <v>45841</v>
      </c>
      <c r="B1742" t="s">
        <v>2334</v>
      </c>
      <c r="C1742" t="s">
        <v>1</v>
      </c>
      <c r="D1742" t="s">
        <v>3</v>
      </c>
      <c r="E1742">
        <v>1</v>
      </c>
      <c r="F1742" t="s">
        <v>4027</v>
      </c>
      <c r="G1742">
        <v>64</v>
      </c>
    </row>
    <row r="1743" spans="1:7" x14ac:dyDescent="0.2">
      <c r="A1743" s="2">
        <v>45841</v>
      </c>
      <c r="B1743" t="s">
        <v>2330</v>
      </c>
      <c r="C1743" t="s">
        <v>1</v>
      </c>
      <c r="D1743" t="s">
        <v>3</v>
      </c>
      <c r="E1743">
        <v>1</v>
      </c>
      <c r="F1743" t="s">
        <v>4027</v>
      </c>
      <c r="G1743">
        <v>62</v>
      </c>
    </row>
    <row r="1744" spans="1:7" x14ac:dyDescent="0.2">
      <c r="A1744" s="2">
        <v>45842</v>
      </c>
      <c r="B1744" t="s">
        <v>2338</v>
      </c>
      <c r="C1744" t="s">
        <v>1</v>
      </c>
      <c r="D1744" t="s">
        <v>3</v>
      </c>
      <c r="E1744">
        <v>1</v>
      </c>
      <c r="F1744" t="s">
        <v>4027</v>
      </c>
      <c r="G1744">
        <v>86</v>
      </c>
    </row>
    <row r="1745" spans="1:7" x14ac:dyDescent="0.2">
      <c r="A1745" s="2">
        <v>45842</v>
      </c>
      <c r="B1745" t="s">
        <v>2341</v>
      </c>
      <c r="C1745" t="s">
        <v>1</v>
      </c>
      <c r="D1745" t="s">
        <v>3</v>
      </c>
      <c r="E1745">
        <v>1</v>
      </c>
      <c r="F1745" t="s">
        <v>4027</v>
      </c>
      <c r="G1745">
        <v>61</v>
      </c>
    </row>
    <row r="1746" spans="1:7" x14ac:dyDescent="0.2">
      <c r="A1746" s="2">
        <v>45842</v>
      </c>
      <c r="B1746" t="s">
        <v>2340</v>
      </c>
      <c r="C1746" t="s">
        <v>1</v>
      </c>
      <c r="D1746" t="s">
        <v>3</v>
      </c>
      <c r="E1746">
        <v>1</v>
      </c>
      <c r="F1746" t="s">
        <v>4027</v>
      </c>
      <c r="G1746">
        <v>66</v>
      </c>
    </row>
    <row r="1747" spans="1:7" x14ac:dyDescent="0.2">
      <c r="A1747" s="2">
        <v>45842</v>
      </c>
      <c r="B1747" t="s">
        <v>2339</v>
      </c>
      <c r="C1747" t="s">
        <v>1</v>
      </c>
      <c r="D1747" t="s">
        <v>3</v>
      </c>
      <c r="E1747">
        <v>1</v>
      </c>
      <c r="F1747" t="s">
        <v>4027</v>
      </c>
      <c r="G1747">
        <v>70</v>
      </c>
    </row>
    <row r="1748" spans="1:7" x14ac:dyDescent="0.2">
      <c r="A1748" s="2">
        <v>45842</v>
      </c>
      <c r="B1748" t="s">
        <v>2337</v>
      </c>
      <c r="C1748" t="s">
        <v>1</v>
      </c>
      <c r="D1748" t="s">
        <v>3</v>
      </c>
      <c r="E1748">
        <v>1</v>
      </c>
      <c r="F1748" t="s">
        <v>4027</v>
      </c>
      <c r="G1748">
        <v>76</v>
      </c>
    </row>
    <row r="1749" spans="1:7" x14ac:dyDescent="0.2">
      <c r="A1749" s="2">
        <v>45842</v>
      </c>
      <c r="B1749" t="s">
        <v>2336</v>
      </c>
      <c r="C1749" t="s">
        <v>1</v>
      </c>
      <c r="D1749" t="s">
        <v>3</v>
      </c>
      <c r="E1749">
        <v>1</v>
      </c>
      <c r="F1749" t="s">
        <v>4027</v>
      </c>
      <c r="G1749">
        <v>76</v>
      </c>
    </row>
    <row r="1750" spans="1:7" x14ac:dyDescent="0.2">
      <c r="A1750" s="2">
        <v>45842</v>
      </c>
      <c r="B1750" t="s">
        <v>2335</v>
      </c>
      <c r="C1750" t="s">
        <v>1</v>
      </c>
      <c r="D1750" t="s">
        <v>3</v>
      </c>
      <c r="E1750">
        <v>1</v>
      </c>
      <c r="F1750" t="s">
        <v>4027</v>
      </c>
      <c r="G1750">
        <v>68</v>
      </c>
    </row>
    <row r="1751" spans="1:7" x14ac:dyDescent="0.2">
      <c r="A1751" s="2">
        <v>45845</v>
      </c>
      <c r="B1751" t="s">
        <v>3496</v>
      </c>
      <c r="C1751" t="s">
        <v>2</v>
      </c>
      <c r="D1751" t="s">
        <v>4</v>
      </c>
      <c r="E1751">
        <v>1</v>
      </c>
      <c r="F1751" t="s">
        <v>600</v>
      </c>
      <c r="G1751">
        <v>22</v>
      </c>
    </row>
    <row r="1752" spans="1:7" x14ac:dyDescent="0.2">
      <c r="A1752" s="2">
        <v>45845</v>
      </c>
      <c r="B1752" t="s">
        <v>2346</v>
      </c>
      <c r="C1752" t="s">
        <v>1</v>
      </c>
      <c r="D1752" t="s">
        <v>3</v>
      </c>
      <c r="E1752">
        <v>1</v>
      </c>
      <c r="F1752" t="s">
        <v>4027</v>
      </c>
      <c r="G1752">
        <v>72</v>
      </c>
    </row>
    <row r="1753" spans="1:7" x14ac:dyDescent="0.2">
      <c r="A1753" s="2">
        <v>45845</v>
      </c>
      <c r="B1753" t="s">
        <v>2345</v>
      </c>
      <c r="C1753" t="s">
        <v>1</v>
      </c>
      <c r="D1753" t="s">
        <v>3</v>
      </c>
      <c r="E1753">
        <v>1</v>
      </c>
      <c r="F1753" t="s">
        <v>4027</v>
      </c>
      <c r="G1753">
        <v>70</v>
      </c>
    </row>
    <row r="1754" spans="1:7" x14ac:dyDescent="0.2">
      <c r="A1754" s="2">
        <v>45845</v>
      </c>
      <c r="B1754" t="s">
        <v>2344</v>
      </c>
      <c r="C1754" t="s">
        <v>1</v>
      </c>
      <c r="D1754" t="s">
        <v>3</v>
      </c>
      <c r="E1754">
        <v>1</v>
      </c>
      <c r="F1754" t="s">
        <v>4027</v>
      </c>
      <c r="G1754">
        <v>66</v>
      </c>
    </row>
    <row r="1755" spans="1:7" x14ac:dyDescent="0.2">
      <c r="A1755" s="2">
        <v>45845</v>
      </c>
      <c r="B1755" t="s">
        <v>2343</v>
      </c>
      <c r="C1755" t="s">
        <v>1</v>
      </c>
      <c r="D1755" t="s">
        <v>3</v>
      </c>
      <c r="E1755">
        <v>1</v>
      </c>
      <c r="F1755" t="s">
        <v>4027</v>
      </c>
      <c r="G1755">
        <v>79</v>
      </c>
    </row>
    <row r="1756" spans="1:7" x14ac:dyDescent="0.2">
      <c r="A1756" s="2">
        <v>45845</v>
      </c>
      <c r="B1756" t="s">
        <v>2342</v>
      </c>
      <c r="C1756" t="s">
        <v>1</v>
      </c>
      <c r="D1756" t="s">
        <v>3</v>
      </c>
      <c r="E1756">
        <v>1</v>
      </c>
      <c r="F1756" t="s">
        <v>4027</v>
      </c>
      <c r="G1756">
        <v>71</v>
      </c>
    </row>
    <row r="1757" spans="1:7" x14ac:dyDescent="0.2">
      <c r="A1757" s="2">
        <v>45845</v>
      </c>
      <c r="B1757" t="s">
        <v>3495</v>
      </c>
      <c r="C1757" t="s">
        <v>2</v>
      </c>
      <c r="D1757" t="s">
        <v>4</v>
      </c>
      <c r="E1757">
        <v>1</v>
      </c>
      <c r="F1757" t="s">
        <v>600</v>
      </c>
      <c r="G1757">
        <v>22</v>
      </c>
    </row>
    <row r="1758" spans="1:7" x14ac:dyDescent="0.2">
      <c r="A1758" s="2">
        <v>45846</v>
      </c>
      <c r="B1758" t="s">
        <v>2348</v>
      </c>
      <c r="C1758" t="s">
        <v>1</v>
      </c>
      <c r="D1758" t="s">
        <v>3</v>
      </c>
      <c r="E1758">
        <v>1</v>
      </c>
      <c r="F1758" t="s">
        <v>4027</v>
      </c>
      <c r="G1758">
        <v>65</v>
      </c>
    </row>
    <row r="1759" spans="1:7" x14ac:dyDescent="0.2">
      <c r="A1759" s="2">
        <v>45846</v>
      </c>
      <c r="B1759" t="s">
        <v>2347</v>
      </c>
      <c r="C1759" t="s">
        <v>1</v>
      </c>
      <c r="D1759" t="s">
        <v>3</v>
      </c>
      <c r="E1759">
        <v>1</v>
      </c>
      <c r="F1759" t="s">
        <v>4027</v>
      </c>
      <c r="G1759">
        <v>81</v>
      </c>
    </row>
    <row r="1760" spans="1:7" x14ac:dyDescent="0.2">
      <c r="A1760" s="2">
        <v>45846</v>
      </c>
      <c r="B1760" t="s">
        <v>2350</v>
      </c>
      <c r="C1760" t="s">
        <v>1</v>
      </c>
      <c r="D1760" t="s">
        <v>3</v>
      </c>
      <c r="E1760">
        <v>1</v>
      </c>
      <c r="F1760" t="s">
        <v>4027</v>
      </c>
      <c r="G1760">
        <v>77</v>
      </c>
    </row>
    <row r="1761" spans="1:7" x14ac:dyDescent="0.2">
      <c r="A1761" s="2">
        <v>45846</v>
      </c>
      <c r="B1761" t="s">
        <v>3497</v>
      </c>
      <c r="C1761" t="s">
        <v>2</v>
      </c>
      <c r="D1761" t="s">
        <v>4</v>
      </c>
      <c r="E1761">
        <v>1</v>
      </c>
      <c r="F1761" t="s">
        <v>600</v>
      </c>
      <c r="G1761">
        <v>22</v>
      </c>
    </row>
    <row r="1762" spans="1:7" x14ac:dyDescent="0.2">
      <c r="A1762" s="2">
        <v>45846</v>
      </c>
      <c r="B1762" t="s">
        <v>3498</v>
      </c>
      <c r="C1762" t="s">
        <v>2</v>
      </c>
      <c r="D1762" t="s">
        <v>4</v>
      </c>
      <c r="E1762">
        <v>1</v>
      </c>
      <c r="F1762" t="s">
        <v>600</v>
      </c>
      <c r="G1762">
        <v>22</v>
      </c>
    </row>
    <row r="1763" spans="1:7" x14ac:dyDescent="0.2">
      <c r="A1763" s="2">
        <v>45846</v>
      </c>
      <c r="B1763" t="s">
        <v>2349</v>
      </c>
      <c r="C1763" t="s">
        <v>1</v>
      </c>
      <c r="D1763" t="s">
        <v>3</v>
      </c>
      <c r="E1763">
        <v>1</v>
      </c>
      <c r="F1763" t="s">
        <v>4027</v>
      </c>
      <c r="G1763">
        <v>72</v>
      </c>
    </row>
    <row r="1764" spans="1:7" x14ac:dyDescent="0.2">
      <c r="A1764" s="2">
        <v>45847</v>
      </c>
      <c r="B1764" t="s">
        <v>2351</v>
      </c>
      <c r="C1764" t="s">
        <v>1</v>
      </c>
      <c r="D1764" t="s">
        <v>3</v>
      </c>
      <c r="E1764">
        <v>1</v>
      </c>
      <c r="F1764" t="s">
        <v>4027</v>
      </c>
      <c r="G1764">
        <v>62</v>
      </c>
    </row>
    <row r="1765" spans="1:7" x14ac:dyDescent="0.2">
      <c r="A1765" s="2">
        <v>45847</v>
      </c>
      <c r="B1765" t="s">
        <v>2352</v>
      </c>
      <c r="C1765" t="s">
        <v>1</v>
      </c>
      <c r="D1765" t="s">
        <v>3</v>
      </c>
      <c r="E1765">
        <v>1</v>
      </c>
      <c r="F1765" t="s">
        <v>4027</v>
      </c>
      <c r="G1765">
        <v>62</v>
      </c>
    </row>
    <row r="1766" spans="1:7" x14ac:dyDescent="0.2">
      <c r="A1766" s="2">
        <v>45847</v>
      </c>
      <c r="B1766" t="s">
        <v>2353</v>
      </c>
      <c r="C1766" t="s">
        <v>1</v>
      </c>
      <c r="D1766" t="s">
        <v>3</v>
      </c>
      <c r="E1766">
        <v>1</v>
      </c>
      <c r="F1766" t="s">
        <v>4027</v>
      </c>
      <c r="G1766">
        <v>82</v>
      </c>
    </row>
    <row r="1767" spans="1:7" x14ac:dyDescent="0.2">
      <c r="A1767" s="2">
        <v>45847</v>
      </c>
      <c r="B1767" t="s">
        <v>2354</v>
      </c>
      <c r="C1767" t="s">
        <v>1</v>
      </c>
      <c r="D1767" t="s">
        <v>3</v>
      </c>
      <c r="E1767">
        <v>1</v>
      </c>
      <c r="F1767" t="s">
        <v>4027</v>
      </c>
      <c r="G1767">
        <v>89</v>
      </c>
    </row>
    <row r="1768" spans="1:7" x14ac:dyDescent="0.2">
      <c r="A1768" s="2">
        <v>45847</v>
      </c>
      <c r="B1768" t="s">
        <v>2355</v>
      </c>
      <c r="C1768" t="s">
        <v>1</v>
      </c>
      <c r="D1768" t="s">
        <v>3</v>
      </c>
      <c r="E1768">
        <v>1</v>
      </c>
      <c r="F1768" t="s">
        <v>4027</v>
      </c>
      <c r="G1768">
        <v>66</v>
      </c>
    </row>
    <row r="1769" spans="1:7" x14ac:dyDescent="0.2">
      <c r="A1769" s="2">
        <v>45847</v>
      </c>
      <c r="B1769" t="s">
        <v>2356</v>
      </c>
      <c r="C1769" t="s">
        <v>1</v>
      </c>
      <c r="D1769" t="s">
        <v>3</v>
      </c>
      <c r="E1769">
        <v>1</v>
      </c>
      <c r="F1769" t="s">
        <v>4027</v>
      </c>
      <c r="G1769">
        <v>86</v>
      </c>
    </row>
    <row r="1770" spans="1:7" x14ac:dyDescent="0.2">
      <c r="A1770" s="2">
        <v>45847</v>
      </c>
      <c r="B1770" t="s">
        <v>2357</v>
      </c>
      <c r="C1770" t="s">
        <v>1</v>
      </c>
      <c r="D1770" t="s">
        <v>3</v>
      </c>
      <c r="E1770">
        <v>1</v>
      </c>
      <c r="F1770" t="s">
        <v>4027</v>
      </c>
      <c r="G1770">
        <v>62</v>
      </c>
    </row>
    <row r="1771" spans="1:7" x14ac:dyDescent="0.2">
      <c r="A1771" s="2">
        <v>45849</v>
      </c>
      <c r="B1771" t="s">
        <v>2358</v>
      </c>
      <c r="C1771" t="s">
        <v>1</v>
      </c>
      <c r="D1771" t="s">
        <v>3</v>
      </c>
      <c r="E1771">
        <v>1</v>
      </c>
      <c r="F1771" t="s">
        <v>4027</v>
      </c>
      <c r="G1771">
        <v>77</v>
      </c>
    </row>
    <row r="1772" spans="1:7" x14ac:dyDescent="0.2">
      <c r="A1772" s="2">
        <v>45849</v>
      </c>
      <c r="B1772" t="s">
        <v>2359</v>
      </c>
      <c r="C1772" t="s">
        <v>1</v>
      </c>
      <c r="D1772" t="s">
        <v>3</v>
      </c>
      <c r="E1772">
        <v>1</v>
      </c>
      <c r="F1772" t="s">
        <v>4027</v>
      </c>
      <c r="G1772">
        <v>84</v>
      </c>
    </row>
    <row r="1773" spans="1:7" x14ac:dyDescent="0.2">
      <c r="A1773" s="2">
        <v>45849</v>
      </c>
      <c r="B1773" t="s">
        <v>2360</v>
      </c>
      <c r="C1773" t="s">
        <v>1</v>
      </c>
      <c r="D1773" t="s">
        <v>3</v>
      </c>
      <c r="E1773">
        <v>1</v>
      </c>
      <c r="F1773" t="s">
        <v>4027</v>
      </c>
      <c r="G1773">
        <v>89</v>
      </c>
    </row>
    <row r="1774" spans="1:7" x14ac:dyDescent="0.2">
      <c r="A1774" s="2">
        <v>45849</v>
      </c>
      <c r="B1774" t="s">
        <v>2361</v>
      </c>
      <c r="C1774" t="s">
        <v>1</v>
      </c>
      <c r="D1774" t="s">
        <v>3</v>
      </c>
      <c r="E1774">
        <v>1</v>
      </c>
      <c r="F1774" t="s">
        <v>4027</v>
      </c>
      <c r="G1774">
        <v>64</v>
      </c>
    </row>
    <row r="1775" spans="1:7" x14ac:dyDescent="0.2">
      <c r="A1775" s="2">
        <v>45849</v>
      </c>
      <c r="B1775" t="s">
        <v>2363</v>
      </c>
      <c r="C1775" t="s">
        <v>1</v>
      </c>
      <c r="D1775" t="s">
        <v>3</v>
      </c>
      <c r="E1775">
        <v>1</v>
      </c>
      <c r="F1775" t="s">
        <v>4027</v>
      </c>
      <c r="G1775">
        <v>61</v>
      </c>
    </row>
    <row r="1776" spans="1:7" x14ac:dyDescent="0.2">
      <c r="A1776" s="2">
        <v>45849</v>
      </c>
      <c r="B1776" t="s">
        <v>2364</v>
      </c>
      <c r="C1776" t="s">
        <v>1</v>
      </c>
      <c r="D1776" t="s">
        <v>3</v>
      </c>
      <c r="E1776">
        <v>1</v>
      </c>
      <c r="F1776" t="s">
        <v>4027</v>
      </c>
      <c r="G1776">
        <v>67</v>
      </c>
    </row>
    <row r="1777" spans="1:7" x14ac:dyDescent="0.2">
      <c r="A1777" s="2">
        <v>45849</v>
      </c>
      <c r="B1777" t="s">
        <v>2362</v>
      </c>
      <c r="C1777" t="s">
        <v>1</v>
      </c>
      <c r="D1777" t="s">
        <v>3</v>
      </c>
      <c r="E1777">
        <v>1</v>
      </c>
      <c r="F1777" t="s">
        <v>4027</v>
      </c>
      <c r="G1777">
        <v>79</v>
      </c>
    </row>
    <row r="1778" spans="1:7" x14ac:dyDescent="0.2">
      <c r="A1778" s="2">
        <v>45853</v>
      </c>
      <c r="B1778" t="s">
        <v>2369</v>
      </c>
      <c r="C1778" t="s">
        <v>1</v>
      </c>
      <c r="D1778" t="s">
        <v>3</v>
      </c>
      <c r="E1778">
        <v>1</v>
      </c>
      <c r="F1778" t="s">
        <v>4027</v>
      </c>
      <c r="G1778">
        <v>66</v>
      </c>
    </row>
    <row r="1779" spans="1:7" x14ac:dyDescent="0.2">
      <c r="A1779" s="2">
        <v>45853</v>
      </c>
      <c r="B1779" t="s">
        <v>2367</v>
      </c>
      <c r="C1779" t="s">
        <v>1</v>
      </c>
      <c r="D1779" t="s">
        <v>3</v>
      </c>
      <c r="E1779">
        <v>1</v>
      </c>
      <c r="F1779" t="s">
        <v>4027</v>
      </c>
      <c r="G1779">
        <v>84</v>
      </c>
    </row>
    <row r="1780" spans="1:7" x14ac:dyDescent="0.2">
      <c r="A1780" s="2">
        <v>45853</v>
      </c>
      <c r="B1780" t="s">
        <v>2366</v>
      </c>
      <c r="C1780" t="s">
        <v>1</v>
      </c>
      <c r="D1780" t="s">
        <v>3</v>
      </c>
      <c r="E1780">
        <v>1</v>
      </c>
      <c r="F1780" t="s">
        <v>4027</v>
      </c>
      <c r="G1780">
        <v>83</v>
      </c>
    </row>
    <row r="1781" spans="1:7" x14ac:dyDescent="0.2">
      <c r="A1781" s="2">
        <v>45853</v>
      </c>
      <c r="B1781" t="s">
        <v>2365</v>
      </c>
      <c r="C1781" t="s">
        <v>1</v>
      </c>
      <c r="D1781" t="s">
        <v>3</v>
      </c>
      <c r="E1781">
        <v>1</v>
      </c>
      <c r="F1781" t="s">
        <v>4027</v>
      </c>
      <c r="G1781">
        <v>60</v>
      </c>
    </row>
    <row r="1782" spans="1:7" x14ac:dyDescent="0.2">
      <c r="A1782" s="2">
        <v>45853</v>
      </c>
      <c r="B1782" t="s">
        <v>2368</v>
      </c>
      <c r="C1782" t="s">
        <v>1</v>
      </c>
      <c r="D1782" t="s">
        <v>3</v>
      </c>
      <c r="E1782">
        <v>1</v>
      </c>
      <c r="F1782" t="s">
        <v>4027</v>
      </c>
      <c r="G1782">
        <v>69</v>
      </c>
    </row>
    <row r="1783" spans="1:7" x14ac:dyDescent="0.2">
      <c r="A1783" s="2">
        <v>45854</v>
      </c>
      <c r="B1783" t="s">
        <v>2370</v>
      </c>
      <c r="C1783" t="s">
        <v>1</v>
      </c>
      <c r="D1783" t="s">
        <v>3</v>
      </c>
      <c r="E1783">
        <v>1</v>
      </c>
      <c r="F1783" t="s">
        <v>4027</v>
      </c>
      <c r="G1783">
        <v>68</v>
      </c>
    </row>
    <row r="1784" spans="1:7" x14ac:dyDescent="0.2">
      <c r="A1784" s="2">
        <v>45854</v>
      </c>
      <c r="B1784" t="s">
        <v>2371</v>
      </c>
      <c r="C1784" t="s">
        <v>1</v>
      </c>
      <c r="D1784" t="s">
        <v>3</v>
      </c>
      <c r="E1784">
        <v>1</v>
      </c>
      <c r="F1784" t="s">
        <v>4027</v>
      </c>
      <c r="G1784">
        <v>67</v>
      </c>
    </row>
    <row r="1785" spans="1:7" x14ac:dyDescent="0.2">
      <c r="A1785" s="2">
        <v>45854</v>
      </c>
      <c r="B1785" t="s">
        <v>2372</v>
      </c>
      <c r="C1785" t="s">
        <v>1</v>
      </c>
      <c r="D1785" t="s">
        <v>3</v>
      </c>
      <c r="E1785">
        <v>1</v>
      </c>
      <c r="F1785" t="s">
        <v>4027</v>
      </c>
      <c r="G1785">
        <v>87</v>
      </c>
    </row>
    <row r="1786" spans="1:7" x14ac:dyDescent="0.2">
      <c r="A1786" s="2">
        <v>45854</v>
      </c>
      <c r="B1786" t="s">
        <v>2373</v>
      </c>
      <c r="C1786" t="s">
        <v>1</v>
      </c>
      <c r="D1786" t="s">
        <v>3</v>
      </c>
      <c r="E1786">
        <v>1</v>
      </c>
      <c r="F1786" t="s">
        <v>4027</v>
      </c>
      <c r="G1786">
        <v>64</v>
      </c>
    </row>
    <row r="1787" spans="1:7" x14ac:dyDescent="0.2">
      <c r="A1787" s="2">
        <v>45854</v>
      </c>
      <c r="B1787" t="s">
        <v>2374</v>
      </c>
      <c r="C1787" t="s">
        <v>1</v>
      </c>
      <c r="D1787" t="s">
        <v>3</v>
      </c>
      <c r="E1787">
        <v>1</v>
      </c>
      <c r="F1787" t="s">
        <v>4027</v>
      </c>
      <c r="G1787">
        <v>83</v>
      </c>
    </row>
    <row r="1788" spans="1:7" x14ac:dyDescent="0.2">
      <c r="A1788" s="2">
        <v>45854</v>
      </c>
      <c r="B1788" t="s">
        <v>2376</v>
      </c>
      <c r="C1788" t="s">
        <v>1</v>
      </c>
      <c r="D1788" t="s">
        <v>3</v>
      </c>
      <c r="E1788">
        <v>1</v>
      </c>
      <c r="F1788" t="s">
        <v>4027</v>
      </c>
      <c r="G1788">
        <v>85</v>
      </c>
    </row>
    <row r="1789" spans="1:7" x14ac:dyDescent="0.2">
      <c r="A1789" s="2">
        <v>45854</v>
      </c>
      <c r="B1789" t="s">
        <v>2375</v>
      </c>
      <c r="C1789" t="s">
        <v>1</v>
      </c>
      <c r="D1789" t="s">
        <v>3</v>
      </c>
      <c r="E1789">
        <v>1</v>
      </c>
      <c r="F1789" t="s">
        <v>4027</v>
      </c>
      <c r="G1789">
        <v>77</v>
      </c>
    </row>
    <row r="1790" spans="1:7" x14ac:dyDescent="0.2">
      <c r="A1790" s="2">
        <v>45855</v>
      </c>
      <c r="B1790" t="s">
        <v>2377</v>
      </c>
      <c r="C1790" t="s">
        <v>1</v>
      </c>
      <c r="D1790" t="s">
        <v>3</v>
      </c>
      <c r="E1790">
        <v>1</v>
      </c>
      <c r="F1790" t="s">
        <v>4027</v>
      </c>
      <c r="G1790">
        <v>88</v>
      </c>
    </row>
    <row r="1791" spans="1:7" x14ac:dyDescent="0.2">
      <c r="A1791" s="2">
        <v>45855</v>
      </c>
      <c r="B1791" t="s">
        <v>2378</v>
      </c>
      <c r="C1791" t="s">
        <v>1</v>
      </c>
      <c r="D1791" t="s">
        <v>3</v>
      </c>
      <c r="E1791">
        <v>1</v>
      </c>
      <c r="F1791" t="s">
        <v>4027</v>
      </c>
      <c r="G1791">
        <v>84</v>
      </c>
    </row>
    <row r="1792" spans="1:7" x14ac:dyDescent="0.2">
      <c r="A1792" s="2">
        <v>45855</v>
      </c>
      <c r="B1792" t="s">
        <v>2379</v>
      </c>
      <c r="C1792" t="s">
        <v>1</v>
      </c>
      <c r="D1792" t="s">
        <v>3</v>
      </c>
      <c r="E1792">
        <v>1</v>
      </c>
      <c r="F1792" t="s">
        <v>4027</v>
      </c>
      <c r="G1792">
        <v>82</v>
      </c>
    </row>
    <row r="1793" spans="1:7" x14ac:dyDescent="0.2">
      <c r="A1793" s="2">
        <v>45855</v>
      </c>
      <c r="B1793" t="s">
        <v>2380</v>
      </c>
      <c r="C1793" t="s">
        <v>1</v>
      </c>
      <c r="D1793" t="s">
        <v>3</v>
      </c>
      <c r="E1793">
        <v>1</v>
      </c>
      <c r="F1793" t="s">
        <v>4027</v>
      </c>
      <c r="G1793">
        <v>61</v>
      </c>
    </row>
    <row r="1794" spans="1:7" x14ac:dyDescent="0.2">
      <c r="A1794" s="2">
        <v>45855</v>
      </c>
      <c r="B1794" t="s">
        <v>2381</v>
      </c>
      <c r="C1794" t="s">
        <v>1</v>
      </c>
      <c r="D1794" t="s">
        <v>3</v>
      </c>
      <c r="E1794">
        <v>1</v>
      </c>
      <c r="F1794" t="s">
        <v>4027</v>
      </c>
      <c r="G1794">
        <v>77</v>
      </c>
    </row>
    <row r="1795" spans="1:7" x14ac:dyDescent="0.2">
      <c r="A1795" s="2">
        <v>45855</v>
      </c>
      <c r="B1795" t="s">
        <v>3499</v>
      </c>
      <c r="C1795" t="s">
        <v>2</v>
      </c>
      <c r="D1795" t="s">
        <v>4</v>
      </c>
      <c r="E1795">
        <v>1</v>
      </c>
      <c r="F1795" t="s">
        <v>600</v>
      </c>
      <c r="G1795">
        <v>22</v>
      </c>
    </row>
    <row r="1796" spans="1:7" x14ac:dyDescent="0.2">
      <c r="A1796" s="2">
        <v>45855</v>
      </c>
      <c r="B1796" t="s">
        <v>3500</v>
      </c>
      <c r="C1796" t="s">
        <v>2</v>
      </c>
      <c r="D1796" t="s">
        <v>4</v>
      </c>
      <c r="E1796">
        <v>1</v>
      </c>
      <c r="F1796" t="s">
        <v>600</v>
      </c>
      <c r="G1796">
        <v>22</v>
      </c>
    </row>
    <row r="1797" spans="1:7" x14ac:dyDescent="0.2">
      <c r="A1797" s="2">
        <v>45855</v>
      </c>
      <c r="B1797" t="s">
        <v>3506</v>
      </c>
      <c r="C1797" t="s">
        <v>2</v>
      </c>
      <c r="D1797" t="s">
        <v>4</v>
      </c>
      <c r="E1797">
        <v>1</v>
      </c>
      <c r="F1797" t="s">
        <v>600</v>
      </c>
      <c r="G1797">
        <v>22</v>
      </c>
    </row>
    <row r="1798" spans="1:7" x14ac:dyDescent="0.2">
      <c r="A1798" s="2">
        <v>45855</v>
      </c>
      <c r="B1798" t="s">
        <v>3505</v>
      </c>
      <c r="C1798" t="s">
        <v>2</v>
      </c>
      <c r="D1798" t="s">
        <v>4</v>
      </c>
      <c r="E1798">
        <v>1</v>
      </c>
      <c r="F1798" t="s">
        <v>600</v>
      </c>
      <c r="G1798">
        <v>22</v>
      </c>
    </row>
    <row r="1799" spans="1:7" x14ac:dyDescent="0.2">
      <c r="A1799" s="2">
        <v>45855</v>
      </c>
      <c r="B1799" t="s">
        <v>3504</v>
      </c>
      <c r="C1799" t="s">
        <v>2</v>
      </c>
      <c r="D1799" t="s">
        <v>4</v>
      </c>
      <c r="E1799">
        <v>1</v>
      </c>
      <c r="F1799" t="s">
        <v>600</v>
      </c>
      <c r="G1799">
        <v>22</v>
      </c>
    </row>
    <row r="1800" spans="1:7" x14ac:dyDescent="0.2">
      <c r="A1800" s="2">
        <v>45855</v>
      </c>
      <c r="B1800" t="s">
        <v>3503</v>
      </c>
      <c r="C1800" t="s">
        <v>2</v>
      </c>
      <c r="D1800" t="s">
        <v>4</v>
      </c>
      <c r="E1800">
        <v>1</v>
      </c>
      <c r="F1800" t="s">
        <v>600</v>
      </c>
      <c r="G1800">
        <v>22</v>
      </c>
    </row>
    <row r="1801" spans="1:7" x14ac:dyDescent="0.2">
      <c r="A1801" s="2">
        <v>45855</v>
      </c>
      <c r="B1801" t="s">
        <v>3502</v>
      </c>
      <c r="C1801" t="s">
        <v>2</v>
      </c>
      <c r="D1801" t="s">
        <v>4</v>
      </c>
      <c r="E1801">
        <v>1</v>
      </c>
      <c r="F1801" t="s">
        <v>600</v>
      </c>
      <c r="G1801">
        <v>22</v>
      </c>
    </row>
    <row r="1802" spans="1:7" x14ac:dyDescent="0.2">
      <c r="A1802" s="2">
        <v>45855</v>
      </c>
      <c r="B1802" t="s">
        <v>3501</v>
      </c>
      <c r="C1802" t="s">
        <v>2</v>
      </c>
      <c r="D1802" t="s">
        <v>4</v>
      </c>
      <c r="E1802">
        <v>1</v>
      </c>
      <c r="F1802" t="s">
        <v>600</v>
      </c>
      <c r="G1802">
        <v>22</v>
      </c>
    </row>
    <row r="1803" spans="1:7" x14ac:dyDescent="0.2">
      <c r="A1803" s="2">
        <v>45856</v>
      </c>
      <c r="B1803" t="s">
        <v>3509</v>
      </c>
      <c r="C1803" t="s">
        <v>2</v>
      </c>
      <c r="D1803" t="s">
        <v>4</v>
      </c>
      <c r="E1803">
        <v>1</v>
      </c>
      <c r="F1803" t="s">
        <v>600</v>
      </c>
      <c r="G1803">
        <v>22</v>
      </c>
    </row>
    <row r="1804" spans="1:7" x14ac:dyDescent="0.2">
      <c r="A1804" s="2">
        <v>45856</v>
      </c>
      <c r="B1804" t="s">
        <v>2388</v>
      </c>
      <c r="C1804" t="s">
        <v>1</v>
      </c>
      <c r="D1804" t="s">
        <v>3</v>
      </c>
      <c r="E1804">
        <v>1</v>
      </c>
      <c r="F1804" t="s">
        <v>4027</v>
      </c>
      <c r="G1804">
        <v>72</v>
      </c>
    </row>
    <row r="1805" spans="1:7" x14ac:dyDescent="0.2">
      <c r="A1805" s="2">
        <v>45856</v>
      </c>
      <c r="B1805" t="s">
        <v>2387</v>
      </c>
      <c r="C1805" t="s">
        <v>1</v>
      </c>
      <c r="D1805" t="s">
        <v>3</v>
      </c>
      <c r="E1805">
        <v>1</v>
      </c>
      <c r="F1805" t="s">
        <v>4027</v>
      </c>
      <c r="G1805">
        <v>79</v>
      </c>
    </row>
    <row r="1806" spans="1:7" x14ac:dyDescent="0.2">
      <c r="A1806" s="2">
        <v>45856</v>
      </c>
      <c r="B1806" t="s">
        <v>2386</v>
      </c>
      <c r="C1806" t="s">
        <v>1</v>
      </c>
      <c r="D1806" t="s">
        <v>3</v>
      </c>
      <c r="E1806">
        <v>1</v>
      </c>
      <c r="F1806" t="s">
        <v>4027</v>
      </c>
      <c r="G1806">
        <v>83</v>
      </c>
    </row>
    <row r="1807" spans="1:7" x14ac:dyDescent="0.2">
      <c r="A1807" s="2">
        <v>45856</v>
      </c>
      <c r="B1807" t="s">
        <v>2385</v>
      </c>
      <c r="C1807" t="s">
        <v>1</v>
      </c>
      <c r="D1807" t="s">
        <v>3</v>
      </c>
      <c r="E1807">
        <v>1</v>
      </c>
      <c r="F1807" t="s">
        <v>4027</v>
      </c>
      <c r="G1807">
        <v>79</v>
      </c>
    </row>
    <row r="1808" spans="1:7" x14ac:dyDescent="0.2">
      <c r="A1808" s="2">
        <v>45856</v>
      </c>
      <c r="B1808" t="s">
        <v>2384</v>
      </c>
      <c r="C1808" t="s">
        <v>1</v>
      </c>
      <c r="D1808" t="s">
        <v>3</v>
      </c>
      <c r="E1808">
        <v>1</v>
      </c>
      <c r="F1808" t="s">
        <v>4027</v>
      </c>
      <c r="G1808">
        <v>62</v>
      </c>
    </row>
    <row r="1809" spans="1:7" x14ac:dyDescent="0.2">
      <c r="A1809" s="2">
        <v>45856</v>
      </c>
      <c r="B1809" t="s">
        <v>2383</v>
      </c>
      <c r="C1809" t="s">
        <v>1</v>
      </c>
      <c r="D1809" t="s">
        <v>3</v>
      </c>
      <c r="E1809">
        <v>1</v>
      </c>
      <c r="F1809" t="s">
        <v>4027</v>
      </c>
      <c r="G1809">
        <v>70</v>
      </c>
    </row>
    <row r="1810" spans="1:7" x14ac:dyDescent="0.2">
      <c r="A1810" s="2">
        <v>45856</v>
      </c>
      <c r="B1810" t="s">
        <v>2382</v>
      </c>
      <c r="C1810" t="s">
        <v>1</v>
      </c>
      <c r="D1810" t="s">
        <v>3</v>
      </c>
      <c r="E1810">
        <v>1</v>
      </c>
      <c r="F1810" t="s">
        <v>4027</v>
      </c>
      <c r="G1810">
        <v>70</v>
      </c>
    </row>
    <row r="1811" spans="1:7" x14ac:dyDescent="0.2">
      <c r="A1811" s="2">
        <v>45856</v>
      </c>
      <c r="B1811" t="s">
        <v>3507</v>
      </c>
      <c r="C1811" t="s">
        <v>2</v>
      </c>
      <c r="D1811" t="s">
        <v>4</v>
      </c>
      <c r="E1811">
        <v>1</v>
      </c>
      <c r="F1811" t="s">
        <v>600</v>
      </c>
      <c r="G1811">
        <v>22</v>
      </c>
    </row>
    <row r="1812" spans="1:7" x14ac:dyDescent="0.2">
      <c r="A1812" s="2">
        <v>45856</v>
      </c>
      <c r="B1812" t="s">
        <v>3508</v>
      </c>
      <c r="C1812" t="s">
        <v>2</v>
      </c>
      <c r="D1812" t="s">
        <v>4</v>
      </c>
      <c r="E1812">
        <v>1</v>
      </c>
      <c r="F1812" t="s">
        <v>600</v>
      </c>
      <c r="G1812">
        <v>22</v>
      </c>
    </row>
    <row r="1813" spans="1:7" x14ac:dyDescent="0.2">
      <c r="A1813" s="2">
        <v>45857</v>
      </c>
      <c r="B1813" t="s">
        <v>2395</v>
      </c>
      <c r="C1813" t="s">
        <v>1</v>
      </c>
      <c r="D1813" t="s">
        <v>3</v>
      </c>
      <c r="E1813">
        <v>1</v>
      </c>
      <c r="F1813" t="s">
        <v>4027</v>
      </c>
      <c r="G1813">
        <v>84</v>
      </c>
    </row>
    <row r="1814" spans="1:7" x14ac:dyDescent="0.2">
      <c r="A1814" s="2">
        <v>45857</v>
      </c>
      <c r="B1814" t="s">
        <v>2389</v>
      </c>
      <c r="C1814" t="s">
        <v>1</v>
      </c>
      <c r="D1814" t="s">
        <v>3</v>
      </c>
      <c r="E1814">
        <v>1</v>
      </c>
      <c r="F1814" t="s">
        <v>4027</v>
      </c>
      <c r="G1814">
        <v>89</v>
      </c>
    </row>
    <row r="1815" spans="1:7" x14ac:dyDescent="0.2">
      <c r="A1815" s="2">
        <v>45857</v>
      </c>
      <c r="B1815" t="s">
        <v>2390</v>
      </c>
      <c r="C1815" t="s">
        <v>1</v>
      </c>
      <c r="D1815" t="s">
        <v>3</v>
      </c>
      <c r="E1815">
        <v>1</v>
      </c>
      <c r="F1815" t="s">
        <v>4027</v>
      </c>
      <c r="G1815">
        <v>85</v>
      </c>
    </row>
    <row r="1816" spans="1:7" x14ac:dyDescent="0.2">
      <c r="A1816" s="2">
        <v>45857</v>
      </c>
      <c r="B1816" t="s">
        <v>2391</v>
      </c>
      <c r="C1816" t="s">
        <v>1</v>
      </c>
      <c r="D1816" t="s">
        <v>3</v>
      </c>
      <c r="E1816">
        <v>1</v>
      </c>
      <c r="F1816" t="s">
        <v>4027</v>
      </c>
      <c r="G1816">
        <v>64</v>
      </c>
    </row>
    <row r="1817" spans="1:7" x14ac:dyDescent="0.2">
      <c r="A1817" s="2">
        <v>45857</v>
      </c>
      <c r="B1817" t="s">
        <v>2392</v>
      </c>
      <c r="C1817" t="s">
        <v>1</v>
      </c>
      <c r="D1817" t="s">
        <v>3</v>
      </c>
      <c r="E1817">
        <v>1</v>
      </c>
      <c r="F1817" t="s">
        <v>4027</v>
      </c>
      <c r="G1817">
        <v>76</v>
      </c>
    </row>
    <row r="1818" spans="1:7" x14ac:dyDescent="0.2">
      <c r="A1818" s="2">
        <v>45857</v>
      </c>
      <c r="B1818" t="s">
        <v>2393</v>
      </c>
      <c r="C1818" t="s">
        <v>1</v>
      </c>
      <c r="D1818" t="s">
        <v>3</v>
      </c>
      <c r="E1818">
        <v>1</v>
      </c>
      <c r="F1818" t="s">
        <v>4027</v>
      </c>
      <c r="G1818">
        <v>80</v>
      </c>
    </row>
    <row r="1819" spans="1:7" x14ac:dyDescent="0.2">
      <c r="A1819" s="2">
        <v>45857</v>
      </c>
      <c r="B1819" t="s">
        <v>2394</v>
      </c>
      <c r="C1819" t="s">
        <v>1</v>
      </c>
      <c r="D1819" t="s">
        <v>3</v>
      </c>
      <c r="E1819">
        <v>1</v>
      </c>
      <c r="F1819" t="s">
        <v>4027</v>
      </c>
      <c r="G1819">
        <v>68</v>
      </c>
    </row>
    <row r="1820" spans="1:7" x14ac:dyDescent="0.2">
      <c r="A1820" s="2">
        <v>45857</v>
      </c>
      <c r="B1820" t="s">
        <v>3510</v>
      </c>
      <c r="C1820" t="s">
        <v>2</v>
      </c>
      <c r="D1820" t="s">
        <v>4</v>
      </c>
      <c r="E1820">
        <v>1</v>
      </c>
      <c r="F1820" t="s">
        <v>600</v>
      </c>
      <c r="G1820">
        <v>22</v>
      </c>
    </row>
    <row r="1821" spans="1:7" x14ac:dyDescent="0.2">
      <c r="A1821" s="2">
        <v>45859</v>
      </c>
      <c r="B1821" t="s">
        <v>2400</v>
      </c>
      <c r="C1821" t="s">
        <v>1</v>
      </c>
      <c r="D1821" t="s">
        <v>3</v>
      </c>
      <c r="E1821">
        <v>1</v>
      </c>
      <c r="F1821" t="s">
        <v>4027</v>
      </c>
      <c r="G1821">
        <v>80</v>
      </c>
    </row>
    <row r="1822" spans="1:7" x14ac:dyDescent="0.2">
      <c r="A1822" s="2">
        <v>45859</v>
      </c>
      <c r="B1822" t="s">
        <v>2399</v>
      </c>
      <c r="C1822" t="s">
        <v>1</v>
      </c>
      <c r="D1822" t="s">
        <v>3</v>
      </c>
      <c r="E1822">
        <v>1</v>
      </c>
      <c r="F1822" t="s">
        <v>4027</v>
      </c>
      <c r="G1822">
        <v>79</v>
      </c>
    </row>
    <row r="1823" spans="1:7" x14ac:dyDescent="0.2">
      <c r="A1823" s="2">
        <v>45859</v>
      </c>
      <c r="B1823" t="s">
        <v>2398</v>
      </c>
      <c r="C1823" t="s">
        <v>1</v>
      </c>
      <c r="D1823" t="s">
        <v>3</v>
      </c>
      <c r="E1823">
        <v>1</v>
      </c>
      <c r="F1823" t="s">
        <v>4027</v>
      </c>
      <c r="G1823">
        <v>69</v>
      </c>
    </row>
    <row r="1824" spans="1:7" x14ac:dyDescent="0.2">
      <c r="A1824" s="2">
        <v>45859</v>
      </c>
      <c r="B1824" t="s">
        <v>2396</v>
      </c>
      <c r="C1824" t="s">
        <v>1</v>
      </c>
      <c r="D1824" t="s">
        <v>3</v>
      </c>
      <c r="E1824">
        <v>1</v>
      </c>
      <c r="F1824" t="s">
        <v>4027</v>
      </c>
      <c r="G1824">
        <v>62</v>
      </c>
    </row>
    <row r="1825" spans="1:7" x14ac:dyDescent="0.2">
      <c r="A1825" s="2">
        <v>45859</v>
      </c>
      <c r="B1825" t="s">
        <v>2397</v>
      </c>
      <c r="C1825" t="s">
        <v>1</v>
      </c>
      <c r="D1825" t="s">
        <v>3</v>
      </c>
      <c r="E1825">
        <v>1</v>
      </c>
      <c r="F1825" t="s">
        <v>4027</v>
      </c>
      <c r="G1825">
        <v>62</v>
      </c>
    </row>
    <row r="1826" spans="1:7" x14ac:dyDescent="0.2">
      <c r="A1826" s="2">
        <v>45860</v>
      </c>
      <c r="B1826" t="s">
        <v>2405</v>
      </c>
      <c r="C1826" t="s">
        <v>1</v>
      </c>
      <c r="D1826" t="s">
        <v>3</v>
      </c>
      <c r="E1826">
        <v>1</v>
      </c>
      <c r="F1826" t="s">
        <v>4027</v>
      </c>
      <c r="G1826">
        <v>62</v>
      </c>
    </row>
    <row r="1827" spans="1:7" x14ac:dyDescent="0.2">
      <c r="A1827" s="2">
        <v>45860</v>
      </c>
      <c r="B1827" t="s">
        <v>2401</v>
      </c>
      <c r="C1827" t="s">
        <v>1</v>
      </c>
      <c r="D1827" t="s">
        <v>3</v>
      </c>
      <c r="E1827">
        <v>1</v>
      </c>
      <c r="F1827" t="s">
        <v>4027</v>
      </c>
      <c r="G1827">
        <v>64</v>
      </c>
    </row>
    <row r="1828" spans="1:7" x14ac:dyDescent="0.2">
      <c r="A1828" s="2">
        <v>45860</v>
      </c>
      <c r="B1828" t="s">
        <v>2402</v>
      </c>
      <c r="C1828" t="s">
        <v>1</v>
      </c>
      <c r="D1828" t="s">
        <v>3</v>
      </c>
      <c r="E1828">
        <v>1</v>
      </c>
      <c r="F1828" t="s">
        <v>4027</v>
      </c>
      <c r="G1828">
        <v>77</v>
      </c>
    </row>
    <row r="1829" spans="1:7" x14ac:dyDescent="0.2">
      <c r="A1829" s="2">
        <v>45860</v>
      </c>
      <c r="B1829" t="s">
        <v>2403</v>
      </c>
      <c r="C1829" t="s">
        <v>1</v>
      </c>
      <c r="D1829" t="s">
        <v>3</v>
      </c>
      <c r="E1829">
        <v>1</v>
      </c>
      <c r="F1829" t="s">
        <v>4027</v>
      </c>
      <c r="G1829">
        <v>78</v>
      </c>
    </row>
    <row r="1830" spans="1:7" x14ac:dyDescent="0.2">
      <c r="A1830" s="2">
        <v>45860</v>
      </c>
      <c r="B1830" t="s">
        <v>2404</v>
      </c>
      <c r="C1830" t="s">
        <v>1</v>
      </c>
      <c r="D1830" t="s">
        <v>3</v>
      </c>
      <c r="E1830">
        <v>1</v>
      </c>
      <c r="F1830" t="s">
        <v>4027</v>
      </c>
      <c r="G1830">
        <v>81</v>
      </c>
    </row>
    <row r="1831" spans="1:7" x14ac:dyDescent="0.2">
      <c r="A1831" s="2">
        <v>45860</v>
      </c>
      <c r="B1831" t="s">
        <v>2406</v>
      </c>
      <c r="C1831" t="s">
        <v>1</v>
      </c>
      <c r="D1831" t="s">
        <v>3</v>
      </c>
      <c r="E1831">
        <v>1</v>
      </c>
      <c r="F1831" t="s">
        <v>4027</v>
      </c>
      <c r="G1831">
        <v>61</v>
      </c>
    </row>
    <row r="1832" spans="1:7" x14ac:dyDescent="0.2">
      <c r="A1832" s="2">
        <v>45860</v>
      </c>
      <c r="B1832" t="s">
        <v>2407</v>
      </c>
      <c r="C1832" t="s">
        <v>1</v>
      </c>
      <c r="D1832" t="s">
        <v>3</v>
      </c>
      <c r="E1832">
        <v>1</v>
      </c>
      <c r="F1832" t="s">
        <v>4027</v>
      </c>
      <c r="G1832">
        <v>63</v>
      </c>
    </row>
    <row r="1833" spans="1:7" x14ac:dyDescent="0.2">
      <c r="A1833" s="2">
        <v>45861</v>
      </c>
      <c r="B1833" t="s">
        <v>2408</v>
      </c>
      <c r="C1833" t="s">
        <v>1</v>
      </c>
      <c r="D1833" t="s">
        <v>3</v>
      </c>
      <c r="E1833">
        <v>1</v>
      </c>
      <c r="F1833" t="s">
        <v>4027</v>
      </c>
      <c r="G1833">
        <v>67</v>
      </c>
    </row>
    <row r="1834" spans="1:7" x14ac:dyDescent="0.2">
      <c r="A1834" s="2">
        <v>45861</v>
      </c>
      <c r="B1834" t="s">
        <v>2414</v>
      </c>
      <c r="C1834" t="s">
        <v>1</v>
      </c>
      <c r="D1834" t="s">
        <v>3</v>
      </c>
      <c r="E1834">
        <v>1</v>
      </c>
      <c r="F1834" t="s">
        <v>4027</v>
      </c>
      <c r="G1834">
        <v>64</v>
      </c>
    </row>
    <row r="1835" spans="1:7" x14ac:dyDescent="0.2">
      <c r="A1835" s="2">
        <v>45861</v>
      </c>
      <c r="B1835" t="s">
        <v>2413</v>
      </c>
      <c r="C1835" t="s">
        <v>1</v>
      </c>
      <c r="D1835" t="s">
        <v>3</v>
      </c>
      <c r="E1835">
        <v>1</v>
      </c>
      <c r="F1835" t="s">
        <v>4027</v>
      </c>
      <c r="G1835">
        <v>78</v>
      </c>
    </row>
    <row r="1836" spans="1:7" x14ac:dyDescent="0.2">
      <c r="A1836" s="2">
        <v>45861</v>
      </c>
      <c r="B1836" t="s">
        <v>2412</v>
      </c>
      <c r="C1836" t="s">
        <v>1</v>
      </c>
      <c r="D1836" t="s">
        <v>3</v>
      </c>
      <c r="E1836">
        <v>1</v>
      </c>
      <c r="F1836" t="s">
        <v>4027</v>
      </c>
      <c r="G1836">
        <v>89</v>
      </c>
    </row>
    <row r="1837" spans="1:7" x14ac:dyDescent="0.2">
      <c r="A1837" s="2">
        <v>45861</v>
      </c>
      <c r="B1837" t="s">
        <v>2410</v>
      </c>
      <c r="C1837" t="s">
        <v>1</v>
      </c>
      <c r="D1837" t="s">
        <v>3</v>
      </c>
      <c r="E1837">
        <v>1</v>
      </c>
      <c r="F1837" t="s">
        <v>4027</v>
      </c>
      <c r="G1837">
        <v>66</v>
      </c>
    </row>
    <row r="1838" spans="1:7" x14ac:dyDescent="0.2">
      <c r="A1838" s="2">
        <v>45861</v>
      </c>
      <c r="B1838" t="s">
        <v>2409</v>
      </c>
      <c r="C1838" t="s">
        <v>1</v>
      </c>
      <c r="D1838" t="s">
        <v>3</v>
      </c>
      <c r="E1838">
        <v>1</v>
      </c>
      <c r="F1838" t="s">
        <v>4027</v>
      </c>
      <c r="G1838">
        <v>69</v>
      </c>
    </row>
    <row r="1839" spans="1:7" x14ac:dyDescent="0.2">
      <c r="A1839" s="2">
        <v>45861</v>
      </c>
      <c r="B1839" t="s">
        <v>3511</v>
      </c>
      <c r="C1839" t="s">
        <v>2</v>
      </c>
      <c r="D1839" t="s">
        <v>4</v>
      </c>
      <c r="E1839">
        <v>1</v>
      </c>
      <c r="F1839" t="s">
        <v>600</v>
      </c>
      <c r="G1839">
        <v>22</v>
      </c>
    </row>
    <row r="1840" spans="1:7" x14ac:dyDescent="0.2">
      <c r="A1840" s="2">
        <v>45861</v>
      </c>
      <c r="B1840" t="s">
        <v>2411</v>
      </c>
      <c r="C1840" t="s">
        <v>1</v>
      </c>
      <c r="D1840" t="s">
        <v>3</v>
      </c>
      <c r="E1840">
        <v>1</v>
      </c>
      <c r="F1840" t="s">
        <v>4027</v>
      </c>
      <c r="G1840">
        <v>67</v>
      </c>
    </row>
    <row r="1841" spans="1:7" x14ac:dyDescent="0.2">
      <c r="A1841" s="2">
        <v>45861</v>
      </c>
      <c r="B1841" t="s">
        <v>3513</v>
      </c>
      <c r="C1841" t="s">
        <v>2</v>
      </c>
      <c r="D1841" t="s">
        <v>4</v>
      </c>
      <c r="E1841">
        <v>1</v>
      </c>
      <c r="F1841" t="s">
        <v>600</v>
      </c>
      <c r="G1841">
        <v>22</v>
      </c>
    </row>
    <row r="1842" spans="1:7" x14ac:dyDescent="0.2">
      <c r="A1842" s="2">
        <v>45861</v>
      </c>
      <c r="B1842" t="s">
        <v>3514</v>
      </c>
      <c r="C1842" t="s">
        <v>2</v>
      </c>
      <c r="D1842" t="s">
        <v>4</v>
      </c>
      <c r="E1842">
        <v>1</v>
      </c>
      <c r="F1842" t="s">
        <v>600</v>
      </c>
      <c r="G1842">
        <v>22</v>
      </c>
    </row>
    <row r="1843" spans="1:7" x14ac:dyDescent="0.2">
      <c r="A1843" s="2">
        <v>45861</v>
      </c>
      <c r="B1843" t="s">
        <v>3515</v>
      </c>
      <c r="C1843" t="s">
        <v>2</v>
      </c>
      <c r="D1843" t="s">
        <v>4</v>
      </c>
      <c r="E1843">
        <v>1</v>
      </c>
      <c r="F1843" t="s">
        <v>600</v>
      </c>
      <c r="G1843">
        <v>22</v>
      </c>
    </row>
    <row r="1844" spans="1:7" x14ac:dyDescent="0.2">
      <c r="A1844" s="2">
        <v>45861</v>
      </c>
      <c r="B1844" t="s">
        <v>3516</v>
      </c>
      <c r="C1844" t="s">
        <v>2</v>
      </c>
      <c r="D1844" t="s">
        <v>4</v>
      </c>
      <c r="E1844">
        <v>1</v>
      </c>
      <c r="F1844" t="s">
        <v>600</v>
      </c>
      <c r="G1844">
        <v>22</v>
      </c>
    </row>
    <row r="1845" spans="1:7" x14ac:dyDescent="0.2">
      <c r="A1845" s="2">
        <v>45861</v>
      </c>
      <c r="B1845" t="s">
        <v>3512</v>
      </c>
      <c r="C1845" t="s">
        <v>2</v>
      </c>
      <c r="D1845" t="s">
        <v>4</v>
      </c>
      <c r="E1845">
        <v>1</v>
      </c>
      <c r="F1845" t="s">
        <v>600</v>
      </c>
      <c r="G1845">
        <v>22</v>
      </c>
    </row>
    <row r="1846" spans="1:7" x14ac:dyDescent="0.2">
      <c r="A1846" s="2">
        <v>45862</v>
      </c>
      <c r="B1846" t="s">
        <v>2415</v>
      </c>
      <c r="C1846" t="s">
        <v>1</v>
      </c>
      <c r="D1846" t="s">
        <v>3</v>
      </c>
      <c r="E1846">
        <v>1</v>
      </c>
      <c r="F1846" t="s">
        <v>4027</v>
      </c>
      <c r="G1846">
        <v>71</v>
      </c>
    </row>
    <row r="1847" spans="1:7" x14ac:dyDescent="0.2">
      <c r="A1847" s="2">
        <v>45862</v>
      </c>
      <c r="B1847" t="s">
        <v>2416</v>
      </c>
      <c r="C1847" t="s">
        <v>1</v>
      </c>
      <c r="D1847" t="s">
        <v>3</v>
      </c>
      <c r="E1847">
        <v>1</v>
      </c>
      <c r="F1847" t="s">
        <v>4027</v>
      </c>
      <c r="G1847">
        <v>66</v>
      </c>
    </row>
    <row r="1848" spans="1:7" x14ac:dyDescent="0.2">
      <c r="A1848" s="2">
        <v>45862</v>
      </c>
      <c r="B1848" t="s">
        <v>2417</v>
      </c>
      <c r="C1848" t="s">
        <v>1</v>
      </c>
      <c r="D1848" t="s">
        <v>3</v>
      </c>
      <c r="E1848">
        <v>1</v>
      </c>
      <c r="F1848" t="s">
        <v>4027</v>
      </c>
      <c r="G1848">
        <v>67</v>
      </c>
    </row>
    <row r="1849" spans="1:7" x14ac:dyDescent="0.2">
      <c r="A1849" s="2">
        <v>45862</v>
      </c>
      <c r="B1849" t="s">
        <v>2418</v>
      </c>
      <c r="C1849" t="s">
        <v>1</v>
      </c>
      <c r="D1849" t="s">
        <v>3</v>
      </c>
      <c r="E1849">
        <v>1</v>
      </c>
      <c r="F1849" t="s">
        <v>4027</v>
      </c>
      <c r="G1849">
        <v>82</v>
      </c>
    </row>
    <row r="1850" spans="1:7" x14ac:dyDescent="0.2">
      <c r="A1850" s="2">
        <v>45862</v>
      </c>
      <c r="B1850" t="s">
        <v>2419</v>
      </c>
      <c r="C1850" t="s">
        <v>1</v>
      </c>
      <c r="D1850" t="s">
        <v>3</v>
      </c>
      <c r="E1850">
        <v>1</v>
      </c>
      <c r="F1850" t="s">
        <v>4027</v>
      </c>
      <c r="G1850">
        <v>73</v>
      </c>
    </row>
    <row r="1851" spans="1:7" x14ac:dyDescent="0.2">
      <c r="A1851" s="2">
        <v>45862</v>
      </c>
      <c r="B1851" t="s">
        <v>2420</v>
      </c>
      <c r="C1851" t="s">
        <v>1</v>
      </c>
      <c r="D1851" t="s">
        <v>3</v>
      </c>
      <c r="E1851">
        <v>1</v>
      </c>
      <c r="F1851" t="s">
        <v>4027</v>
      </c>
      <c r="G1851">
        <v>82</v>
      </c>
    </row>
    <row r="1852" spans="1:7" x14ac:dyDescent="0.2">
      <c r="A1852" s="2">
        <v>45863</v>
      </c>
      <c r="B1852" t="s">
        <v>2424</v>
      </c>
      <c r="C1852" t="s">
        <v>1</v>
      </c>
      <c r="D1852" t="s">
        <v>3</v>
      </c>
      <c r="E1852">
        <v>1</v>
      </c>
      <c r="F1852" t="s">
        <v>4027</v>
      </c>
      <c r="G1852">
        <v>64</v>
      </c>
    </row>
    <row r="1853" spans="1:7" x14ac:dyDescent="0.2">
      <c r="A1853" s="2">
        <v>45863</v>
      </c>
      <c r="B1853" t="s">
        <v>2425</v>
      </c>
      <c r="C1853" t="s">
        <v>1</v>
      </c>
      <c r="D1853" t="s">
        <v>3</v>
      </c>
      <c r="E1853">
        <v>1</v>
      </c>
      <c r="F1853" t="s">
        <v>4027</v>
      </c>
      <c r="G1853">
        <v>78</v>
      </c>
    </row>
    <row r="1854" spans="1:7" x14ac:dyDescent="0.2">
      <c r="A1854" s="2">
        <v>45863</v>
      </c>
      <c r="B1854" t="s">
        <v>2426</v>
      </c>
      <c r="C1854" t="s">
        <v>1</v>
      </c>
      <c r="D1854" t="s">
        <v>3</v>
      </c>
      <c r="E1854">
        <v>1</v>
      </c>
      <c r="F1854" t="s">
        <v>4027</v>
      </c>
      <c r="G1854">
        <v>88</v>
      </c>
    </row>
    <row r="1855" spans="1:7" x14ac:dyDescent="0.2">
      <c r="A1855" s="2">
        <v>45863</v>
      </c>
      <c r="B1855" t="s">
        <v>2423</v>
      </c>
      <c r="C1855" t="s">
        <v>1</v>
      </c>
      <c r="D1855" t="s">
        <v>3</v>
      </c>
      <c r="E1855">
        <v>1</v>
      </c>
      <c r="F1855" t="s">
        <v>4027</v>
      </c>
      <c r="G1855">
        <v>67</v>
      </c>
    </row>
    <row r="1856" spans="1:7" x14ac:dyDescent="0.2">
      <c r="A1856" s="2">
        <v>45863</v>
      </c>
      <c r="B1856" t="s">
        <v>2421</v>
      </c>
      <c r="C1856" t="s">
        <v>1</v>
      </c>
      <c r="D1856" t="s">
        <v>3</v>
      </c>
      <c r="E1856">
        <v>1</v>
      </c>
      <c r="F1856" t="s">
        <v>4027</v>
      </c>
      <c r="G1856">
        <v>64</v>
      </c>
    </row>
    <row r="1857" spans="1:7" x14ac:dyDescent="0.2">
      <c r="A1857" s="2">
        <v>45863</v>
      </c>
      <c r="B1857" t="s">
        <v>2422</v>
      </c>
      <c r="C1857" t="s">
        <v>1</v>
      </c>
      <c r="D1857" t="s">
        <v>3</v>
      </c>
      <c r="E1857">
        <v>1</v>
      </c>
      <c r="F1857" t="s">
        <v>4027</v>
      </c>
      <c r="G1857">
        <v>60</v>
      </c>
    </row>
    <row r="1858" spans="1:7" x14ac:dyDescent="0.2">
      <c r="A1858" s="2">
        <v>45864</v>
      </c>
      <c r="B1858" t="s">
        <v>2433</v>
      </c>
      <c r="C1858" t="s">
        <v>1</v>
      </c>
      <c r="D1858" t="s">
        <v>3</v>
      </c>
      <c r="E1858">
        <v>1</v>
      </c>
      <c r="F1858" t="s">
        <v>4027</v>
      </c>
      <c r="G1858">
        <v>73</v>
      </c>
    </row>
    <row r="1859" spans="1:7" x14ac:dyDescent="0.2">
      <c r="A1859" s="2">
        <v>45864</v>
      </c>
      <c r="B1859" t="s">
        <v>2427</v>
      </c>
      <c r="C1859" t="s">
        <v>1</v>
      </c>
      <c r="D1859" t="s">
        <v>3</v>
      </c>
      <c r="E1859">
        <v>1</v>
      </c>
      <c r="F1859" t="s">
        <v>4027</v>
      </c>
      <c r="G1859">
        <v>73</v>
      </c>
    </row>
    <row r="1860" spans="1:7" x14ac:dyDescent="0.2">
      <c r="A1860" s="2">
        <v>45864</v>
      </c>
      <c r="B1860" t="s">
        <v>2428</v>
      </c>
      <c r="C1860" t="s">
        <v>1</v>
      </c>
      <c r="D1860" t="s">
        <v>3</v>
      </c>
      <c r="E1860">
        <v>1</v>
      </c>
      <c r="F1860" t="s">
        <v>4027</v>
      </c>
      <c r="G1860">
        <v>63</v>
      </c>
    </row>
    <row r="1861" spans="1:7" x14ac:dyDescent="0.2">
      <c r="A1861" s="2">
        <v>45864</v>
      </c>
      <c r="B1861" t="s">
        <v>2429</v>
      </c>
      <c r="C1861" t="s">
        <v>1</v>
      </c>
      <c r="D1861" t="s">
        <v>3</v>
      </c>
      <c r="E1861">
        <v>1</v>
      </c>
      <c r="F1861" t="s">
        <v>4027</v>
      </c>
      <c r="G1861">
        <v>69</v>
      </c>
    </row>
    <row r="1862" spans="1:7" x14ac:dyDescent="0.2">
      <c r="A1862" s="2">
        <v>45864</v>
      </c>
      <c r="B1862" t="s">
        <v>2430</v>
      </c>
      <c r="C1862" t="s">
        <v>1</v>
      </c>
      <c r="D1862" t="s">
        <v>3</v>
      </c>
      <c r="E1862">
        <v>1</v>
      </c>
      <c r="F1862" t="s">
        <v>4027</v>
      </c>
      <c r="G1862">
        <v>88</v>
      </c>
    </row>
    <row r="1863" spans="1:7" x14ac:dyDescent="0.2">
      <c r="A1863" s="2">
        <v>45864</v>
      </c>
      <c r="B1863" t="s">
        <v>2431</v>
      </c>
      <c r="C1863" t="s">
        <v>1</v>
      </c>
      <c r="D1863" t="s">
        <v>3</v>
      </c>
      <c r="E1863">
        <v>1</v>
      </c>
      <c r="F1863" t="s">
        <v>4027</v>
      </c>
      <c r="G1863">
        <v>68</v>
      </c>
    </row>
    <row r="1864" spans="1:7" x14ac:dyDescent="0.2">
      <c r="A1864" s="2">
        <v>45864</v>
      </c>
      <c r="B1864" t="s">
        <v>2432</v>
      </c>
      <c r="C1864" t="s">
        <v>1</v>
      </c>
      <c r="D1864" t="s">
        <v>3</v>
      </c>
      <c r="E1864">
        <v>1</v>
      </c>
      <c r="F1864" t="s">
        <v>4027</v>
      </c>
      <c r="G1864">
        <v>79</v>
      </c>
    </row>
    <row r="1865" spans="1:7" x14ac:dyDescent="0.2">
      <c r="A1865" s="2">
        <v>45866</v>
      </c>
      <c r="B1865" t="s">
        <v>2434</v>
      </c>
      <c r="C1865" t="s">
        <v>1</v>
      </c>
      <c r="D1865" t="s">
        <v>3</v>
      </c>
      <c r="E1865">
        <v>1</v>
      </c>
      <c r="F1865" t="s">
        <v>4027</v>
      </c>
      <c r="G1865">
        <v>67</v>
      </c>
    </row>
    <row r="1866" spans="1:7" x14ac:dyDescent="0.2">
      <c r="A1866" s="2">
        <v>45866</v>
      </c>
      <c r="B1866" t="s">
        <v>2435</v>
      </c>
      <c r="C1866" t="s">
        <v>1</v>
      </c>
      <c r="D1866" t="s">
        <v>3</v>
      </c>
      <c r="E1866">
        <v>1</v>
      </c>
      <c r="F1866" t="s">
        <v>4027</v>
      </c>
      <c r="G1866">
        <v>81</v>
      </c>
    </row>
    <row r="1867" spans="1:7" x14ac:dyDescent="0.2">
      <c r="A1867" s="2">
        <v>45866</v>
      </c>
      <c r="B1867" t="s">
        <v>2436</v>
      </c>
      <c r="C1867" t="s">
        <v>1</v>
      </c>
      <c r="D1867" t="s">
        <v>3</v>
      </c>
      <c r="E1867">
        <v>1</v>
      </c>
      <c r="F1867" t="s">
        <v>4027</v>
      </c>
      <c r="G1867">
        <v>67</v>
      </c>
    </row>
    <row r="1868" spans="1:7" x14ac:dyDescent="0.2">
      <c r="A1868" s="2">
        <v>45866</v>
      </c>
      <c r="B1868" t="s">
        <v>2437</v>
      </c>
      <c r="C1868" t="s">
        <v>1</v>
      </c>
      <c r="D1868" t="s">
        <v>3</v>
      </c>
      <c r="E1868">
        <v>1</v>
      </c>
      <c r="F1868" t="s">
        <v>4027</v>
      </c>
      <c r="G1868">
        <v>63</v>
      </c>
    </row>
    <row r="1869" spans="1:7" x14ac:dyDescent="0.2">
      <c r="A1869" s="2">
        <v>45866</v>
      </c>
      <c r="B1869" t="s">
        <v>2438</v>
      </c>
      <c r="C1869" t="s">
        <v>1</v>
      </c>
      <c r="D1869" t="s">
        <v>3</v>
      </c>
      <c r="E1869">
        <v>1</v>
      </c>
      <c r="F1869" t="s">
        <v>4027</v>
      </c>
      <c r="G1869">
        <v>63</v>
      </c>
    </row>
    <row r="1870" spans="1:7" x14ac:dyDescent="0.2">
      <c r="A1870" s="2">
        <v>45867</v>
      </c>
      <c r="B1870" t="s">
        <v>2441</v>
      </c>
      <c r="C1870" t="s">
        <v>1</v>
      </c>
      <c r="D1870" t="s">
        <v>3</v>
      </c>
      <c r="E1870">
        <v>1</v>
      </c>
      <c r="F1870" t="s">
        <v>4027</v>
      </c>
      <c r="G1870">
        <v>79</v>
      </c>
    </row>
    <row r="1871" spans="1:7" x14ac:dyDescent="0.2">
      <c r="A1871" s="2">
        <v>45867</v>
      </c>
      <c r="B1871" t="s">
        <v>2440</v>
      </c>
      <c r="C1871" t="s">
        <v>1</v>
      </c>
      <c r="D1871" t="s">
        <v>3</v>
      </c>
      <c r="E1871">
        <v>1</v>
      </c>
      <c r="F1871" t="s">
        <v>4027</v>
      </c>
      <c r="G1871">
        <v>66</v>
      </c>
    </row>
    <row r="1872" spans="1:7" x14ac:dyDescent="0.2">
      <c r="A1872" s="2">
        <v>45867</v>
      </c>
      <c r="B1872" t="s">
        <v>2442</v>
      </c>
      <c r="C1872" t="s">
        <v>1</v>
      </c>
      <c r="D1872" t="s">
        <v>3</v>
      </c>
      <c r="E1872">
        <v>1</v>
      </c>
      <c r="F1872" t="s">
        <v>4027</v>
      </c>
      <c r="G1872">
        <v>70</v>
      </c>
    </row>
    <row r="1873" spans="1:7" x14ac:dyDescent="0.2">
      <c r="A1873" s="2">
        <v>45867</v>
      </c>
      <c r="B1873" t="s">
        <v>3518</v>
      </c>
      <c r="C1873" t="s">
        <v>2</v>
      </c>
      <c r="D1873" t="s">
        <v>4</v>
      </c>
      <c r="E1873">
        <v>1</v>
      </c>
      <c r="F1873" t="s">
        <v>600</v>
      </c>
      <c r="G1873">
        <v>22</v>
      </c>
    </row>
    <row r="1874" spans="1:7" x14ac:dyDescent="0.2">
      <c r="A1874" s="2">
        <v>45867</v>
      </c>
      <c r="B1874" t="s">
        <v>3517</v>
      </c>
      <c r="C1874" t="s">
        <v>2</v>
      </c>
      <c r="D1874" t="s">
        <v>4</v>
      </c>
      <c r="E1874">
        <v>1</v>
      </c>
      <c r="F1874" t="s">
        <v>600</v>
      </c>
      <c r="G1874">
        <v>22</v>
      </c>
    </row>
    <row r="1875" spans="1:7" x14ac:dyDescent="0.2">
      <c r="A1875" s="2">
        <v>45867</v>
      </c>
      <c r="B1875" t="s">
        <v>2439</v>
      </c>
      <c r="C1875" t="s">
        <v>1</v>
      </c>
      <c r="D1875" t="s">
        <v>3</v>
      </c>
      <c r="E1875">
        <v>1</v>
      </c>
      <c r="F1875" t="s">
        <v>4027</v>
      </c>
      <c r="G1875">
        <v>78</v>
      </c>
    </row>
    <row r="1876" spans="1:7" x14ac:dyDescent="0.2">
      <c r="A1876" s="2">
        <v>45867</v>
      </c>
      <c r="B1876" t="s">
        <v>2444</v>
      </c>
      <c r="C1876" t="s">
        <v>1</v>
      </c>
      <c r="D1876" t="s">
        <v>3</v>
      </c>
      <c r="E1876">
        <v>1</v>
      </c>
      <c r="F1876" t="s">
        <v>4027</v>
      </c>
      <c r="G1876">
        <v>67</v>
      </c>
    </row>
    <row r="1877" spans="1:7" x14ac:dyDescent="0.2">
      <c r="A1877" s="2">
        <v>45867</v>
      </c>
      <c r="B1877" t="s">
        <v>2443</v>
      </c>
      <c r="C1877" t="s">
        <v>1</v>
      </c>
      <c r="D1877" t="s">
        <v>3</v>
      </c>
      <c r="E1877">
        <v>1</v>
      </c>
      <c r="F1877" t="s">
        <v>4027</v>
      </c>
      <c r="G1877">
        <v>78</v>
      </c>
    </row>
    <row r="1878" spans="1:7" x14ac:dyDescent="0.2">
      <c r="A1878" s="2">
        <v>45868</v>
      </c>
      <c r="B1878" t="s">
        <v>2447</v>
      </c>
      <c r="C1878" t="s">
        <v>1</v>
      </c>
      <c r="D1878" t="s">
        <v>3</v>
      </c>
      <c r="E1878">
        <v>1</v>
      </c>
      <c r="F1878" t="s">
        <v>4027</v>
      </c>
      <c r="G1878">
        <v>83</v>
      </c>
    </row>
    <row r="1879" spans="1:7" x14ac:dyDescent="0.2">
      <c r="A1879" s="2">
        <v>45868</v>
      </c>
      <c r="B1879" t="s">
        <v>2445</v>
      </c>
      <c r="C1879" t="s">
        <v>1</v>
      </c>
      <c r="D1879" t="s">
        <v>3</v>
      </c>
      <c r="E1879">
        <v>1</v>
      </c>
      <c r="F1879" t="s">
        <v>4027</v>
      </c>
      <c r="G1879">
        <v>73</v>
      </c>
    </row>
    <row r="1880" spans="1:7" x14ac:dyDescent="0.2">
      <c r="A1880" s="2">
        <v>45868</v>
      </c>
      <c r="B1880" t="s">
        <v>2446</v>
      </c>
      <c r="C1880" t="s">
        <v>1</v>
      </c>
      <c r="D1880" t="s">
        <v>3</v>
      </c>
      <c r="E1880">
        <v>1</v>
      </c>
      <c r="F1880" t="s">
        <v>4027</v>
      </c>
      <c r="G1880">
        <v>77</v>
      </c>
    </row>
    <row r="1881" spans="1:7" x14ac:dyDescent="0.2">
      <c r="A1881" s="2">
        <v>45868</v>
      </c>
      <c r="B1881" t="s">
        <v>2450</v>
      </c>
      <c r="C1881" t="s">
        <v>1</v>
      </c>
      <c r="D1881" t="s">
        <v>3</v>
      </c>
      <c r="E1881">
        <v>1</v>
      </c>
      <c r="F1881" t="s">
        <v>4027</v>
      </c>
      <c r="G1881">
        <v>83</v>
      </c>
    </row>
    <row r="1882" spans="1:7" x14ac:dyDescent="0.2">
      <c r="A1882" s="2">
        <v>45868</v>
      </c>
      <c r="B1882" t="s">
        <v>2448</v>
      </c>
      <c r="C1882" t="s">
        <v>1</v>
      </c>
      <c r="D1882" t="s">
        <v>3</v>
      </c>
      <c r="E1882">
        <v>1</v>
      </c>
      <c r="F1882" t="s">
        <v>4027</v>
      </c>
      <c r="G1882">
        <v>67</v>
      </c>
    </row>
    <row r="1883" spans="1:7" x14ac:dyDescent="0.2">
      <c r="A1883" s="2">
        <v>45868</v>
      </c>
      <c r="B1883" t="s">
        <v>2449</v>
      </c>
      <c r="C1883" t="s">
        <v>1</v>
      </c>
      <c r="D1883" t="s">
        <v>3</v>
      </c>
      <c r="E1883">
        <v>1</v>
      </c>
      <c r="F1883" t="s">
        <v>4027</v>
      </c>
      <c r="G1883">
        <v>63</v>
      </c>
    </row>
    <row r="1884" spans="1:7" x14ac:dyDescent="0.2">
      <c r="A1884" s="2">
        <v>45869</v>
      </c>
      <c r="B1884" t="s">
        <v>2454</v>
      </c>
      <c r="C1884" t="s">
        <v>1</v>
      </c>
      <c r="D1884" t="s">
        <v>3</v>
      </c>
      <c r="E1884">
        <v>1</v>
      </c>
      <c r="F1884" t="s">
        <v>4027</v>
      </c>
      <c r="G1884">
        <v>63</v>
      </c>
    </row>
    <row r="1885" spans="1:7" x14ac:dyDescent="0.2">
      <c r="A1885" s="2">
        <v>45869</v>
      </c>
      <c r="B1885" t="s">
        <v>2453</v>
      </c>
      <c r="C1885" t="s">
        <v>1</v>
      </c>
      <c r="D1885" t="s">
        <v>3</v>
      </c>
      <c r="E1885">
        <v>1</v>
      </c>
      <c r="F1885" t="s">
        <v>4027</v>
      </c>
      <c r="G1885">
        <v>60</v>
      </c>
    </row>
    <row r="1886" spans="1:7" x14ac:dyDescent="0.2">
      <c r="A1886" s="2">
        <v>45869</v>
      </c>
      <c r="B1886" t="s">
        <v>2452</v>
      </c>
      <c r="C1886" t="s">
        <v>1</v>
      </c>
      <c r="D1886" t="s">
        <v>3</v>
      </c>
      <c r="E1886">
        <v>1</v>
      </c>
      <c r="F1886" t="s">
        <v>4027</v>
      </c>
      <c r="G1886">
        <v>79</v>
      </c>
    </row>
    <row r="1887" spans="1:7" x14ac:dyDescent="0.2">
      <c r="A1887" s="2">
        <v>45869</v>
      </c>
      <c r="B1887" t="s">
        <v>2451</v>
      </c>
      <c r="C1887" t="s">
        <v>1</v>
      </c>
      <c r="D1887" t="s">
        <v>3</v>
      </c>
      <c r="E1887">
        <v>1</v>
      </c>
      <c r="F1887" t="s">
        <v>4027</v>
      </c>
      <c r="G1887">
        <v>74</v>
      </c>
    </row>
    <row r="1888" spans="1:7" x14ac:dyDescent="0.2">
      <c r="A1888" s="2">
        <v>45870</v>
      </c>
      <c r="B1888" t="s">
        <v>2455</v>
      </c>
      <c r="C1888" t="s">
        <v>1</v>
      </c>
      <c r="D1888" t="s">
        <v>3</v>
      </c>
      <c r="E1888">
        <v>1</v>
      </c>
      <c r="F1888" t="s">
        <v>4027</v>
      </c>
      <c r="G1888">
        <v>68</v>
      </c>
    </row>
    <row r="1889" spans="1:7" x14ac:dyDescent="0.2">
      <c r="A1889" s="2">
        <v>45870</v>
      </c>
      <c r="B1889" t="s">
        <v>2456</v>
      </c>
      <c r="C1889" t="s">
        <v>1</v>
      </c>
      <c r="D1889" t="s">
        <v>3</v>
      </c>
      <c r="E1889">
        <v>1</v>
      </c>
      <c r="F1889" t="s">
        <v>4027</v>
      </c>
      <c r="G1889">
        <v>81</v>
      </c>
    </row>
    <row r="1890" spans="1:7" x14ac:dyDescent="0.2">
      <c r="A1890" s="2">
        <v>45870</v>
      </c>
      <c r="B1890" t="s">
        <v>2457</v>
      </c>
      <c r="C1890" t="s">
        <v>1</v>
      </c>
      <c r="D1890" t="s">
        <v>3</v>
      </c>
      <c r="E1890">
        <v>1</v>
      </c>
      <c r="F1890" t="s">
        <v>4027</v>
      </c>
      <c r="G1890">
        <v>81</v>
      </c>
    </row>
    <row r="1891" spans="1:7" x14ac:dyDescent="0.2">
      <c r="A1891" s="2">
        <v>45870</v>
      </c>
      <c r="B1891" t="s">
        <v>2458</v>
      </c>
      <c r="C1891" t="s">
        <v>1</v>
      </c>
      <c r="D1891" t="s">
        <v>3</v>
      </c>
      <c r="E1891">
        <v>1</v>
      </c>
      <c r="F1891" t="s">
        <v>4027</v>
      </c>
      <c r="G1891">
        <v>64</v>
      </c>
    </row>
    <row r="1892" spans="1:7" x14ac:dyDescent="0.2">
      <c r="A1892" s="2">
        <v>45870</v>
      </c>
      <c r="B1892" t="s">
        <v>2459</v>
      </c>
      <c r="C1892" t="s">
        <v>1</v>
      </c>
      <c r="D1892" t="s">
        <v>3</v>
      </c>
      <c r="E1892">
        <v>1</v>
      </c>
      <c r="F1892" t="s">
        <v>4027</v>
      </c>
      <c r="G1892">
        <v>76</v>
      </c>
    </row>
    <row r="1893" spans="1:7" x14ac:dyDescent="0.2">
      <c r="A1893" s="2">
        <v>45870</v>
      </c>
      <c r="B1893" t="s">
        <v>2460</v>
      </c>
      <c r="C1893" t="s">
        <v>1</v>
      </c>
      <c r="D1893" t="s">
        <v>3</v>
      </c>
      <c r="E1893">
        <v>1</v>
      </c>
      <c r="F1893" t="s">
        <v>4027</v>
      </c>
      <c r="G1893">
        <v>69</v>
      </c>
    </row>
    <row r="1894" spans="1:7" x14ac:dyDescent="0.2">
      <c r="A1894" s="2">
        <v>45871</v>
      </c>
      <c r="B1894" t="s">
        <v>2461</v>
      </c>
      <c r="C1894" t="s">
        <v>1</v>
      </c>
      <c r="D1894" t="s">
        <v>3</v>
      </c>
      <c r="E1894">
        <v>1</v>
      </c>
      <c r="F1894" t="s">
        <v>4027</v>
      </c>
      <c r="G1894">
        <v>69</v>
      </c>
    </row>
    <row r="1895" spans="1:7" x14ac:dyDescent="0.2">
      <c r="A1895" s="2">
        <v>45871</v>
      </c>
      <c r="B1895" t="s">
        <v>3523</v>
      </c>
      <c r="C1895" t="s">
        <v>2</v>
      </c>
      <c r="D1895" t="s">
        <v>4</v>
      </c>
      <c r="E1895">
        <v>1</v>
      </c>
      <c r="F1895" t="s">
        <v>600</v>
      </c>
      <c r="G1895">
        <v>22</v>
      </c>
    </row>
    <row r="1896" spans="1:7" x14ac:dyDescent="0.2">
      <c r="A1896" s="2">
        <v>45871</v>
      </c>
      <c r="B1896" t="s">
        <v>3522</v>
      </c>
      <c r="C1896" t="s">
        <v>2</v>
      </c>
      <c r="D1896" t="s">
        <v>4</v>
      </c>
      <c r="E1896">
        <v>1</v>
      </c>
      <c r="F1896" t="s">
        <v>600</v>
      </c>
      <c r="G1896">
        <v>22</v>
      </c>
    </row>
    <row r="1897" spans="1:7" x14ac:dyDescent="0.2">
      <c r="A1897" s="2">
        <v>45871</v>
      </c>
      <c r="B1897" t="s">
        <v>3521</v>
      </c>
      <c r="C1897" t="s">
        <v>2</v>
      </c>
      <c r="D1897" t="s">
        <v>4</v>
      </c>
      <c r="E1897">
        <v>1</v>
      </c>
      <c r="F1897" t="s">
        <v>600</v>
      </c>
      <c r="G1897">
        <v>22</v>
      </c>
    </row>
    <row r="1898" spans="1:7" x14ac:dyDescent="0.2">
      <c r="A1898" s="2">
        <v>45871</v>
      </c>
      <c r="B1898" t="s">
        <v>3520</v>
      </c>
      <c r="C1898" t="s">
        <v>2</v>
      </c>
      <c r="D1898" t="s">
        <v>4</v>
      </c>
      <c r="E1898">
        <v>1</v>
      </c>
      <c r="F1898" t="s">
        <v>600</v>
      </c>
      <c r="G1898">
        <v>22</v>
      </c>
    </row>
    <row r="1899" spans="1:7" x14ac:dyDescent="0.2">
      <c r="A1899" s="2">
        <v>45871</v>
      </c>
      <c r="B1899" t="s">
        <v>2462</v>
      </c>
      <c r="C1899" t="s">
        <v>1</v>
      </c>
      <c r="D1899" t="s">
        <v>3</v>
      </c>
      <c r="E1899">
        <v>1</v>
      </c>
      <c r="F1899" t="s">
        <v>4027</v>
      </c>
      <c r="G1899">
        <v>60</v>
      </c>
    </row>
    <row r="1900" spans="1:7" x14ac:dyDescent="0.2">
      <c r="A1900" s="2">
        <v>45871</v>
      </c>
      <c r="B1900" t="s">
        <v>3519</v>
      </c>
      <c r="C1900" t="s">
        <v>2</v>
      </c>
      <c r="D1900" t="s">
        <v>4</v>
      </c>
      <c r="E1900">
        <v>1</v>
      </c>
      <c r="F1900" t="s">
        <v>600</v>
      </c>
      <c r="G1900">
        <v>22</v>
      </c>
    </row>
    <row r="1901" spans="1:7" x14ac:dyDescent="0.2">
      <c r="A1901" s="2">
        <v>45871</v>
      </c>
      <c r="B1901" t="s">
        <v>2464</v>
      </c>
      <c r="C1901" t="s">
        <v>1</v>
      </c>
      <c r="D1901" t="s">
        <v>3</v>
      </c>
      <c r="E1901">
        <v>1</v>
      </c>
      <c r="F1901" t="s">
        <v>4027</v>
      </c>
      <c r="G1901">
        <v>67</v>
      </c>
    </row>
    <row r="1902" spans="1:7" x14ac:dyDescent="0.2">
      <c r="A1902" s="2">
        <v>45871</v>
      </c>
      <c r="B1902" t="s">
        <v>2465</v>
      </c>
      <c r="C1902" t="s">
        <v>1</v>
      </c>
      <c r="D1902" t="s">
        <v>3</v>
      </c>
      <c r="E1902">
        <v>1</v>
      </c>
      <c r="F1902" t="s">
        <v>4027</v>
      </c>
      <c r="G1902">
        <v>88</v>
      </c>
    </row>
    <row r="1903" spans="1:7" x14ac:dyDescent="0.2">
      <c r="A1903" s="2">
        <v>45871</v>
      </c>
      <c r="B1903" t="s">
        <v>2463</v>
      </c>
      <c r="C1903" t="s">
        <v>1</v>
      </c>
      <c r="D1903" t="s">
        <v>3</v>
      </c>
      <c r="E1903">
        <v>1</v>
      </c>
      <c r="F1903" t="s">
        <v>4027</v>
      </c>
      <c r="G1903">
        <v>60</v>
      </c>
    </row>
    <row r="1904" spans="1:7" x14ac:dyDescent="0.2">
      <c r="A1904" s="2">
        <v>45874</v>
      </c>
      <c r="B1904" t="s">
        <v>2466</v>
      </c>
      <c r="C1904" t="s">
        <v>1</v>
      </c>
      <c r="D1904" t="s">
        <v>3</v>
      </c>
      <c r="E1904">
        <v>1</v>
      </c>
      <c r="F1904" t="s">
        <v>4027</v>
      </c>
      <c r="G1904">
        <v>76</v>
      </c>
    </row>
    <row r="1905" spans="1:7" x14ac:dyDescent="0.2">
      <c r="A1905" s="2">
        <v>45874</v>
      </c>
      <c r="B1905" t="s">
        <v>2467</v>
      </c>
      <c r="C1905" t="s">
        <v>1</v>
      </c>
      <c r="D1905" t="s">
        <v>3</v>
      </c>
      <c r="E1905">
        <v>1</v>
      </c>
      <c r="F1905" t="s">
        <v>4027</v>
      </c>
      <c r="G1905">
        <v>65</v>
      </c>
    </row>
    <row r="1906" spans="1:7" x14ac:dyDescent="0.2">
      <c r="A1906" s="2">
        <v>45874</v>
      </c>
      <c r="B1906" t="s">
        <v>2468</v>
      </c>
      <c r="C1906" t="s">
        <v>1</v>
      </c>
      <c r="D1906" t="s">
        <v>3</v>
      </c>
      <c r="E1906">
        <v>1</v>
      </c>
      <c r="F1906" t="s">
        <v>4027</v>
      </c>
      <c r="G1906">
        <v>62</v>
      </c>
    </row>
    <row r="1907" spans="1:7" x14ac:dyDescent="0.2">
      <c r="A1907" s="2">
        <v>45874</v>
      </c>
      <c r="B1907" t="s">
        <v>2469</v>
      </c>
      <c r="C1907" t="s">
        <v>1</v>
      </c>
      <c r="D1907" t="s">
        <v>3</v>
      </c>
      <c r="E1907">
        <v>1</v>
      </c>
      <c r="F1907" t="s">
        <v>4027</v>
      </c>
      <c r="G1907">
        <v>62</v>
      </c>
    </row>
    <row r="1908" spans="1:7" x14ac:dyDescent="0.2">
      <c r="A1908" s="2">
        <v>45874</v>
      </c>
      <c r="B1908" t="s">
        <v>3524</v>
      </c>
      <c r="C1908" t="s">
        <v>2</v>
      </c>
      <c r="D1908" t="s">
        <v>4</v>
      </c>
      <c r="E1908">
        <v>1</v>
      </c>
      <c r="F1908" t="s">
        <v>600</v>
      </c>
      <c r="G1908">
        <v>22</v>
      </c>
    </row>
    <row r="1909" spans="1:7" x14ac:dyDescent="0.2">
      <c r="A1909" s="2">
        <v>45875</v>
      </c>
      <c r="B1909" t="s">
        <v>2470</v>
      </c>
      <c r="C1909" t="s">
        <v>1</v>
      </c>
      <c r="D1909" t="s">
        <v>3</v>
      </c>
      <c r="E1909">
        <v>1</v>
      </c>
      <c r="F1909" t="s">
        <v>4027</v>
      </c>
      <c r="G1909">
        <v>68</v>
      </c>
    </row>
    <row r="1910" spans="1:7" x14ac:dyDescent="0.2">
      <c r="A1910" s="2">
        <v>45875</v>
      </c>
      <c r="B1910" t="s">
        <v>2471</v>
      </c>
      <c r="C1910" t="s">
        <v>1</v>
      </c>
      <c r="D1910" t="s">
        <v>3</v>
      </c>
      <c r="E1910">
        <v>1</v>
      </c>
      <c r="F1910" t="s">
        <v>4027</v>
      </c>
      <c r="G1910">
        <v>75</v>
      </c>
    </row>
    <row r="1911" spans="1:7" x14ac:dyDescent="0.2">
      <c r="A1911" s="2">
        <v>45875</v>
      </c>
      <c r="B1911" t="s">
        <v>2472</v>
      </c>
      <c r="C1911" t="s">
        <v>1</v>
      </c>
      <c r="D1911" t="s">
        <v>3</v>
      </c>
      <c r="E1911">
        <v>1</v>
      </c>
      <c r="F1911" t="s">
        <v>4027</v>
      </c>
      <c r="G1911">
        <v>87</v>
      </c>
    </row>
    <row r="1912" spans="1:7" x14ac:dyDescent="0.2">
      <c r="A1912" s="2">
        <v>45875</v>
      </c>
      <c r="B1912" t="s">
        <v>2473</v>
      </c>
      <c r="C1912" t="s">
        <v>1</v>
      </c>
      <c r="D1912" t="s">
        <v>3</v>
      </c>
      <c r="E1912">
        <v>1</v>
      </c>
      <c r="F1912" t="s">
        <v>4027</v>
      </c>
      <c r="G1912">
        <v>85</v>
      </c>
    </row>
    <row r="1913" spans="1:7" x14ac:dyDescent="0.2">
      <c r="A1913" s="2">
        <v>45876</v>
      </c>
      <c r="B1913" t="s">
        <v>2479</v>
      </c>
      <c r="C1913" t="s">
        <v>1</v>
      </c>
      <c r="D1913" t="s">
        <v>3</v>
      </c>
      <c r="E1913">
        <v>1</v>
      </c>
      <c r="F1913" t="s">
        <v>4027</v>
      </c>
      <c r="G1913">
        <v>88</v>
      </c>
    </row>
    <row r="1914" spans="1:7" x14ac:dyDescent="0.2">
      <c r="A1914" s="2">
        <v>45876</v>
      </c>
      <c r="B1914" t="s">
        <v>2478</v>
      </c>
      <c r="C1914" t="s">
        <v>1</v>
      </c>
      <c r="D1914" t="s">
        <v>3</v>
      </c>
      <c r="E1914">
        <v>1</v>
      </c>
      <c r="F1914" t="s">
        <v>4027</v>
      </c>
      <c r="G1914">
        <v>89</v>
      </c>
    </row>
    <row r="1915" spans="1:7" x14ac:dyDescent="0.2">
      <c r="A1915" s="2">
        <v>45876</v>
      </c>
      <c r="B1915" t="s">
        <v>2477</v>
      </c>
      <c r="C1915" t="s">
        <v>1</v>
      </c>
      <c r="D1915" t="s">
        <v>3</v>
      </c>
      <c r="E1915">
        <v>1</v>
      </c>
      <c r="F1915" t="s">
        <v>4027</v>
      </c>
      <c r="G1915">
        <v>61</v>
      </c>
    </row>
    <row r="1916" spans="1:7" x14ac:dyDescent="0.2">
      <c r="A1916" s="2">
        <v>45876</v>
      </c>
      <c r="B1916" t="s">
        <v>2475</v>
      </c>
      <c r="C1916" t="s">
        <v>1</v>
      </c>
      <c r="D1916" t="s">
        <v>3</v>
      </c>
      <c r="E1916">
        <v>1</v>
      </c>
      <c r="F1916" t="s">
        <v>4027</v>
      </c>
      <c r="G1916">
        <v>72</v>
      </c>
    </row>
    <row r="1917" spans="1:7" x14ac:dyDescent="0.2">
      <c r="A1917" s="2">
        <v>45876</v>
      </c>
      <c r="B1917" t="s">
        <v>2474</v>
      </c>
      <c r="C1917" t="s">
        <v>1</v>
      </c>
      <c r="D1917" t="s">
        <v>3</v>
      </c>
      <c r="E1917">
        <v>1</v>
      </c>
      <c r="F1917" t="s">
        <v>4027</v>
      </c>
      <c r="G1917">
        <v>77</v>
      </c>
    </row>
    <row r="1918" spans="1:7" x14ac:dyDescent="0.2">
      <c r="A1918" s="2">
        <v>45876</v>
      </c>
      <c r="B1918" t="s">
        <v>2476</v>
      </c>
      <c r="C1918" t="s">
        <v>1</v>
      </c>
      <c r="D1918" t="s">
        <v>3</v>
      </c>
      <c r="E1918">
        <v>1</v>
      </c>
      <c r="F1918" t="s">
        <v>4027</v>
      </c>
      <c r="G1918">
        <v>74</v>
      </c>
    </row>
    <row r="1919" spans="1:7" x14ac:dyDescent="0.2">
      <c r="A1919" s="2">
        <v>45877</v>
      </c>
      <c r="B1919" t="s">
        <v>2480</v>
      </c>
      <c r="C1919" t="s">
        <v>1</v>
      </c>
      <c r="D1919" t="s">
        <v>3</v>
      </c>
      <c r="E1919">
        <v>1</v>
      </c>
      <c r="F1919" t="s">
        <v>4027</v>
      </c>
      <c r="G1919">
        <v>67</v>
      </c>
    </row>
    <row r="1920" spans="1:7" x14ac:dyDescent="0.2">
      <c r="A1920" s="2">
        <v>45877</v>
      </c>
      <c r="B1920" t="s">
        <v>2482</v>
      </c>
      <c r="C1920" t="s">
        <v>1</v>
      </c>
      <c r="D1920" t="s">
        <v>3</v>
      </c>
      <c r="E1920">
        <v>1</v>
      </c>
      <c r="F1920" t="s">
        <v>4027</v>
      </c>
      <c r="G1920">
        <v>69</v>
      </c>
    </row>
    <row r="1921" spans="1:7" x14ac:dyDescent="0.2">
      <c r="A1921" s="2">
        <v>45877</v>
      </c>
      <c r="B1921" t="s">
        <v>2481</v>
      </c>
      <c r="C1921" t="s">
        <v>1</v>
      </c>
      <c r="D1921" t="s">
        <v>3</v>
      </c>
      <c r="E1921">
        <v>1</v>
      </c>
      <c r="F1921" t="s">
        <v>4027</v>
      </c>
      <c r="G1921">
        <v>77</v>
      </c>
    </row>
    <row r="1922" spans="1:7" x14ac:dyDescent="0.2">
      <c r="A1922" s="2">
        <v>45877</v>
      </c>
      <c r="B1922" t="s">
        <v>3525</v>
      </c>
      <c r="C1922" t="s">
        <v>2</v>
      </c>
      <c r="D1922" t="s">
        <v>4</v>
      </c>
      <c r="E1922">
        <v>1</v>
      </c>
      <c r="F1922" t="s">
        <v>600</v>
      </c>
      <c r="G1922">
        <v>22</v>
      </c>
    </row>
    <row r="1923" spans="1:7" x14ac:dyDescent="0.2">
      <c r="A1923" s="2">
        <v>45877</v>
      </c>
      <c r="B1923" t="s">
        <v>3526</v>
      </c>
      <c r="C1923" t="s">
        <v>2</v>
      </c>
      <c r="D1923" t="s">
        <v>4</v>
      </c>
      <c r="E1923">
        <v>1</v>
      </c>
      <c r="F1923" t="s">
        <v>600</v>
      </c>
      <c r="G1923">
        <v>22</v>
      </c>
    </row>
    <row r="1924" spans="1:7" x14ac:dyDescent="0.2">
      <c r="A1924" s="2">
        <v>45877</v>
      </c>
      <c r="B1924" t="s">
        <v>3527</v>
      </c>
      <c r="C1924" t="s">
        <v>2</v>
      </c>
      <c r="D1924" t="s">
        <v>4</v>
      </c>
      <c r="E1924">
        <v>1</v>
      </c>
      <c r="F1924" t="s">
        <v>600</v>
      </c>
      <c r="G1924">
        <v>22</v>
      </c>
    </row>
    <row r="1925" spans="1:7" x14ac:dyDescent="0.2">
      <c r="A1925" s="2">
        <v>45877</v>
      </c>
      <c r="B1925" t="s">
        <v>3528</v>
      </c>
      <c r="C1925" t="s">
        <v>2</v>
      </c>
      <c r="D1925" t="s">
        <v>4</v>
      </c>
      <c r="E1925">
        <v>1</v>
      </c>
      <c r="F1925" t="s">
        <v>600</v>
      </c>
      <c r="G1925">
        <v>22</v>
      </c>
    </row>
    <row r="1926" spans="1:7" x14ac:dyDescent="0.2">
      <c r="A1926" s="2">
        <v>45880</v>
      </c>
      <c r="B1926" t="s">
        <v>2483</v>
      </c>
      <c r="C1926" t="s">
        <v>1</v>
      </c>
      <c r="D1926" t="s">
        <v>3</v>
      </c>
      <c r="E1926">
        <v>1</v>
      </c>
      <c r="F1926" t="s">
        <v>4027</v>
      </c>
      <c r="G1926">
        <v>71</v>
      </c>
    </row>
    <row r="1927" spans="1:7" x14ac:dyDescent="0.2">
      <c r="A1927" s="2">
        <v>45880</v>
      </c>
      <c r="B1927" t="s">
        <v>2485</v>
      </c>
      <c r="C1927" t="s">
        <v>1</v>
      </c>
      <c r="D1927" t="s">
        <v>3</v>
      </c>
      <c r="E1927">
        <v>1</v>
      </c>
      <c r="F1927" t="s">
        <v>4027</v>
      </c>
      <c r="G1927">
        <v>79</v>
      </c>
    </row>
    <row r="1928" spans="1:7" x14ac:dyDescent="0.2">
      <c r="A1928" s="2">
        <v>45880</v>
      </c>
      <c r="B1928" t="s">
        <v>2484</v>
      </c>
      <c r="C1928" t="s">
        <v>1</v>
      </c>
      <c r="D1928" t="s">
        <v>3</v>
      </c>
      <c r="E1928">
        <v>1</v>
      </c>
      <c r="F1928" t="s">
        <v>4027</v>
      </c>
      <c r="G1928">
        <v>87</v>
      </c>
    </row>
    <row r="1929" spans="1:7" x14ac:dyDescent="0.2">
      <c r="A1929" s="2">
        <v>45881</v>
      </c>
      <c r="B1929" t="s">
        <v>3530</v>
      </c>
      <c r="C1929" t="s">
        <v>2</v>
      </c>
      <c r="D1929" t="s">
        <v>4</v>
      </c>
      <c r="E1929">
        <v>1</v>
      </c>
      <c r="F1929" t="s">
        <v>600</v>
      </c>
      <c r="G1929">
        <v>22</v>
      </c>
    </row>
    <row r="1930" spans="1:7" x14ac:dyDescent="0.2">
      <c r="A1930" s="2">
        <v>45881</v>
      </c>
      <c r="B1930" t="s">
        <v>2486</v>
      </c>
      <c r="C1930" t="s">
        <v>1</v>
      </c>
      <c r="D1930" t="s">
        <v>3</v>
      </c>
      <c r="E1930">
        <v>1</v>
      </c>
      <c r="F1930" t="s">
        <v>4027</v>
      </c>
      <c r="G1930">
        <v>81</v>
      </c>
    </row>
    <row r="1931" spans="1:7" x14ac:dyDescent="0.2">
      <c r="A1931" s="2">
        <v>45881</v>
      </c>
      <c r="B1931" t="s">
        <v>2488</v>
      </c>
      <c r="C1931" t="s">
        <v>1</v>
      </c>
      <c r="D1931" t="s">
        <v>3</v>
      </c>
      <c r="E1931">
        <v>1</v>
      </c>
      <c r="F1931" t="s">
        <v>4027</v>
      </c>
      <c r="G1931">
        <v>61</v>
      </c>
    </row>
    <row r="1932" spans="1:7" x14ac:dyDescent="0.2">
      <c r="A1932" s="2">
        <v>45881</v>
      </c>
      <c r="B1932" t="s">
        <v>3529</v>
      </c>
      <c r="C1932" t="s">
        <v>2</v>
      </c>
      <c r="D1932" t="s">
        <v>4</v>
      </c>
      <c r="E1932">
        <v>1</v>
      </c>
      <c r="F1932" t="s">
        <v>600</v>
      </c>
      <c r="G1932">
        <v>22</v>
      </c>
    </row>
    <row r="1933" spans="1:7" x14ac:dyDescent="0.2">
      <c r="A1933" s="2">
        <v>45881</v>
      </c>
      <c r="B1933" t="s">
        <v>2487</v>
      </c>
      <c r="C1933" t="s">
        <v>1</v>
      </c>
      <c r="D1933" t="s">
        <v>3</v>
      </c>
      <c r="E1933">
        <v>1</v>
      </c>
      <c r="F1933" t="s">
        <v>4027</v>
      </c>
      <c r="G1933">
        <v>74</v>
      </c>
    </row>
    <row r="1934" spans="1:7" x14ac:dyDescent="0.2">
      <c r="A1934" s="2">
        <v>45881</v>
      </c>
      <c r="B1934" t="s">
        <v>3531</v>
      </c>
      <c r="C1934" t="s">
        <v>2</v>
      </c>
      <c r="D1934" t="s">
        <v>4</v>
      </c>
      <c r="E1934">
        <v>1</v>
      </c>
      <c r="F1934" t="s">
        <v>600</v>
      </c>
      <c r="G1934">
        <v>22</v>
      </c>
    </row>
    <row r="1935" spans="1:7" x14ac:dyDescent="0.2">
      <c r="A1935" s="2">
        <v>45881</v>
      </c>
      <c r="B1935" t="s">
        <v>3532</v>
      </c>
      <c r="C1935" t="s">
        <v>2</v>
      </c>
      <c r="D1935" t="s">
        <v>4</v>
      </c>
      <c r="E1935">
        <v>1</v>
      </c>
      <c r="F1935" t="s">
        <v>600</v>
      </c>
      <c r="G1935">
        <v>22</v>
      </c>
    </row>
    <row r="1936" spans="1:7" x14ac:dyDescent="0.2">
      <c r="A1936" s="2">
        <v>45882</v>
      </c>
      <c r="B1936" t="s">
        <v>2491</v>
      </c>
      <c r="C1936" t="s">
        <v>1</v>
      </c>
      <c r="D1936" t="s">
        <v>3</v>
      </c>
      <c r="E1936">
        <v>1</v>
      </c>
      <c r="F1936" t="s">
        <v>4027</v>
      </c>
      <c r="G1936">
        <v>65</v>
      </c>
    </row>
    <row r="1937" spans="1:7" x14ac:dyDescent="0.2">
      <c r="A1937" s="2">
        <v>45882</v>
      </c>
      <c r="B1937" t="s">
        <v>3533</v>
      </c>
      <c r="C1937" t="s">
        <v>2</v>
      </c>
      <c r="D1937" t="s">
        <v>4</v>
      </c>
      <c r="E1937">
        <v>1</v>
      </c>
      <c r="F1937" t="s">
        <v>600</v>
      </c>
      <c r="G1937">
        <v>22</v>
      </c>
    </row>
    <row r="1938" spans="1:7" x14ac:dyDescent="0.2">
      <c r="A1938" s="2">
        <v>45882</v>
      </c>
      <c r="B1938" t="s">
        <v>3534</v>
      </c>
      <c r="C1938" t="s">
        <v>2</v>
      </c>
      <c r="D1938" t="s">
        <v>4</v>
      </c>
      <c r="E1938">
        <v>1</v>
      </c>
      <c r="F1938" t="s">
        <v>600</v>
      </c>
      <c r="G1938">
        <v>22</v>
      </c>
    </row>
    <row r="1939" spans="1:7" x14ac:dyDescent="0.2">
      <c r="A1939" s="2">
        <v>45882</v>
      </c>
      <c r="B1939" t="s">
        <v>3535</v>
      </c>
      <c r="C1939" t="s">
        <v>2</v>
      </c>
      <c r="D1939" t="s">
        <v>4</v>
      </c>
      <c r="E1939">
        <v>1</v>
      </c>
      <c r="F1939" t="s">
        <v>600</v>
      </c>
      <c r="G1939">
        <v>22</v>
      </c>
    </row>
    <row r="1940" spans="1:7" x14ac:dyDescent="0.2">
      <c r="A1940" s="2">
        <v>45882</v>
      </c>
      <c r="B1940" t="s">
        <v>3536</v>
      </c>
      <c r="C1940" t="s">
        <v>2</v>
      </c>
      <c r="D1940" t="s">
        <v>4</v>
      </c>
      <c r="E1940">
        <v>1</v>
      </c>
      <c r="F1940" t="s">
        <v>600</v>
      </c>
      <c r="G1940">
        <v>22</v>
      </c>
    </row>
    <row r="1941" spans="1:7" x14ac:dyDescent="0.2">
      <c r="A1941" s="2">
        <v>45882</v>
      </c>
      <c r="B1941" t="s">
        <v>3537</v>
      </c>
      <c r="C1941" t="s">
        <v>2</v>
      </c>
      <c r="D1941" t="s">
        <v>4</v>
      </c>
      <c r="E1941">
        <v>1</v>
      </c>
      <c r="F1941" t="s">
        <v>600</v>
      </c>
      <c r="G1941">
        <v>22</v>
      </c>
    </row>
    <row r="1942" spans="1:7" x14ac:dyDescent="0.2">
      <c r="A1942" s="2">
        <v>45882</v>
      </c>
      <c r="B1942" t="s">
        <v>2490</v>
      </c>
      <c r="C1942" t="s">
        <v>1</v>
      </c>
      <c r="D1942" t="s">
        <v>3</v>
      </c>
      <c r="E1942">
        <v>1</v>
      </c>
      <c r="F1942" t="s">
        <v>4027</v>
      </c>
      <c r="G1942">
        <v>62</v>
      </c>
    </row>
    <row r="1943" spans="1:7" x14ac:dyDescent="0.2">
      <c r="A1943" s="2">
        <v>45882</v>
      </c>
      <c r="B1943" t="s">
        <v>2489</v>
      </c>
      <c r="C1943" t="s">
        <v>1</v>
      </c>
      <c r="D1943" t="s">
        <v>3</v>
      </c>
      <c r="E1943">
        <v>1</v>
      </c>
      <c r="F1943" t="s">
        <v>4027</v>
      </c>
      <c r="G1943">
        <v>75</v>
      </c>
    </row>
    <row r="1944" spans="1:7" x14ac:dyDescent="0.2">
      <c r="A1944" s="2">
        <v>45883</v>
      </c>
      <c r="B1944" t="s">
        <v>3545</v>
      </c>
      <c r="C1944" t="s">
        <v>2</v>
      </c>
      <c r="D1944" t="s">
        <v>4</v>
      </c>
      <c r="E1944">
        <v>1</v>
      </c>
      <c r="F1944" t="s">
        <v>600</v>
      </c>
      <c r="G1944">
        <v>22</v>
      </c>
    </row>
    <row r="1945" spans="1:7" x14ac:dyDescent="0.2">
      <c r="A1945" s="2">
        <v>45883</v>
      </c>
      <c r="B1945" t="s">
        <v>3546</v>
      </c>
      <c r="C1945" t="s">
        <v>2</v>
      </c>
      <c r="D1945" t="s">
        <v>4</v>
      </c>
      <c r="E1945">
        <v>1</v>
      </c>
      <c r="F1945" t="s">
        <v>600</v>
      </c>
      <c r="G1945">
        <v>22</v>
      </c>
    </row>
    <row r="1946" spans="1:7" x14ac:dyDescent="0.2">
      <c r="A1946" s="2">
        <v>45883</v>
      </c>
      <c r="B1946" t="s">
        <v>3541</v>
      </c>
      <c r="C1946" t="s">
        <v>2</v>
      </c>
      <c r="D1946" t="s">
        <v>4</v>
      </c>
      <c r="E1946">
        <v>1</v>
      </c>
      <c r="F1946" t="s">
        <v>600</v>
      </c>
      <c r="G1946">
        <v>22</v>
      </c>
    </row>
    <row r="1947" spans="1:7" x14ac:dyDescent="0.2">
      <c r="A1947" s="2">
        <v>45883</v>
      </c>
      <c r="B1947" t="s">
        <v>3542</v>
      </c>
      <c r="C1947" t="s">
        <v>2</v>
      </c>
      <c r="D1947" t="s">
        <v>4</v>
      </c>
      <c r="E1947">
        <v>1</v>
      </c>
      <c r="F1947" t="s">
        <v>600</v>
      </c>
      <c r="G1947">
        <v>22</v>
      </c>
    </row>
    <row r="1948" spans="1:7" x14ac:dyDescent="0.2">
      <c r="A1948" s="2">
        <v>45883</v>
      </c>
      <c r="B1948" t="s">
        <v>3538</v>
      </c>
      <c r="C1948" t="s">
        <v>2</v>
      </c>
      <c r="D1948" t="s">
        <v>4</v>
      </c>
      <c r="E1948">
        <v>1</v>
      </c>
      <c r="F1948" t="s">
        <v>600</v>
      </c>
      <c r="G1948">
        <v>22</v>
      </c>
    </row>
    <row r="1949" spans="1:7" x14ac:dyDescent="0.2">
      <c r="A1949" s="2">
        <v>45883</v>
      </c>
      <c r="B1949" t="s">
        <v>3539</v>
      </c>
      <c r="C1949" t="s">
        <v>2</v>
      </c>
      <c r="D1949" t="s">
        <v>4</v>
      </c>
      <c r="E1949">
        <v>1</v>
      </c>
      <c r="F1949" t="s">
        <v>600</v>
      </c>
      <c r="G1949">
        <v>22</v>
      </c>
    </row>
    <row r="1950" spans="1:7" x14ac:dyDescent="0.2">
      <c r="A1950" s="2">
        <v>45883</v>
      </c>
      <c r="B1950" t="s">
        <v>3540</v>
      </c>
      <c r="C1950" t="s">
        <v>2</v>
      </c>
      <c r="D1950" t="s">
        <v>4</v>
      </c>
      <c r="E1950">
        <v>1</v>
      </c>
      <c r="F1950" t="s">
        <v>600</v>
      </c>
      <c r="G1950">
        <v>22</v>
      </c>
    </row>
    <row r="1951" spans="1:7" x14ac:dyDescent="0.2">
      <c r="A1951" s="2">
        <v>45883</v>
      </c>
      <c r="B1951" t="s">
        <v>3543</v>
      </c>
      <c r="C1951" t="s">
        <v>2</v>
      </c>
      <c r="D1951" t="s">
        <v>4</v>
      </c>
      <c r="E1951">
        <v>1</v>
      </c>
      <c r="F1951" t="s">
        <v>600</v>
      </c>
      <c r="G1951">
        <v>22</v>
      </c>
    </row>
    <row r="1952" spans="1:7" x14ac:dyDescent="0.2">
      <c r="A1952" s="2">
        <v>45883</v>
      </c>
      <c r="B1952" t="s">
        <v>3544</v>
      </c>
      <c r="C1952" t="s">
        <v>2</v>
      </c>
      <c r="D1952" t="s">
        <v>4</v>
      </c>
      <c r="E1952">
        <v>1</v>
      </c>
      <c r="F1952" t="s">
        <v>600</v>
      </c>
      <c r="G1952">
        <v>22</v>
      </c>
    </row>
    <row r="1953" spans="1:7" x14ac:dyDescent="0.2">
      <c r="A1953" s="2">
        <v>45883</v>
      </c>
      <c r="B1953" t="s">
        <v>2496</v>
      </c>
      <c r="C1953" t="s">
        <v>1</v>
      </c>
      <c r="D1953" t="s">
        <v>3</v>
      </c>
      <c r="E1953">
        <v>1</v>
      </c>
      <c r="F1953" t="s">
        <v>4027</v>
      </c>
      <c r="G1953">
        <v>73</v>
      </c>
    </row>
    <row r="1954" spans="1:7" x14ac:dyDescent="0.2">
      <c r="A1954" s="2">
        <v>45883</v>
      </c>
      <c r="B1954" t="s">
        <v>2493</v>
      </c>
      <c r="C1954" t="s">
        <v>1</v>
      </c>
      <c r="D1954" t="s">
        <v>3</v>
      </c>
      <c r="E1954">
        <v>1</v>
      </c>
      <c r="F1954" t="s">
        <v>4027</v>
      </c>
      <c r="G1954">
        <v>73</v>
      </c>
    </row>
    <row r="1955" spans="1:7" x14ac:dyDescent="0.2">
      <c r="A1955" s="2">
        <v>45883</v>
      </c>
      <c r="B1955" t="s">
        <v>2495</v>
      </c>
      <c r="C1955" t="s">
        <v>1</v>
      </c>
      <c r="D1955" t="s">
        <v>3</v>
      </c>
      <c r="E1955">
        <v>1</v>
      </c>
      <c r="F1955" t="s">
        <v>4027</v>
      </c>
      <c r="G1955">
        <v>75</v>
      </c>
    </row>
    <row r="1956" spans="1:7" x14ac:dyDescent="0.2">
      <c r="A1956" s="2">
        <v>45883</v>
      </c>
      <c r="B1956" t="s">
        <v>2494</v>
      </c>
      <c r="C1956" t="s">
        <v>1</v>
      </c>
      <c r="D1956" t="s">
        <v>3</v>
      </c>
      <c r="E1956">
        <v>1</v>
      </c>
      <c r="F1956" t="s">
        <v>4027</v>
      </c>
      <c r="G1956">
        <v>70</v>
      </c>
    </row>
    <row r="1957" spans="1:7" x14ac:dyDescent="0.2">
      <c r="A1957" s="2">
        <v>45883</v>
      </c>
      <c r="B1957" t="s">
        <v>2492</v>
      </c>
      <c r="C1957" t="s">
        <v>1</v>
      </c>
      <c r="D1957" t="s">
        <v>3</v>
      </c>
      <c r="E1957">
        <v>1</v>
      </c>
      <c r="F1957" t="s">
        <v>4027</v>
      </c>
      <c r="G1957">
        <v>66</v>
      </c>
    </row>
    <row r="1958" spans="1:7" x14ac:dyDescent="0.2">
      <c r="A1958" s="2">
        <v>45884</v>
      </c>
      <c r="B1958" t="s">
        <v>3554</v>
      </c>
      <c r="C1958" t="s">
        <v>2</v>
      </c>
      <c r="D1958" t="s">
        <v>4</v>
      </c>
      <c r="E1958">
        <v>1</v>
      </c>
      <c r="F1958" t="s">
        <v>600</v>
      </c>
      <c r="G1958">
        <v>22</v>
      </c>
    </row>
    <row r="1959" spans="1:7" x14ac:dyDescent="0.2">
      <c r="A1959" s="2">
        <v>45884</v>
      </c>
      <c r="B1959" t="s">
        <v>3553</v>
      </c>
      <c r="C1959" t="s">
        <v>2</v>
      </c>
      <c r="D1959" t="s">
        <v>4</v>
      </c>
      <c r="E1959">
        <v>1</v>
      </c>
      <c r="F1959" t="s">
        <v>600</v>
      </c>
      <c r="G1959">
        <v>22</v>
      </c>
    </row>
    <row r="1960" spans="1:7" x14ac:dyDescent="0.2">
      <c r="A1960" s="2">
        <v>45884</v>
      </c>
      <c r="B1960" t="s">
        <v>3552</v>
      </c>
      <c r="C1960" t="s">
        <v>2</v>
      </c>
      <c r="D1960" t="s">
        <v>4</v>
      </c>
      <c r="E1960">
        <v>1</v>
      </c>
      <c r="F1960" t="s">
        <v>600</v>
      </c>
      <c r="G1960">
        <v>22</v>
      </c>
    </row>
    <row r="1961" spans="1:7" x14ac:dyDescent="0.2">
      <c r="A1961" s="2">
        <v>45884</v>
      </c>
      <c r="B1961" t="s">
        <v>3551</v>
      </c>
      <c r="C1961" t="s">
        <v>2</v>
      </c>
      <c r="D1961" t="s">
        <v>4</v>
      </c>
      <c r="E1961">
        <v>1</v>
      </c>
      <c r="F1961" t="s">
        <v>600</v>
      </c>
      <c r="G1961">
        <v>22</v>
      </c>
    </row>
    <row r="1962" spans="1:7" x14ac:dyDescent="0.2">
      <c r="A1962" s="2">
        <v>45884</v>
      </c>
      <c r="B1962" t="s">
        <v>3550</v>
      </c>
      <c r="C1962" t="s">
        <v>2</v>
      </c>
      <c r="D1962" t="s">
        <v>4</v>
      </c>
      <c r="E1962">
        <v>1</v>
      </c>
      <c r="F1962" t="s">
        <v>600</v>
      </c>
      <c r="G1962">
        <v>22</v>
      </c>
    </row>
    <row r="1963" spans="1:7" x14ac:dyDescent="0.2">
      <c r="A1963" s="2">
        <v>45884</v>
      </c>
      <c r="B1963" t="s">
        <v>3549</v>
      </c>
      <c r="C1963" t="s">
        <v>2</v>
      </c>
      <c r="D1963" t="s">
        <v>4</v>
      </c>
      <c r="E1963">
        <v>1</v>
      </c>
      <c r="F1963" t="s">
        <v>600</v>
      </c>
      <c r="G1963">
        <v>22</v>
      </c>
    </row>
    <row r="1964" spans="1:7" x14ac:dyDescent="0.2">
      <c r="A1964" s="2">
        <v>45884</v>
      </c>
      <c r="B1964" t="s">
        <v>3547</v>
      </c>
      <c r="C1964" t="s">
        <v>2</v>
      </c>
      <c r="D1964" t="s">
        <v>4</v>
      </c>
      <c r="E1964">
        <v>1</v>
      </c>
      <c r="F1964" t="s">
        <v>600</v>
      </c>
      <c r="G1964">
        <v>22</v>
      </c>
    </row>
    <row r="1965" spans="1:7" x14ac:dyDescent="0.2">
      <c r="A1965" s="2">
        <v>45884</v>
      </c>
      <c r="B1965" t="s">
        <v>3548</v>
      </c>
      <c r="C1965" t="s">
        <v>2</v>
      </c>
      <c r="D1965" t="s">
        <v>4</v>
      </c>
      <c r="E1965">
        <v>1</v>
      </c>
      <c r="F1965" t="s">
        <v>600</v>
      </c>
      <c r="G1965">
        <v>22</v>
      </c>
    </row>
    <row r="1966" spans="1:7" x14ac:dyDescent="0.2">
      <c r="A1966" s="2">
        <v>45884</v>
      </c>
      <c r="B1966" t="s">
        <v>2497</v>
      </c>
      <c r="C1966" t="s">
        <v>1</v>
      </c>
      <c r="D1966" t="s">
        <v>3</v>
      </c>
      <c r="E1966">
        <v>1</v>
      </c>
      <c r="F1966" t="s">
        <v>4027</v>
      </c>
      <c r="G1966">
        <v>88</v>
      </c>
    </row>
    <row r="1967" spans="1:7" x14ac:dyDescent="0.2">
      <c r="A1967" s="2">
        <v>45884</v>
      </c>
      <c r="B1967" t="s">
        <v>2498</v>
      </c>
      <c r="C1967" t="s">
        <v>1</v>
      </c>
      <c r="D1967" t="s">
        <v>3</v>
      </c>
      <c r="E1967">
        <v>1</v>
      </c>
      <c r="F1967" t="s">
        <v>4027</v>
      </c>
      <c r="G1967">
        <v>84</v>
      </c>
    </row>
    <row r="1968" spans="1:7" x14ac:dyDescent="0.2">
      <c r="A1968" s="2">
        <v>45884</v>
      </c>
      <c r="B1968" t="s">
        <v>2499</v>
      </c>
      <c r="C1968" t="s">
        <v>1</v>
      </c>
      <c r="D1968" t="s">
        <v>3</v>
      </c>
      <c r="E1968">
        <v>1</v>
      </c>
      <c r="F1968" t="s">
        <v>4027</v>
      </c>
      <c r="G1968">
        <v>85</v>
      </c>
    </row>
    <row r="1969" spans="1:7" x14ac:dyDescent="0.2">
      <c r="A1969" s="2">
        <v>45884</v>
      </c>
      <c r="B1969" t="s">
        <v>2500</v>
      </c>
      <c r="C1969" t="s">
        <v>1</v>
      </c>
      <c r="D1969" t="s">
        <v>3</v>
      </c>
      <c r="E1969">
        <v>1</v>
      </c>
      <c r="F1969" t="s">
        <v>4027</v>
      </c>
      <c r="G1969">
        <v>81</v>
      </c>
    </row>
    <row r="1970" spans="1:7" x14ac:dyDescent="0.2">
      <c r="A1970" s="2">
        <v>45884</v>
      </c>
      <c r="B1970" t="s">
        <v>2501</v>
      </c>
      <c r="C1970" t="s">
        <v>1</v>
      </c>
      <c r="D1970" t="s">
        <v>3</v>
      </c>
      <c r="E1970">
        <v>1</v>
      </c>
      <c r="F1970" t="s">
        <v>4027</v>
      </c>
      <c r="G1970">
        <v>85</v>
      </c>
    </row>
    <row r="1971" spans="1:7" x14ac:dyDescent="0.2">
      <c r="A1971" s="2">
        <v>45884</v>
      </c>
      <c r="B1971" t="s">
        <v>2502</v>
      </c>
      <c r="C1971" t="s">
        <v>1</v>
      </c>
      <c r="D1971" t="s">
        <v>3</v>
      </c>
      <c r="E1971">
        <v>1</v>
      </c>
      <c r="F1971" t="s">
        <v>4027</v>
      </c>
      <c r="G1971">
        <v>71</v>
      </c>
    </row>
    <row r="1972" spans="1:7" x14ac:dyDescent="0.2">
      <c r="A1972" s="2">
        <v>45884</v>
      </c>
      <c r="B1972" t="s">
        <v>2503</v>
      </c>
      <c r="C1972" t="s">
        <v>1</v>
      </c>
      <c r="D1972" t="s">
        <v>3</v>
      </c>
      <c r="E1972">
        <v>1</v>
      </c>
      <c r="F1972" t="s">
        <v>4027</v>
      </c>
      <c r="G1972">
        <v>83</v>
      </c>
    </row>
    <row r="1973" spans="1:7" x14ac:dyDescent="0.2">
      <c r="A1973" s="2">
        <v>45884</v>
      </c>
      <c r="B1973" t="s">
        <v>3555</v>
      </c>
      <c r="C1973" t="s">
        <v>2</v>
      </c>
      <c r="D1973" t="s">
        <v>4</v>
      </c>
      <c r="E1973">
        <v>1</v>
      </c>
      <c r="F1973" t="s">
        <v>600</v>
      </c>
      <c r="G1973">
        <v>22</v>
      </c>
    </row>
    <row r="1974" spans="1:7" x14ac:dyDescent="0.2">
      <c r="A1974" s="2">
        <v>45887</v>
      </c>
      <c r="B1974" t="s">
        <v>2505</v>
      </c>
      <c r="C1974" t="s">
        <v>1</v>
      </c>
      <c r="D1974" t="s">
        <v>3</v>
      </c>
      <c r="E1974">
        <v>1</v>
      </c>
      <c r="F1974" t="s">
        <v>4027</v>
      </c>
      <c r="G1974">
        <v>63</v>
      </c>
    </row>
    <row r="1975" spans="1:7" x14ac:dyDescent="0.2">
      <c r="A1975" s="2">
        <v>45887</v>
      </c>
      <c r="B1975" t="s">
        <v>3556</v>
      </c>
      <c r="C1975" t="s">
        <v>2</v>
      </c>
      <c r="D1975" t="s">
        <v>4</v>
      </c>
      <c r="E1975">
        <v>1</v>
      </c>
      <c r="F1975" t="s">
        <v>600</v>
      </c>
      <c r="G1975">
        <v>22</v>
      </c>
    </row>
    <row r="1976" spans="1:7" x14ac:dyDescent="0.2">
      <c r="A1976" s="2">
        <v>45887</v>
      </c>
      <c r="B1976" t="s">
        <v>2504</v>
      </c>
      <c r="C1976" t="s">
        <v>1</v>
      </c>
      <c r="D1976" t="s">
        <v>3</v>
      </c>
      <c r="E1976">
        <v>1</v>
      </c>
      <c r="F1976" t="s">
        <v>4027</v>
      </c>
      <c r="G1976">
        <v>64</v>
      </c>
    </row>
    <row r="1977" spans="1:7" x14ac:dyDescent="0.2">
      <c r="A1977" s="2">
        <v>45887</v>
      </c>
      <c r="B1977" t="s">
        <v>3558</v>
      </c>
      <c r="C1977" t="s">
        <v>2</v>
      </c>
      <c r="D1977" t="s">
        <v>4</v>
      </c>
      <c r="E1977">
        <v>1</v>
      </c>
      <c r="F1977" t="s">
        <v>600</v>
      </c>
      <c r="G1977">
        <v>22</v>
      </c>
    </row>
    <row r="1978" spans="1:7" x14ac:dyDescent="0.2">
      <c r="A1978" s="2">
        <v>45887</v>
      </c>
      <c r="B1978" t="s">
        <v>2509</v>
      </c>
      <c r="C1978" t="s">
        <v>1</v>
      </c>
      <c r="D1978" t="s">
        <v>3</v>
      </c>
      <c r="E1978">
        <v>1</v>
      </c>
      <c r="F1978" t="s">
        <v>4027</v>
      </c>
      <c r="G1978">
        <v>80</v>
      </c>
    </row>
    <row r="1979" spans="1:7" x14ac:dyDescent="0.2">
      <c r="A1979" s="2">
        <v>45887</v>
      </c>
      <c r="B1979" t="s">
        <v>2508</v>
      </c>
      <c r="C1979" t="s">
        <v>1</v>
      </c>
      <c r="D1979" t="s">
        <v>3</v>
      </c>
      <c r="E1979">
        <v>1</v>
      </c>
      <c r="F1979" t="s">
        <v>4027</v>
      </c>
      <c r="G1979">
        <v>77</v>
      </c>
    </row>
    <row r="1980" spans="1:7" x14ac:dyDescent="0.2">
      <c r="A1980" s="2">
        <v>45887</v>
      </c>
      <c r="B1980" t="s">
        <v>2507</v>
      </c>
      <c r="C1980" t="s">
        <v>1</v>
      </c>
      <c r="D1980" t="s">
        <v>3</v>
      </c>
      <c r="E1980">
        <v>1</v>
      </c>
      <c r="F1980" t="s">
        <v>4027</v>
      </c>
      <c r="G1980">
        <v>68</v>
      </c>
    </row>
    <row r="1981" spans="1:7" x14ac:dyDescent="0.2">
      <c r="A1981" s="2">
        <v>45887</v>
      </c>
      <c r="B1981" t="s">
        <v>2506</v>
      </c>
      <c r="C1981" t="s">
        <v>1</v>
      </c>
      <c r="D1981" t="s">
        <v>3</v>
      </c>
      <c r="E1981">
        <v>1</v>
      </c>
      <c r="F1981" t="s">
        <v>4027</v>
      </c>
      <c r="G1981">
        <v>88</v>
      </c>
    </row>
    <row r="1982" spans="1:7" x14ac:dyDescent="0.2">
      <c r="A1982" s="2">
        <v>45887</v>
      </c>
      <c r="B1982" t="s">
        <v>3557</v>
      </c>
      <c r="C1982" t="s">
        <v>2</v>
      </c>
      <c r="D1982" t="s">
        <v>4</v>
      </c>
      <c r="E1982">
        <v>1</v>
      </c>
      <c r="F1982" t="s">
        <v>600</v>
      </c>
      <c r="G1982">
        <v>22</v>
      </c>
    </row>
    <row r="1983" spans="1:7" x14ac:dyDescent="0.2">
      <c r="A1983" s="2">
        <v>45888</v>
      </c>
      <c r="B1983" t="s">
        <v>3559</v>
      </c>
      <c r="C1983" t="s">
        <v>2</v>
      </c>
      <c r="D1983" t="s">
        <v>4</v>
      </c>
      <c r="E1983">
        <v>1</v>
      </c>
      <c r="F1983" t="s">
        <v>600</v>
      </c>
      <c r="G1983">
        <v>22</v>
      </c>
    </row>
    <row r="1984" spans="1:7" x14ac:dyDescent="0.2">
      <c r="A1984" s="2">
        <v>45888</v>
      </c>
      <c r="B1984" t="s">
        <v>2515</v>
      </c>
      <c r="C1984" t="s">
        <v>1</v>
      </c>
      <c r="D1984" t="s">
        <v>3</v>
      </c>
      <c r="E1984">
        <v>1</v>
      </c>
      <c r="F1984" t="s">
        <v>4027</v>
      </c>
      <c r="G1984">
        <v>62</v>
      </c>
    </row>
    <row r="1985" spans="1:7" x14ac:dyDescent="0.2">
      <c r="A1985" s="2">
        <v>45888</v>
      </c>
      <c r="B1985" t="s">
        <v>2514</v>
      </c>
      <c r="C1985" t="s">
        <v>1</v>
      </c>
      <c r="D1985" t="s">
        <v>3</v>
      </c>
      <c r="E1985">
        <v>1</v>
      </c>
      <c r="F1985" t="s">
        <v>4027</v>
      </c>
      <c r="G1985">
        <v>70</v>
      </c>
    </row>
    <row r="1986" spans="1:7" x14ac:dyDescent="0.2">
      <c r="A1986" s="2">
        <v>45888</v>
      </c>
      <c r="B1986" t="s">
        <v>2513</v>
      </c>
      <c r="C1986" t="s">
        <v>1</v>
      </c>
      <c r="D1986" t="s">
        <v>3</v>
      </c>
      <c r="E1986">
        <v>1</v>
      </c>
      <c r="F1986" t="s">
        <v>4027</v>
      </c>
      <c r="G1986">
        <v>60</v>
      </c>
    </row>
    <row r="1987" spans="1:7" x14ac:dyDescent="0.2">
      <c r="A1987" s="2">
        <v>45888</v>
      </c>
      <c r="B1987" t="s">
        <v>2512</v>
      </c>
      <c r="C1987" t="s">
        <v>1</v>
      </c>
      <c r="D1987" t="s">
        <v>3</v>
      </c>
      <c r="E1987">
        <v>1</v>
      </c>
      <c r="F1987" t="s">
        <v>4027</v>
      </c>
      <c r="G1987">
        <v>69</v>
      </c>
    </row>
    <row r="1988" spans="1:7" x14ac:dyDescent="0.2">
      <c r="A1988" s="2">
        <v>45888</v>
      </c>
      <c r="B1988" t="s">
        <v>2511</v>
      </c>
      <c r="C1988" t="s">
        <v>1</v>
      </c>
      <c r="D1988" t="s">
        <v>3</v>
      </c>
      <c r="E1988">
        <v>1</v>
      </c>
      <c r="F1988" t="s">
        <v>4027</v>
      </c>
      <c r="G1988">
        <v>75</v>
      </c>
    </row>
    <row r="1989" spans="1:7" x14ac:dyDescent="0.2">
      <c r="A1989" s="2">
        <v>45888</v>
      </c>
      <c r="B1989" t="s">
        <v>2510</v>
      </c>
      <c r="C1989" t="s">
        <v>1</v>
      </c>
      <c r="D1989" t="s">
        <v>3</v>
      </c>
      <c r="E1989">
        <v>1</v>
      </c>
      <c r="F1989" t="s">
        <v>4027</v>
      </c>
      <c r="G1989">
        <v>64</v>
      </c>
    </row>
    <row r="1990" spans="1:7" x14ac:dyDescent="0.2">
      <c r="A1990" s="2">
        <v>45888</v>
      </c>
      <c r="B1990" t="s">
        <v>3560</v>
      </c>
      <c r="C1990" t="s">
        <v>2</v>
      </c>
      <c r="D1990" t="s">
        <v>4</v>
      </c>
      <c r="E1990">
        <v>1</v>
      </c>
      <c r="F1990" t="s">
        <v>600</v>
      </c>
      <c r="G1990">
        <v>22</v>
      </c>
    </row>
    <row r="1991" spans="1:7" x14ac:dyDescent="0.2">
      <c r="A1991" s="2">
        <v>45889</v>
      </c>
      <c r="B1991" t="s">
        <v>2516</v>
      </c>
      <c r="C1991" t="s">
        <v>1</v>
      </c>
      <c r="D1991" t="s">
        <v>3</v>
      </c>
      <c r="E1991">
        <v>1</v>
      </c>
      <c r="F1991" t="s">
        <v>4027</v>
      </c>
      <c r="G1991">
        <v>84</v>
      </c>
    </row>
    <row r="1992" spans="1:7" x14ac:dyDescent="0.2">
      <c r="A1992" s="2">
        <v>45889</v>
      </c>
      <c r="B1992" t="s">
        <v>2519</v>
      </c>
      <c r="C1992" t="s">
        <v>1</v>
      </c>
      <c r="D1992" t="s">
        <v>3</v>
      </c>
      <c r="E1992">
        <v>1</v>
      </c>
      <c r="F1992" t="s">
        <v>4027</v>
      </c>
      <c r="G1992">
        <v>70</v>
      </c>
    </row>
    <row r="1993" spans="1:7" x14ac:dyDescent="0.2">
      <c r="A1993" s="2">
        <v>45889</v>
      </c>
      <c r="B1993" t="s">
        <v>2518</v>
      </c>
      <c r="C1993" t="s">
        <v>1</v>
      </c>
      <c r="D1993" t="s">
        <v>3</v>
      </c>
      <c r="E1993">
        <v>1</v>
      </c>
      <c r="F1993" t="s">
        <v>4027</v>
      </c>
      <c r="G1993">
        <v>62</v>
      </c>
    </row>
    <row r="1994" spans="1:7" x14ac:dyDescent="0.2">
      <c r="A1994" s="2">
        <v>45889</v>
      </c>
      <c r="B1994" t="s">
        <v>2517</v>
      </c>
      <c r="C1994" t="s">
        <v>1</v>
      </c>
      <c r="D1994" t="s">
        <v>3</v>
      </c>
      <c r="E1994">
        <v>1</v>
      </c>
      <c r="F1994" t="s">
        <v>4027</v>
      </c>
      <c r="G1994">
        <v>66</v>
      </c>
    </row>
    <row r="1995" spans="1:7" x14ac:dyDescent="0.2">
      <c r="A1995" s="2">
        <v>45890</v>
      </c>
      <c r="B1995" t="s">
        <v>2526</v>
      </c>
      <c r="C1995" t="s">
        <v>1</v>
      </c>
      <c r="D1995" t="s">
        <v>3</v>
      </c>
      <c r="E1995">
        <v>1</v>
      </c>
      <c r="F1995" t="s">
        <v>4027</v>
      </c>
      <c r="G1995">
        <v>86</v>
      </c>
    </row>
    <row r="1996" spans="1:7" x14ac:dyDescent="0.2">
      <c r="A1996" s="2">
        <v>45890</v>
      </c>
      <c r="B1996" t="s">
        <v>2524</v>
      </c>
      <c r="C1996" t="s">
        <v>1</v>
      </c>
      <c r="D1996" t="s">
        <v>3</v>
      </c>
      <c r="E1996">
        <v>1</v>
      </c>
      <c r="F1996" t="s">
        <v>4027</v>
      </c>
      <c r="G1996">
        <v>86</v>
      </c>
    </row>
    <row r="1997" spans="1:7" x14ac:dyDescent="0.2">
      <c r="A1997" s="2">
        <v>45890</v>
      </c>
      <c r="B1997" t="s">
        <v>2523</v>
      </c>
      <c r="C1997" t="s">
        <v>1</v>
      </c>
      <c r="D1997" t="s">
        <v>3</v>
      </c>
      <c r="E1997">
        <v>1</v>
      </c>
      <c r="F1997" t="s">
        <v>4027</v>
      </c>
      <c r="G1997">
        <v>81</v>
      </c>
    </row>
    <row r="1998" spans="1:7" x14ac:dyDescent="0.2">
      <c r="A1998" s="2">
        <v>45890</v>
      </c>
      <c r="B1998" t="s">
        <v>2522</v>
      </c>
      <c r="C1998" t="s">
        <v>1</v>
      </c>
      <c r="D1998" t="s">
        <v>3</v>
      </c>
      <c r="E1998">
        <v>1</v>
      </c>
      <c r="F1998" t="s">
        <v>4027</v>
      </c>
      <c r="G1998">
        <v>67</v>
      </c>
    </row>
    <row r="1999" spans="1:7" x14ac:dyDescent="0.2">
      <c r="A1999" s="2">
        <v>45890</v>
      </c>
      <c r="B1999" t="s">
        <v>2521</v>
      </c>
      <c r="C1999" t="s">
        <v>1</v>
      </c>
      <c r="D1999" t="s">
        <v>3</v>
      </c>
      <c r="E1999">
        <v>1</v>
      </c>
      <c r="F1999" t="s">
        <v>4027</v>
      </c>
      <c r="G1999">
        <v>73</v>
      </c>
    </row>
    <row r="2000" spans="1:7" x14ac:dyDescent="0.2">
      <c r="A2000" s="2">
        <v>45890</v>
      </c>
      <c r="B2000" t="s">
        <v>2520</v>
      </c>
      <c r="C2000" t="s">
        <v>1</v>
      </c>
      <c r="D2000" t="s">
        <v>3</v>
      </c>
      <c r="E2000">
        <v>1</v>
      </c>
      <c r="F2000" t="s">
        <v>4027</v>
      </c>
      <c r="G2000">
        <v>87</v>
      </c>
    </row>
    <row r="2001" spans="1:7" x14ac:dyDescent="0.2">
      <c r="A2001" s="2">
        <v>45890</v>
      </c>
      <c r="B2001" t="s">
        <v>3561</v>
      </c>
      <c r="C2001" t="s">
        <v>2</v>
      </c>
      <c r="D2001" t="s">
        <v>4</v>
      </c>
      <c r="E2001">
        <v>1</v>
      </c>
      <c r="F2001" t="s">
        <v>600</v>
      </c>
      <c r="G2001">
        <v>22</v>
      </c>
    </row>
    <row r="2002" spans="1:7" x14ac:dyDescent="0.2">
      <c r="A2002" s="2">
        <v>45890</v>
      </c>
      <c r="B2002" t="s">
        <v>2525</v>
      </c>
      <c r="C2002" t="s">
        <v>1</v>
      </c>
      <c r="D2002" t="s">
        <v>3</v>
      </c>
      <c r="E2002">
        <v>1</v>
      </c>
      <c r="F2002" t="s">
        <v>4027</v>
      </c>
      <c r="G2002">
        <v>79</v>
      </c>
    </row>
    <row r="2003" spans="1:7" x14ac:dyDescent="0.2">
      <c r="A2003" s="2">
        <v>45891</v>
      </c>
      <c r="B2003" t="s">
        <v>2529</v>
      </c>
      <c r="C2003" t="s">
        <v>1</v>
      </c>
      <c r="D2003" t="s">
        <v>3</v>
      </c>
      <c r="E2003">
        <v>1</v>
      </c>
      <c r="F2003" t="s">
        <v>4027</v>
      </c>
      <c r="G2003">
        <v>76</v>
      </c>
    </row>
    <row r="2004" spans="1:7" x14ac:dyDescent="0.2">
      <c r="A2004" s="2">
        <v>45891</v>
      </c>
      <c r="B2004" t="s">
        <v>2528</v>
      </c>
      <c r="C2004" t="s">
        <v>1</v>
      </c>
      <c r="D2004" t="s">
        <v>3</v>
      </c>
      <c r="E2004">
        <v>1</v>
      </c>
      <c r="F2004" t="s">
        <v>4027</v>
      </c>
      <c r="G2004">
        <v>76</v>
      </c>
    </row>
    <row r="2005" spans="1:7" x14ac:dyDescent="0.2">
      <c r="A2005" s="2">
        <v>45891</v>
      </c>
      <c r="B2005" t="s">
        <v>2527</v>
      </c>
      <c r="C2005" t="s">
        <v>1</v>
      </c>
      <c r="D2005" t="s">
        <v>3</v>
      </c>
      <c r="E2005">
        <v>1</v>
      </c>
      <c r="F2005" t="s">
        <v>4027</v>
      </c>
      <c r="G2005">
        <v>68</v>
      </c>
    </row>
    <row r="2006" spans="1:7" x14ac:dyDescent="0.2">
      <c r="A2006" s="2">
        <v>45891</v>
      </c>
      <c r="B2006" t="s">
        <v>2530</v>
      </c>
      <c r="C2006" t="s">
        <v>1</v>
      </c>
      <c r="D2006" t="s">
        <v>3</v>
      </c>
      <c r="E2006">
        <v>1</v>
      </c>
      <c r="F2006" t="s">
        <v>4027</v>
      </c>
      <c r="G2006">
        <v>75</v>
      </c>
    </row>
    <row r="2007" spans="1:7" x14ac:dyDescent="0.2">
      <c r="A2007" s="2">
        <v>45891</v>
      </c>
      <c r="B2007" t="s">
        <v>2531</v>
      </c>
      <c r="C2007" t="s">
        <v>1</v>
      </c>
      <c r="D2007" t="s">
        <v>3</v>
      </c>
      <c r="E2007">
        <v>1</v>
      </c>
      <c r="F2007" t="s">
        <v>4027</v>
      </c>
      <c r="G2007">
        <v>63</v>
      </c>
    </row>
    <row r="2008" spans="1:7" x14ac:dyDescent="0.2">
      <c r="A2008" s="2">
        <v>45891</v>
      </c>
      <c r="B2008" t="s">
        <v>2532</v>
      </c>
      <c r="C2008" t="s">
        <v>1</v>
      </c>
      <c r="D2008" t="s">
        <v>3</v>
      </c>
      <c r="E2008">
        <v>1</v>
      </c>
      <c r="F2008" t="s">
        <v>4027</v>
      </c>
      <c r="G2008">
        <v>80</v>
      </c>
    </row>
    <row r="2009" spans="1:7" x14ac:dyDescent="0.2">
      <c r="A2009" s="2">
        <v>45891</v>
      </c>
      <c r="B2009" t="s">
        <v>2534</v>
      </c>
      <c r="C2009" t="s">
        <v>1</v>
      </c>
      <c r="D2009" t="s">
        <v>3</v>
      </c>
      <c r="E2009">
        <v>1</v>
      </c>
      <c r="F2009" t="s">
        <v>4027</v>
      </c>
      <c r="G2009">
        <v>71</v>
      </c>
    </row>
    <row r="2010" spans="1:7" x14ac:dyDescent="0.2">
      <c r="A2010" s="2">
        <v>45891</v>
      </c>
      <c r="B2010" t="s">
        <v>2533</v>
      </c>
      <c r="C2010" t="s">
        <v>1</v>
      </c>
      <c r="D2010" t="s">
        <v>3</v>
      </c>
      <c r="E2010">
        <v>1</v>
      </c>
      <c r="F2010" t="s">
        <v>4027</v>
      </c>
      <c r="G2010">
        <v>66</v>
      </c>
    </row>
    <row r="2011" spans="1:7" x14ac:dyDescent="0.2">
      <c r="A2011" s="2">
        <v>45892</v>
      </c>
      <c r="B2011" t="s">
        <v>2535</v>
      </c>
      <c r="C2011" t="s">
        <v>1</v>
      </c>
      <c r="D2011" t="s">
        <v>3</v>
      </c>
      <c r="E2011">
        <v>1</v>
      </c>
      <c r="F2011" t="s">
        <v>4027</v>
      </c>
      <c r="G2011">
        <v>62</v>
      </c>
    </row>
    <row r="2012" spans="1:7" x14ac:dyDescent="0.2">
      <c r="A2012" s="2">
        <v>45894</v>
      </c>
      <c r="B2012" t="s">
        <v>2540</v>
      </c>
      <c r="C2012" t="s">
        <v>1</v>
      </c>
      <c r="D2012" t="s">
        <v>3</v>
      </c>
      <c r="E2012">
        <v>1</v>
      </c>
      <c r="F2012" t="s">
        <v>4027</v>
      </c>
      <c r="G2012">
        <v>71</v>
      </c>
    </row>
    <row r="2013" spans="1:7" x14ac:dyDescent="0.2">
      <c r="A2013" s="2">
        <v>45894</v>
      </c>
      <c r="B2013" t="s">
        <v>2539</v>
      </c>
      <c r="C2013" t="s">
        <v>1</v>
      </c>
      <c r="D2013" t="s">
        <v>3</v>
      </c>
      <c r="E2013">
        <v>1</v>
      </c>
      <c r="F2013" t="s">
        <v>4027</v>
      </c>
      <c r="G2013">
        <v>71</v>
      </c>
    </row>
    <row r="2014" spans="1:7" x14ac:dyDescent="0.2">
      <c r="A2014" s="2">
        <v>45894</v>
      </c>
      <c r="B2014" t="s">
        <v>2538</v>
      </c>
      <c r="C2014" t="s">
        <v>1</v>
      </c>
      <c r="D2014" t="s">
        <v>3</v>
      </c>
      <c r="E2014">
        <v>1</v>
      </c>
      <c r="F2014" t="s">
        <v>4027</v>
      </c>
      <c r="G2014">
        <v>83</v>
      </c>
    </row>
    <row r="2015" spans="1:7" x14ac:dyDescent="0.2">
      <c r="A2015" s="2">
        <v>45894</v>
      </c>
      <c r="B2015" t="s">
        <v>2537</v>
      </c>
      <c r="C2015" t="s">
        <v>1</v>
      </c>
      <c r="D2015" t="s">
        <v>3</v>
      </c>
      <c r="E2015">
        <v>1</v>
      </c>
      <c r="F2015" t="s">
        <v>4027</v>
      </c>
      <c r="G2015">
        <v>72</v>
      </c>
    </row>
    <row r="2016" spans="1:7" x14ac:dyDescent="0.2">
      <c r="A2016" s="2">
        <v>45894</v>
      </c>
      <c r="B2016" t="s">
        <v>2536</v>
      </c>
      <c r="C2016" t="s">
        <v>1</v>
      </c>
      <c r="D2016" t="s">
        <v>3</v>
      </c>
      <c r="E2016">
        <v>1</v>
      </c>
      <c r="F2016" t="s">
        <v>4027</v>
      </c>
      <c r="G2016">
        <v>67</v>
      </c>
    </row>
    <row r="2017" spans="1:7" x14ac:dyDescent="0.2">
      <c r="A2017" s="2">
        <v>45894</v>
      </c>
      <c r="B2017" t="s">
        <v>3562</v>
      </c>
      <c r="C2017" t="s">
        <v>2</v>
      </c>
      <c r="D2017" t="s">
        <v>4</v>
      </c>
      <c r="E2017">
        <v>1</v>
      </c>
      <c r="F2017" t="s">
        <v>600</v>
      </c>
      <c r="G2017">
        <v>22</v>
      </c>
    </row>
    <row r="2018" spans="1:7" x14ac:dyDescent="0.2">
      <c r="A2018" s="2">
        <v>45894</v>
      </c>
      <c r="B2018" t="s">
        <v>3564</v>
      </c>
      <c r="C2018" t="s">
        <v>2</v>
      </c>
      <c r="D2018" t="s">
        <v>4</v>
      </c>
      <c r="E2018">
        <v>1</v>
      </c>
      <c r="F2018" t="s">
        <v>600</v>
      </c>
      <c r="G2018">
        <v>22</v>
      </c>
    </row>
    <row r="2019" spans="1:7" x14ac:dyDescent="0.2">
      <c r="A2019" s="2">
        <v>45894</v>
      </c>
      <c r="B2019" t="s">
        <v>3563</v>
      </c>
      <c r="C2019" t="s">
        <v>2</v>
      </c>
      <c r="D2019" t="s">
        <v>4</v>
      </c>
      <c r="E2019">
        <v>1</v>
      </c>
      <c r="F2019" t="s">
        <v>600</v>
      </c>
      <c r="G2019">
        <v>22</v>
      </c>
    </row>
    <row r="2020" spans="1:7" x14ac:dyDescent="0.2">
      <c r="A2020" s="2">
        <v>45895</v>
      </c>
      <c r="B2020" t="s">
        <v>3566</v>
      </c>
      <c r="C2020" t="s">
        <v>2</v>
      </c>
      <c r="D2020" t="s">
        <v>4</v>
      </c>
      <c r="E2020">
        <v>1</v>
      </c>
      <c r="F2020" t="s">
        <v>600</v>
      </c>
      <c r="G2020">
        <v>22</v>
      </c>
    </row>
    <row r="2021" spans="1:7" x14ac:dyDescent="0.2">
      <c r="A2021" s="2">
        <v>45895</v>
      </c>
      <c r="B2021" t="s">
        <v>3567</v>
      </c>
      <c r="C2021" t="s">
        <v>2</v>
      </c>
      <c r="D2021" t="s">
        <v>4</v>
      </c>
      <c r="E2021">
        <v>1</v>
      </c>
      <c r="F2021" t="s">
        <v>600</v>
      </c>
      <c r="G2021">
        <v>22</v>
      </c>
    </row>
    <row r="2022" spans="1:7" x14ac:dyDescent="0.2">
      <c r="A2022" s="2">
        <v>45895</v>
      </c>
      <c r="B2022" t="s">
        <v>3565</v>
      </c>
      <c r="C2022" t="s">
        <v>2</v>
      </c>
      <c r="D2022" t="s">
        <v>4</v>
      </c>
      <c r="E2022">
        <v>1</v>
      </c>
      <c r="F2022" t="s">
        <v>600</v>
      </c>
      <c r="G2022">
        <v>22</v>
      </c>
    </row>
    <row r="2023" spans="1:7" x14ac:dyDescent="0.2">
      <c r="A2023" s="2">
        <v>45896</v>
      </c>
      <c r="B2023" t="s">
        <v>2545</v>
      </c>
      <c r="C2023" t="s">
        <v>1</v>
      </c>
      <c r="D2023" t="s">
        <v>3</v>
      </c>
      <c r="E2023">
        <v>1</v>
      </c>
      <c r="F2023" t="s">
        <v>4027</v>
      </c>
      <c r="G2023">
        <v>69</v>
      </c>
    </row>
    <row r="2024" spans="1:7" x14ac:dyDescent="0.2">
      <c r="A2024" s="2">
        <v>45896</v>
      </c>
      <c r="B2024" t="s">
        <v>2544</v>
      </c>
      <c r="C2024" t="s">
        <v>1</v>
      </c>
      <c r="D2024" t="s">
        <v>3</v>
      </c>
      <c r="E2024">
        <v>1</v>
      </c>
      <c r="F2024" t="s">
        <v>4027</v>
      </c>
      <c r="G2024">
        <v>85</v>
      </c>
    </row>
    <row r="2025" spans="1:7" x14ac:dyDescent="0.2">
      <c r="A2025" s="2">
        <v>45896</v>
      </c>
      <c r="B2025" t="s">
        <v>2543</v>
      </c>
      <c r="C2025" t="s">
        <v>1</v>
      </c>
      <c r="D2025" t="s">
        <v>3</v>
      </c>
      <c r="E2025">
        <v>1</v>
      </c>
      <c r="F2025" t="s">
        <v>4027</v>
      </c>
      <c r="G2025">
        <v>68</v>
      </c>
    </row>
    <row r="2026" spans="1:7" x14ac:dyDescent="0.2">
      <c r="A2026" s="2">
        <v>45896</v>
      </c>
      <c r="B2026" t="s">
        <v>2542</v>
      </c>
      <c r="C2026" t="s">
        <v>1</v>
      </c>
      <c r="D2026" t="s">
        <v>3</v>
      </c>
      <c r="E2026">
        <v>1</v>
      </c>
      <c r="F2026" t="s">
        <v>4027</v>
      </c>
      <c r="G2026">
        <v>85</v>
      </c>
    </row>
    <row r="2027" spans="1:7" x14ac:dyDescent="0.2">
      <c r="A2027" s="2">
        <v>45896</v>
      </c>
      <c r="B2027" t="s">
        <v>2541</v>
      </c>
      <c r="C2027" t="s">
        <v>1</v>
      </c>
      <c r="D2027" t="s">
        <v>3</v>
      </c>
      <c r="E2027">
        <v>1</v>
      </c>
      <c r="F2027" t="s">
        <v>4027</v>
      </c>
      <c r="G2027">
        <v>87</v>
      </c>
    </row>
    <row r="2028" spans="1:7" x14ac:dyDescent="0.2">
      <c r="A2028" s="2">
        <v>45897</v>
      </c>
      <c r="B2028" t="s">
        <v>2546</v>
      </c>
      <c r="C2028" t="s">
        <v>1</v>
      </c>
      <c r="D2028" t="s">
        <v>3</v>
      </c>
      <c r="E2028">
        <v>1</v>
      </c>
      <c r="F2028" t="s">
        <v>4027</v>
      </c>
      <c r="G2028">
        <v>61</v>
      </c>
    </row>
    <row r="2029" spans="1:7" x14ac:dyDescent="0.2">
      <c r="A2029" s="2">
        <v>45898</v>
      </c>
      <c r="B2029" t="s">
        <v>2547</v>
      </c>
      <c r="C2029" t="s">
        <v>1</v>
      </c>
      <c r="D2029" t="s">
        <v>3</v>
      </c>
      <c r="E2029">
        <v>1</v>
      </c>
      <c r="F2029" t="s">
        <v>4027</v>
      </c>
      <c r="G2029">
        <v>72</v>
      </c>
    </row>
    <row r="2030" spans="1:7" x14ac:dyDescent="0.2">
      <c r="A2030" s="2">
        <v>45899</v>
      </c>
      <c r="B2030" t="s">
        <v>2548</v>
      </c>
      <c r="C2030" t="s">
        <v>1</v>
      </c>
      <c r="D2030" t="s">
        <v>3</v>
      </c>
      <c r="E2030">
        <v>1</v>
      </c>
      <c r="F2030" t="s">
        <v>4027</v>
      </c>
      <c r="G2030">
        <v>62</v>
      </c>
    </row>
    <row r="2031" spans="1:7" x14ac:dyDescent="0.2">
      <c r="A2031" s="2">
        <v>45902</v>
      </c>
      <c r="B2031" t="s">
        <v>2555</v>
      </c>
      <c r="C2031" t="s">
        <v>1</v>
      </c>
      <c r="D2031" t="s">
        <v>3</v>
      </c>
      <c r="E2031">
        <v>1</v>
      </c>
      <c r="F2031" t="s">
        <v>4027</v>
      </c>
      <c r="G2031">
        <v>78</v>
      </c>
    </row>
    <row r="2032" spans="1:7" x14ac:dyDescent="0.2">
      <c r="A2032" s="2">
        <v>45902</v>
      </c>
      <c r="B2032" t="s">
        <v>2554</v>
      </c>
      <c r="C2032" t="s">
        <v>1</v>
      </c>
      <c r="D2032" t="s">
        <v>3</v>
      </c>
      <c r="E2032">
        <v>1</v>
      </c>
      <c r="F2032" t="s">
        <v>4027</v>
      </c>
      <c r="G2032">
        <v>79</v>
      </c>
    </row>
    <row r="2033" spans="1:7" x14ac:dyDescent="0.2">
      <c r="A2033" s="2">
        <v>45902</v>
      </c>
      <c r="B2033" t="s">
        <v>2549</v>
      </c>
      <c r="C2033" t="s">
        <v>1</v>
      </c>
      <c r="D2033" t="s">
        <v>3</v>
      </c>
      <c r="E2033">
        <v>1</v>
      </c>
      <c r="F2033" t="s">
        <v>4027</v>
      </c>
      <c r="G2033">
        <v>86</v>
      </c>
    </row>
    <row r="2034" spans="1:7" x14ac:dyDescent="0.2">
      <c r="A2034" s="2">
        <v>45902</v>
      </c>
      <c r="B2034" t="s">
        <v>2552</v>
      </c>
      <c r="C2034" t="s">
        <v>1</v>
      </c>
      <c r="D2034" t="s">
        <v>3</v>
      </c>
      <c r="E2034">
        <v>1</v>
      </c>
      <c r="F2034" t="s">
        <v>4027</v>
      </c>
      <c r="G2034">
        <v>88</v>
      </c>
    </row>
    <row r="2035" spans="1:7" x14ac:dyDescent="0.2">
      <c r="A2035" s="2">
        <v>45902</v>
      </c>
      <c r="B2035" t="s">
        <v>2550</v>
      </c>
      <c r="C2035" t="s">
        <v>1</v>
      </c>
      <c r="D2035" t="s">
        <v>3</v>
      </c>
      <c r="E2035">
        <v>1</v>
      </c>
      <c r="F2035" t="s">
        <v>4027</v>
      </c>
      <c r="G2035">
        <v>62</v>
      </c>
    </row>
    <row r="2036" spans="1:7" x14ac:dyDescent="0.2">
      <c r="A2036" s="2">
        <v>45902</v>
      </c>
      <c r="B2036" t="s">
        <v>2553</v>
      </c>
      <c r="C2036" t="s">
        <v>1</v>
      </c>
      <c r="D2036" t="s">
        <v>3</v>
      </c>
      <c r="E2036">
        <v>1</v>
      </c>
      <c r="F2036" t="s">
        <v>4027</v>
      </c>
      <c r="G2036">
        <v>63</v>
      </c>
    </row>
    <row r="2037" spans="1:7" x14ac:dyDescent="0.2">
      <c r="A2037" s="2">
        <v>45902</v>
      </c>
      <c r="B2037" t="s">
        <v>2551</v>
      </c>
      <c r="C2037" t="s">
        <v>1</v>
      </c>
      <c r="D2037" t="s">
        <v>3</v>
      </c>
      <c r="E2037">
        <v>1</v>
      </c>
      <c r="F2037" t="s">
        <v>4027</v>
      </c>
      <c r="G2037">
        <v>79</v>
      </c>
    </row>
    <row r="2038" spans="1:7" x14ac:dyDescent="0.2">
      <c r="A2038" s="2">
        <v>45903</v>
      </c>
      <c r="B2038" t="s">
        <v>3574</v>
      </c>
      <c r="C2038" t="s">
        <v>2</v>
      </c>
      <c r="D2038" t="s">
        <v>4</v>
      </c>
      <c r="E2038">
        <v>1</v>
      </c>
      <c r="F2038" t="s">
        <v>600</v>
      </c>
      <c r="G2038">
        <v>22</v>
      </c>
    </row>
    <row r="2039" spans="1:7" x14ac:dyDescent="0.2">
      <c r="A2039" s="2">
        <v>45903</v>
      </c>
      <c r="B2039" t="s">
        <v>2563</v>
      </c>
      <c r="C2039" t="s">
        <v>1</v>
      </c>
      <c r="D2039" t="s">
        <v>3</v>
      </c>
      <c r="E2039">
        <v>1</v>
      </c>
      <c r="F2039" t="s">
        <v>4027</v>
      </c>
      <c r="G2039">
        <v>74</v>
      </c>
    </row>
    <row r="2040" spans="1:7" x14ac:dyDescent="0.2">
      <c r="A2040" s="2">
        <v>45903</v>
      </c>
      <c r="B2040" t="s">
        <v>2562</v>
      </c>
      <c r="C2040" t="s">
        <v>1</v>
      </c>
      <c r="D2040" t="s">
        <v>3</v>
      </c>
      <c r="E2040">
        <v>1</v>
      </c>
      <c r="F2040" t="s">
        <v>4027</v>
      </c>
      <c r="G2040">
        <v>77</v>
      </c>
    </row>
    <row r="2041" spans="1:7" x14ac:dyDescent="0.2">
      <c r="A2041" s="2">
        <v>45903</v>
      </c>
      <c r="B2041" t="s">
        <v>2561</v>
      </c>
      <c r="C2041" t="s">
        <v>1</v>
      </c>
      <c r="D2041" t="s">
        <v>3</v>
      </c>
      <c r="E2041">
        <v>1</v>
      </c>
      <c r="F2041" t="s">
        <v>4027</v>
      </c>
      <c r="G2041">
        <v>71</v>
      </c>
    </row>
    <row r="2042" spans="1:7" x14ac:dyDescent="0.2">
      <c r="A2042" s="2">
        <v>45903</v>
      </c>
      <c r="B2042" t="s">
        <v>2560</v>
      </c>
      <c r="C2042" t="s">
        <v>1</v>
      </c>
      <c r="D2042" t="s">
        <v>3</v>
      </c>
      <c r="E2042">
        <v>1</v>
      </c>
      <c r="F2042" t="s">
        <v>4027</v>
      </c>
      <c r="G2042">
        <v>80</v>
      </c>
    </row>
    <row r="2043" spans="1:7" x14ac:dyDescent="0.2">
      <c r="A2043" s="2">
        <v>45903</v>
      </c>
      <c r="B2043" t="s">
        <v>2559</v>
      </c>
      <c r="C2043" t="s">
        <v>1</v>
      </c>
      <c r="D2043" t="s">
        <v>3</v>
      </c>
      <c r="E2043">
        <v>1</v>
      </c>
      <c r="F2043" t="s">
        <v>4027</v>
      </c>
      <c r="G2043">
        <v>72</v>
      </c>
    </row>
    <row r="2044" spans="1:7" x14ac:dyDescent="0.2">
      <c r="A2044" s="2">
        <v>45903</v>
      </c>
      <c r="B2044" t="s">
        <v>2558</v>
      </c>
      <c r="C2044" t="s">
        <v>1</v>
      </c>
      <c r="D2044" t="s">
        <v>3</v>
      </c>
      <c r="E2044">
        <v>1</v>
      </c>
      <c r="F2044" t="s">
        <v>4027</v>
      </c>
      <c r="G2044">
        <v>74</v>
      </c>
    </row>
    <row r="2045" spans="1:7" x14ac:dyDescent="0.2">
      <c r="A2045" s="2">
        <v>45903</v>
      </c>
      <c r="B2045" t="s">
        <v>3573</v>
      </c>
      <c r="C2045" t="s">
        <v>2</v>
      </c>
      <c r="D2045" t="s">
        <v>4</v>
      </c>
      <c r="E2045">
        <v>1</v>
      </c>
      <c r="F2045" t="s">
        <v>600</v>
      </c>
      <c r="G2045">
        <v>22</v>
      </c>
    </row>
    <row r="2046" spans="1:7" x14ac:dyDescent="0.2">
      <c r="A2046" s="2">
        <v>45903</v>
      </c>
      <c r="B2046" t="s">
        <v>2556</v>
      </c>
      <c r="C2046" t="s">
        <v>1</v>
      </c>
      <c r="D2046" t="s">
        <v>3</v>
      </c>
      <c r="E2046">
        <v>1</v>
      </c>
      <c r="F2046" t="s">
        <v>4027</v>
      </c>
      <c r="G2046">
        <v>82</v>
      </c>
    </row>
    <row r="2047" spans="1:7" x14ac:dyDescent="0.2">
      <c r="A2047" s="2">
        <v>45903</v>
      </c>
      <c r="B2047" t="s">
        <v>3568</v>
      </c>
      <c r="C2047" t="s">
        <v>2</v>
      </c>
      <c r="D2047" t="s">
        <v>4</v>
      </c>
      <c r="E2047">
        <v>1</v>
      </c>
      <c r="F2047" t="s">
        <v>600</v>
      </c>
      <c r="G2047">
        <v>22</v>
      </c>
    </row>
    <row r="2048" spans="1:7" x14ac:dyDescent="0.2">
      <c r="A2048" s="2">
        <v>45903</v>
      </c>
      <c r="B2048" t="s">
        <v>3569</v>
      </c>
      <c r="C2048" t="s">
        <v>2</v>
      </c>
      <c r="D2048" t="s">
        <v>4</v>
      </c>
      <c r="E2048">
        <v>1</v>
      </c>
      <c r="F2048" t="s">
        <v>600</v>
      </c>
      <c r="G2048">
        <v>22</v>
      </c>
    </row>
    <row r="2049" spans="1:7" x14ac:dyDescent="0.2">
      <c r="A2049" s="2">
        <v>45903</v>
      </c>
      <c r="B2049" t="s">
        <v>3570</v>
      </c>
      <c r="C2049" t="s">
        <v>2</v>
      </c>
      <c r="D2049" t="s">
        <v>4</v>
      </c>
      <c r="E2049">
        <v>1</v>
      </c>
      <c r="F2049" t="s">
        <v>600</v>
      </c>
      <c r="G2049">
        <v>22</v>
      </c>
    </row>
    <row r="2050" spans="1:7" x14ac:dyDescent="0.2">
      <c r="A2050" s="2">
        <v>45903</v>
      </c>
      <c r="B2050" t="s">
        <v>3571</v>
      </c>
      <c r="C2050" t="s">
        <v>2</v>
      </c>
      <c r="D2050" t="s">
        <v>4</v>
      </c>
      <c r="E2050">
        <v>1</v>
      </c>
      <c r="F2050" t="s">
        <v>600</v>
      </c>
      <c r="G2050">
        <v>22</v>
      </c>
    </row>
    <row r="2051" spans="1:7" x14ac:dyDescent="0.2">
      <c r="A2051" s="2">
        <v>45903</v>
      </c>
      <c r="B2051" t="s">
        <v>2557</v>
      </c>
      <c r="C2051" t="s">
        <v>1</v>
      </c>
      <c r="D2051" t="s">
        <v>3</v>
      </c>
      <c r="E2051">
        <v>1</v>
      </c>
      <c r="F2051" t="s">
        <v>4027</v>
      </c>
      <c r="G2051">
        <v>70</v>
      </c>
    </row>
    <row r="2052" spans="1:7" x14ac:dyDescent="0.2">
      <c r="A2052" s="2">
        <v>45903</v>
      </c>
      <c r="B2052" t="s">
        <v>3572</v>
      </c>
      <c r="C2052" t="s">
        <v>2</v>
      </c>
      <c r="D2052" t="s">
        <v>4</v>
      </c>
      <c r="E2052">
        <v>1</v>
      </c>
      <c r="F2052" t="s">
        <v>600</v>
      </c>
      <c r="G2052">
        <v>22</v>
      </c>
    </row>
    <row r="2053" spans="1:7" x14ac:dyDescent="0.2">
      <c r="A2053" s="2">
        <v>45904</v>
      </c>
      <c r="B2053" t="s">
        <v>2569</v>
      </c>
      <c r="C2053" t="s">
        <v>1</v>
      </c>
      <c r="D2053" t="s">
        <v>3</v>
      </c>
      <c r="E2053">
        <v>1</v>
      </c>
      <c r="F2053" t="s">
        <v>4027</v>
      </c>
      <c r="G2053">
        <v>73</v>
      </c>
    </row>
    <row r="2054" spans="1:7" x14ac:dyDescent="0.2">
      <c r="A2054" s="2">
        <v>45904</v>
      </c>
      <c r="B2054" t="s">
        <v>2568</v>
      </c>
      <c r="C2054" t="s">
        <v>1</v>
      </c>
      <c r="D2054" t="s">
        <v>3</v>
      </c>
      <c r="E2054">
        <v>1</v>
      </c>
      <c r="F2054" t="s">
        <v>4027</v>
      </c>
      <c r="G2054">
        <v>79</v>
      </c>
    </row>
    <row r="2055" spans="1:7" x14ac:dyDescent="0.2">
      <c r="A2055" s="2">
        <v>45904</v>
      </c>
      <c r="B2055" t="s">
        <v>2570</v>
      </c>
      <c r="C2055" t="s">
        <v>1</v>
      </c>
      <c r="D2055" t="s">
        <v>3</v>
      </c>
      <c r="E2055">
        <v>1</v>
      </c>
      <c r="F2055" t="s">
        <v>4027</v>
      </c>
      <c r="G2055">
        <v>83</v>
      </c>
    </row>
    <row r="2056" spans="1:7" x14ac:dyDescent="0.2">
      <c r="A2056" s="2">
        <v>45904</v>
      </c>
      <c r="B2056" t="s">
        <v>2565</v>
      </c>
      <c r="C2056" t="s">
        <v>1</v>
      </c>
      <c r="D2056" t="s">
        <v>3</v>
      </c>
      <c r="E2056">
        <v>1</v>
      </c>
      <c r="F2056" t="s">
        <v>4027</v>
      </c>
      <c r="G2056">
        <v>77</v>
      </c>
    </row>
    <row r="2057" spans="1:7" x14ac:dyDescent="0.2">
      <c r="A2057" s="2">
        <v>45904</v>
      </c>
      <c r="B2057" t="s">
        <v>2564</v>
      </c>
      <c r="C2057" t="s">
        <v>1</v>
      </c>
      <c r="D2057" t="s">
        <v>3</v>
      </c>
      <c r="E2057">
        <v>1</v>
      </c>
      <c r="F2057" t="s">
        <v>4027</v>
      </c>
      <c r="G2057">
        <v>89</v>
      </c>
    </row>
    <row r="2058" spans="1:7" x14ac:dyDescent="0.2">
      <c r="A2058" s="2">
        <v>45904</v>
      </c>
      <c r="B2058" t="s">
        <v>2567</v>
      </c>
      <c r="C2058" t="s">
        <v>1</v>
      </c>
      <c r="D2058" t="s">
        <v>3</v>
      </c>
      <c r="E2058">
        <v>1</v>
      </c>
      <c r="F2058" t="s">
        <v>4027</v>
      </c>
      <c r="G2058">
        <v>82</v>
      </c>
    </row>
    <row r="2059" spans="1:7" x14ac:dyDescent="0.2">
      <c r="A2059" s="2">
        <v>45904</v>
      </c>
      <c r="B2059" t="s">
        <v>2566</v>
      </c>
      <c r="C2059" t="s">
        <v>1</v>
      </c>
      <c r="D2059" t="s">
        <v>3</v>
      </c>
      <c r="E2059">
        <v>1</v>
      </c>
      <c r="F2059" t="s">
        <v>4027</v>
      </c>
      <c r="G2059">
        <v>70</v>
      </c>
    </row>
    <row r="2060" spans="1:7" x14ac:dyDescent="0.2">
      <c r="A2060" s="2">
        <v>45905</v>
      </c>
      <c r="B2060" t="s">
        <v>2571</v>
      </c>
      <c r="C2060" t="s">
        <v>1</v>
      </c>
      <c r="D2060" t="s">
        <v>3</v>
      </c>
      <c r="E2060">
        <v>1</v>
      </c>
      <c r="F2060" t="s">
        <v>4027</v>
      </c>
      <c r="G2060">
        <v>72</v>
      </c>
    </row>
    <row r="2061" spans="1:7" x14ac:dyDescent="0.2">
      <c r="A2061" s="2">
        <v>45905</v>
      </c>
      <c r="B2061" t="s">
        <v>2572</v>
      </c>
      <c r="C2061" t="s">
        <v>1</v>
      </c>
      <c r="D2061" t="s">
        <v>3</v>
      </c>
      <c r="E2061">
        <v>1</v>
      </c>
      <c r="F2061" t="s">
        <v>4027</v>
      </c>
      <c r="G2061">
        <v>76</v>
      </c>
    </row>
    <row r="2062" spans="1:7" x14ac:dyDescent="0.2">
      <c r="A2062" s="2">
        <v>45905</v>
      </c>
      <c r="B2062" t="s">
        <v>2573</v>
      </c>
      <c r="C2062" t="s">
        <v>1</v>
      </c>
      <c r="D2062" t="s">
        <v>3</v>
      </c>
      <c r="E2062">
        <v>1</v>
      </c>
      <c r="F2062" t="s">
        <v>4027</v>
      </c>
      <c r="G2062">
        <v>80</v>
      </c>
    </row>
    <row r="2063" spans="1:7" x14ac:dyDescent="0.2">
      <c r="A2063" s="2">
        <v>45905</v>
      </c>
      <c r="B2063" t="s">
        <v>2574</v>
      </c>
      <c r="C2063" t="s">
        <v>1</v>
      </c>
      <c r="D2063" t="s">
        <v>3</v>
      </c>
      <c r="E2063">
        <v>1</v>
      </c>
      <c r="F2063" t="s">
        <v>4027</v>
      </c>
      <c r="G2063">
        <v>86</v>
      </c>
    </row>
    <row r="2064" spans="1:7" x14ac:dyDescent="0.2">
      <c r="A2064" s="2">
        <v>45905</v>
      </c>
      <c r="B2064" t="s">
        <v>2575</v>
      </c>
      <c r="C2064" t="s">
        <v>1</v>
      </c>
      <c r="D2064" t="s">
        <v>3</v>
      </c>
      <c r="E2064">
        <v>1</v>
      </c>
      <c r="F2064" t="s">
        <v>4027</v>
      </c>
      <c r="G2064">
        <v>88</v>
      </c>
    </row>
    <row r="2065" spans="1:7" x14ac:dyDescent="0.2">
      <c r="A2065" s="2">
        <v>45905</v>
      </c>
      <c r="B2065" t="s">
        <v>2576</v>
      </c>
      <c r="C2065" t="s">
        <v>1</v>
      </c>
      <c r="D2065" t="s">
        <v>3</v>
      </c>
      <c r="E2065">
        <v>1</v>
      </c>
      <c r="F2065" t="s">
        <v>4027</v>
      </c>
      <c r="G2065">
        <v>71</v>
      </c>
    </row>
    <row r="2066" spans="1:7" x14ac:dyDescent="0.2">
      <c r="A2066" s="2">
        <v>45905</v>
      </c>
      <c r="B2066" t="s">
        <v>2577</v>
      </c>
      <c r="C2066" t="s">
        <v>1</v>
      </c>
      <c r="D2066" t="s">
        <v>3</v>
      </c>
      <c r="E2066">
        <v>1</v>
      </c>
      <c r="F2066" t="s">
        <v>4027</v>
      </c>
      <c r="G2066">
        <v>86</v>
      </c>
    </row>
    <row r="2067" spans="1:7" x14ac:dyDescent="0.2">
      <c r="A2067" s="2">
        <v>45906</v>
      </c>
      <c r="B2067" t="s">
        <v>2583</v>
      </c>
      <c r="C2067" t="s">
        <v>1</v>
      </c>
      <c r="D2067" t="s">
        <v>3</v>
      </c>
      <c r="E2067">
        <v>1</v>
      </c>
      <c r="F2067" t="s">
        <v>4027</v>
      </c>
      <c r="G2067">
        <v>82</v>
      </c>
    </row>
    <row r="2068" spans="1:7" x14ac:dyDescent="0.2">
      <c r="A2068" s="2">
        <v>45906</v>
      </c>
      <c r="B2068" t="s">
        <v>2578</v>
      </c>
      <c r="C2068" t="s">
        <v>1</v>
      </c>
      <c r="D2068" t="s">
        <v>3</v>
      </c>
      <c r="E2068">
        <v>1</v>
      </c>
      <c r="F2068" t="s">
        <v>4027</v>
      </c>
      <c r="G2068">
        <v>78</v>
      </c>
    </row>
    <row r="2069" spans="1:7" x14ac:dyDescent="0.2">
      <c r="A2069" s="2">
        <v>45906</v>
      </c>
      <c r="B2069" t="s">
        <v>2579</v>
      </c>
      <c r="C2069" t="s">
        <v>1</v>
      </c>
      <c r="D2069" t="s">
        <v>3</v>
      </c>
      <c r="E2069">
        <v>1</v>
      </c>
      <c r="F2069" t="s">
        <v>4027</v>
      </c>
      <c r="G2069">
        <v>85</v>
      </c>
    </row>
    <row r="2070" spans="1:7" x14ac:dyDescent="0.2">
      <c r="A2070" s="2">
        <v>45906</v>
      </c>
      <c r="B2070" t="s">
        <v>2581</v>
      </c>
      <c r="C2070" t="s">
        <v>1</v>
      </c>
      <c r="D2070" t="s">
        <v>3</v>
      </c>
      <c r="E2070">
        <v>1</v>
      </c>
      <c r="F2070" t="s">
        <v>4027</v>
      </c>
      <c r="G2070">
        <v>67</v>
      </c>
    </row>
    <row r="2071" spans="1:7" x14ac:dyDescent="0.2">
      <c r="A2071" s="2">
        <v>45906</v>
      </c>
      <c r="B2071" t="s">
        <v>2582</v>
      </c>
      <c r="C2071" t="s">
        <v>1</v>
      </c>
      <c r="D2071" t="s">
        <v>3</v>
      </c>
      <c r="E2071">
        <v>1</v>
      </c>
      <c r="F2071" t="s">
        <v>4027</v>
      </c>
      <c r="G2071">
        <v>61</v>
      </c>
    </row>
    <row r="2072" spans="1:7" x14ac:dyDescent="0.2">
      <c r="A2072" s="2">
        <v>45906</v>
      </c>
      <c r="B2072" t="s">
        <v>2580</v>
      </c>
      <c r="C2072" t="s">
        <v>1</v>
      </c>
      <c r="D2072" t="s">
        <v>3</v>
      </c>
      <c r="E2072">
        <v>1</v>
      </c>
      <c r="F2072" t="s">
        <v>4027</v>
      </c>
      <c r="G2072">
        <v>74</v>
      </c>
    </row>
    <row r="2073" spans="1:7" x14ac:dyDescent="0.2">
      <c r="A2073" s="2">
        <v>45906</v>
      </c>
      <c r="B2073" t="s">
        <v>3575</v>
      </c>
      <c r="C2073" t="s">
        <v>2</v>
      </c>
      <c r="D2073" t="s">
        <v>4</v>
      </c>
      <c r="E2073">
        <v>1</v>
      </c>
      <c r="F2073" t="s">
        <v>600</v>
      </c>
      <c r="G2073">
        <v>22</v>
      </c>
    </row>
    <row r="2074" spans="1:7" x14ac:dyDescent="0.2">
      <c r="A2074" s="2">
        <v>45906</v>
      </c>
      <c r="B2074" t="s">
        <v>3576</v>
      </c>
      <c r="C2074" t="s">
        <v>2</v>
      </c>
      <c r="D2074" t="s">
        <v>4</v>
      </c>
      <c r="E2074">
        <v>1</v>
      </c>
      <c r="F2074" t="s">
        <v>600</v>
      </c>
      <c r="G2074">
        <v>22</v>
      </c>
    </row>
    <row r="2075" spans="1:7" x14ac:dyDescent="0.2">
      <c r="A2075" s="2">
        <v>45908</v>
      </c>
      <c r="B2075" t="s">
        <v>2586</v>
      </c>
      <c r="C2075" t="s">
        <v>1</v>
      </c>
      <c r="D2075" t="s">
        <v>3</v>
      </c>
      <c r="E2075">
        <v>1</v>
      </c>
      <c r="F2075" t="s">
        <v>4027</v>
      </c>
      <c r="G2075">
        <v>64</v>
      </c>
    </row>
    <row r="2076" spans="1:7" x14ac:dyDescent="0.2">
      <c r="A2076" s="2">
        <v>45908</v>
      </c>
      <c r="B2076" t="s">
        <v>3577</v>
      </c>
      <c r="C2076" t="s">
        <v>2</v>
      </c>
      <c r="D2076" t="s">
        <v>4</v>
      </c>
      <c r="E2076">
        <v>1</v>
      </c>
      <c r="F2076" t="s">
        <v>600</v>
      </c>
      <c r="G2076">
        <v>22</v>
      </c>
    </row>
    <row r="2077" spans="1:7" x14ac:dyDescent="0.2">
      <c r="A2077" s="2">
        <v>45908</v>
      </c>
      <c r="B2077" t="s">
        <v>2584</v>
      </c>
      <c r="C2077" t="s">
        <v>1</v>
      </c>
      <c r="D2077" t="s">
        <v>3</v>
      </c>
      <c r="E2077">
        <v>1</v>
      </c>
      <c r="F2077" t="s">
        <v>4027</v>
      </c>
      <c r="G2077">
        <v>80</v>
      </c>
    </row>
    <row r="2078" spans="1:7" x14ac:dyDescent="0.2">
      <c r="A2078" s="2">
        <v>45908</v>
      </c>
      <c r="B2078" t="s">
        <v>2585</v>
      </c>
      <c r="C2078" t="s">
        <v>1</v>
      </c>
      <c r="D2078" t="s">
        <v>3</v>
      </c>
      <c r="E2078">
        <v>1</v>
      </c>
      <c r="F2078" t="s">
        <v>4027</v>
      </c>
      <c r="G2078">
        <v>62</v>
      </c>
    </row>
    <row r="2079" spans="1:7" x14ac:dyDescent="0.2">
      <c r="A2079" s="2">
        <v>45910</v>
      </c>
      <c r="B2079" t="s">
        <v>2587</v>
      </c>
      <c r="C2079" t="s">
        <v>1</v>
      </c>
      <c r="D2079" t="s">
        <v>3</v>
      </c>
      <c r="E2079">
        <v>1</v>
      </c>
      <c r="F2079" t="s">
        <v>4027</v>
      </c>
      <c r="G2079">
        <v>68</v>
      </c>
    </row>
    <row r="2080" spans="1:7" x14ac:dyDescent="0.2">
      <c r="A2080" s="2">
        <v>45910</v>
      </c>
      <c r="B2080" t="s">
        <v>3587</v>
      </c>
      <c r="C2080" t="s">
        <v>2</v>
      </c>
      <c r="D2080" t="s">
        <v>4</v>
      </c>
      <c r="E2080">
        <v>1</v>
      </c>
      <c r="F2080" t="s">
        <v>600</v>
      </c>
      <c r="G2080">
        <v>22</v>
      </c>
    </row>
    <row r="2081" spans="1:7" x14ac:dyDescent="0.2">
      <c r="A2081" s="2">
        <v>45910</v>
      </c>
      <c r="B2081" t="s">
        <v>3585</v>
      </c>
      <c r="C2081" t="s">
        <v>2</v>
      </c>
      <c r="D2081" t="s">
        <v>4</v>
      </c>
      <c r="E2081">
        <v>1</v>
      </c>
      <c r="F2081" t="s">
        <v>600</v>
      </c>
      <c r="G2081">
        <v>22</v>
      </c>
    </row>
    <row r="2082" spans="1:7" x14ac:dyDescent="0.2">
      <c r="A2082" s="2">
        <v>45910</v>
      </c>
      <c r="B2082" t="s">
        <v>3584</v>
      </c>
      <c r="C2082" t="s">
        <v>2</v>
      </c>
      <c r="D2082" t="s">
        <v>4</v>
      </c>
      <c r="E2082">
        <v>1</v>
      </c>
      <c r="F2082" t="s">
        <v>600</v>
      </c>
      <c r="G2082">
        <v>22</v>
      </c>
    </row>
    <row r="2083" spans="1:7" x14ac:dyDescent="0.2">
      <c r="A2083" s="2">
        <v>45910</v>
      </c>
      <c r="B2083" t="s">
        <v>3586</v>
      </c>
      <c r="C2083" t="s">
        <v>2</v>
      </c>
      <c r="D2083" t="s">
        <v>4</v>
      </c>
      <c r="E2083">
        <v>1</v>
      </c>
      <c r="F2083" t="s">
        <v>600</v>
      </c>
      <c r="G2083">
        <v>22</v>
      </c>
    </row>
    <row r="2084" spans="1:7" x14ac:dyDescent="0.2">
      <c r="A2084" s="2">
        <v>45910</v>
      </c>
      <c r="B2084" t="s">
        <v>3582</v>
      </c>
      <c r="C2084" t="s">
        <v>2</v>
      </c>
      <c r="D2084" t="s">
        <v>4</v>
      </c>
      <c r="E2084">
        <v>1</v>
      </c>
      <c r="F2084" t="s">
        <v>600</v>
      </c>
      <c r="G2084">
        <v>22</v>
      </c>
    </row>
    <row r="2085" spans="1:7" x14ac:dyDescent="0.2">
      <c r="A2085" s="2">
        <v>45910</v>
      </c>
      <c r="B2085" t="s">
        <v>3581</v>
      </c>
      <c r="C2085" t="s">
        <v>2</v>
      </c>
      <c r="D2085" t="s">
        <v>4</v>
      </c>
      <c r="E2085">
        <v>1</v>
      </c>
      <c r="F2085" t="s">
        <v>600</v>
      </c>
      <c r="G2085">
        <v>22</v>
      </c>
    </row>
    <row r="2086" spans="1:7" x14ac:dyDescent="0.2">
      <c r="A2086" s="2">
        <v>45910</v>
      </c>
      <c r="B2086" t="s">
        <v>3580</v>
      </c>
      <c r="C2086" t="s">
        <v>2</v>
      </c>
      <c r="D2086" t="s">
        <v>4</v>
      </c>
      <c r="E2086">
        <v>1</v>
      </c>
      <c r="F2086" t="s">
        <v>600</v>
      </c>
      <c r="G2086">
        <v>22</v>
      </c>
    </row>
    <row r="2087" spans="1:7" x14ac:dyDescent="0.2">
      <c r="A2087" s="2">
        <v>45910</v>
      </c>
      <c r="B2087" t="s">
        <v>3579</v>
      </c>
      <c r="C2087" t="s">
        <v>2</v>
      </c>
      <c r="D2087" t="s">
        <v>4</v>
      </c>
      <c r="E2087">
        <v>1</v>
      </c>
      <c r="F2087" t="s">
        <v>600</v>
      </c>
      <c r="G2087">
        <v>22</v>
      </c>
    </row>
    <row r="2088" spans="1:7" x14ac:dyDescent="0.2">
      <c r="A2088" s="2">
        <v>45910</v>
      </c>
      <c r="B2088" t="s">
        <v>3578</v>
      </c>
      <c r="C2088" t="s">
        <v>2</v>
      </c>
      <c r="D2088" t="s">
        <v>4</v>
      </c>
      <c r="E2088">
        <v>1</v>
      </c>
      <c r="F2088" t="s">
        <v>600</v>
      </c>
      <c r="G2088">
        <v>22</v>
      </c>
    </row>
    <row r="2089" spans="1:7" x14ac:dyDescent="0.2">
      <c r="A2089" s="2">
        <v>45910</v>
      </c>
      <c r="B2089" t="s">
        <v>3583</v>
      </c>
      <c r="C2089" t="s">
        <v>2</v>
      </c>
      <c r="D2089" t="s">
        <v>4</v>
      </c>
      <c r="E2089">
        <v>1</v>
      </c>
      <c r="F2089" t="s">
        <v>600</v>
      </c>
      <c r="G2089">
        <v>22</v>
      </c>
    </row>
    <row r="2090" spans="1:7" x14ac:dyDescent="0.2">
      <c r="A2090" s="2">
        <v>45911</v>
      </c>
      <c r="B2090" t="s">
        <v>2588</v>
      </c>
      <c r="C2090" t="s">
        <v>1</v>
      </c>
      <c r="D2090" t="s">
        <v>3</v>
      </c>
      <c r="E2090">
        <v>1</v>
      </c>
      <c r="F2090" t="s">
        <v>4027</v>
      </c>
      <c r="G2090">
        <v>61</v>
      </c>
    </row>
    <row r="2091" spans="1:7" x14ac:dyDescent="0.2">
      <c r="A2091" s="2">
        <v>45912</v>
      </c>
      <c r="B2091" t="s">
        <v>2593</v>
      </c>
      <c r="C2091" t="s">
        <v>1</v>
      </c>
      <c r="D2091" t="s">
        <v>3</v>
      </c>
      <c r="E2091">
        <v>1</v>
      </c>
      <c r="F2091" t="s">
        <v>4027</v>
      </c>
      <c r="G2091">
        <v>61</v>
      </c>
    </row>
    <row r="2092" spans="1:7" x14ac:dyDescent="0.2">
      <c r="A2092" s="2">
        <v>45912</v>
      </c>
      <c r="B2092" t="s">
        <v>2592</v>
      </c>
      <c r="C2092" t="s">
        <v>1</v>
      </c>
      <c r="D2092" t="s">
        <v>3</v>
      </c>
      <c r="E2092">
        <v>1</v>
      </c>
      <c r="F2092" t="s">
        <v>4027</v>
      </c>
      <c r="G2092">
        <v>69</v>
      </c>
    </row>
    <row r="2093" spans="1:7" x14ac:dyDescent="0.2">
      <c r="A2093" s="2">
        <v>45912</v>
      </c>
      <c r="B2093" t="s">
        <v>2594</v>
      </c>
      <c r="C2093" t="s">
        <v>1</v>
      </c>
      <c r="D2093" t="s">
        <v>3</v>
      </c>
      <c r="E2093">
        <v>1</v>
      </c>
      <c r="F2093" t="s">
        <v>4027</v>
      </c>
      <c r="G2093">
        <v>85</v>
      </c>
    </row>
    <row r="2094" spans="1:7" x14ac:dyDescent="0.2">
      <c r="A2094" s="2">
        <v>45912</v>
      </c>
      <c r="B2094" t="s">
        <v>2591</v>
      </c>
      <c r="C2094" t="s">
        <v>1</v>
      </c>
      <c r="D2094" t="s">
        <v>3</v>
      </c>
      <c r="E2094">
        <v>1</v>
      </c>
      <c r="F2094" t="s">
        <v>4027</v>
      </c>
      <c r="G2094">
        <v>61</v>
      </c>
    </row>
    <row r="2095" spans="1:7" x14ac:dyDescent="0.2">
      <c r="A2095" s="2">
        <v>45912</v>
      </c>
      <c r="B2095" t="s">
        <v>2590</v>
      </c>
      <c r="C2095" t="s">
        <v>1</v>
      </c>
      <c r="D2095" t="s">
        <v>3</v>
      </c>
      <c r="E2095">
        <v>1</v>
      </c>
      <c r="F2095" t="s">
        <v>4027</v>
      </c>
      <c r="G2095">
        <v>73</v>
      </c>
    </row>
    <row r="2096" spans="1:7" x14ac:dyDescent="0.2">
      <c r="A2096" s="2">
        <v>45912</v>
      </c>
      <c r="B2096" t="s">
        <v>2589</v>
      </c>
      <c r="C2096" t="s">
        <v>1</v>
      </c>
      <c r="D2096" t="s">
        <v>3</v>
      </c>
      <c r="E2096">
        <v>1</v>
      </c>
      <c r="F2096" t="s">
        <v>4027</v>
      </c>
      <c r="G2096">
        <v>85</v>
      </c>
    </row>
    <row r="2097" spans="1:7" x14ac:dyDescent="0.2">
      <c r="A2097" s="2">
        <v>45913</v>
      </c>
      <c r="B2097" t="s">
        <v>2597</v>
      </c>
      <c r="C2097" t="s">
        <v>1</v>
      </c>
      <c r="D2097" t="s">
        <v>3</v>
      </c>
      <c r="E2097">
        <v>1</v>
      </c>
      <c r="F2097" t="s">
        <v>4027</v>
      </c>
      <c r="G2097">
        <v>88</v>
      </c>
    </row>
    <row r="2098" spans="1:7" x14ac:dyDescent="0.2">
      <c r="A2098" s="2">
        <v>45913</v>
      </c>
      <c r="B2098" t="s">
        <v>2595</v>
      </c>
      <c r="C2098" t="s">
        <v>1</v>
      </c>
      <c r="D2098" t="s">
        <v>3</v>
      </c>
      <c r="E2098">
        <v>1</v>
      </c>
      <c r="F2098" t="s">
        <v>4027</v>
      </c>
      <c r="G2098">
        <v>87</v>
      </c>
    </row>
    <row r="2099" spans="1:7" x14ac:dyDescent="0.2">
      <c r="A2099" s="2">
        <v>45913</v>
      </c>
      <c r="B2099" t="s">
        <v>2598</v>
      </c>
      <c r="C2099" t="s">
        <v>1</v>
      </c>
      <c r="D2099" t="s">
        <v>3</v>
      </c>
      <c r="E2099">
        <v>1</v>
      </c>
      <c r="F2099" t="s">
        <v>4027</v>
      </c>
      <c r="G2099">
        <v>74</v>
      </c>
    </row>
    <row r="2100" spans="1:7" x14ac:dyDescent="0.2">
      <c r="A2100" s="2">
        <v>45913</v>
      </c>
      <c r="B2100" t="s">
        <v>2599</v>
      </c>
      <c r="C2100" t="s">
        <v>1</v>
      </c>
      <c r="D2100" t="s">
        <v>3</v>
      </c>
      <c r="E2100">
        <v>1</v>
      </c>
      <c r="F2100" t="s">
        <v>4027</v>
      </c>
      <c r="G2100">
        <v>77</v>
      </c>
    </row>
    <row r="2101" spans="1:7" x14ac:dyDescent="0.2">
      <c r="A2101" s="2">
        <v>45913</v>
      </c>
      <c r="B2101" t="s">
        <v>2596</v>
      </c>
      <c r="C2101" t="s">
        <v>1</v>
      </c>
      <c r="D2101" t="s">
        <v>3</v>
      </c>
      <c r="E2101">
        <v>1</v>
      </c>
      <c r="F2101" t="s">
        <v>4027</v>
      </c>
      <c r="G2101">
        <v>65</v>
      </c>
    </row>
    <row r="2102" spans="1:7" x14ac:dyDescent="0.2">
      <c r="A2102" s="2">
        <v>45916</v>
      </c>
      <c r="B2102" t="s">
        <v>2600</v>
      </c>
      <c r="C2102" t="s">
        <v>1</v>
      </c>
      <c r="D2102" t="s">
        <v>3</v>
      </c>
      <c r="E2102">
        <v>1</v>
      </c>
      <c r="F2102" t="s">
        <v>4027</v>
      </c>
      <c r="G2102">
        <v>89</v>
      </c>
    </row>
    <row r="2103" spans="1:7" x14ac:dyDescent="0.2">
      <c r="A2103" s="2">
        <v>45916</v>
      </c>
      <c r="B2103" t="s">
        <v>2601</v>
      </c>
      <c r="C2103" t="s">
        <v>1</v>
      </c>
      <c r="D2103" t="s">
        <v>3</v>
      </c>
      <c r="E2103">
        <v>1</v>
      </c>
      <c r="F2103" t="s">
        <v>4027</v>
      </c>
      <c r="G2103">
        <v>71</v>
      </c>
    </row>
    <row r="2104" spans="1:7" x14ac:dyDescent="0.2">
      <c r="A2104" s="2">
        <v>45916</v>
      </c>
      <c r="B2104" t="s">
        <v>2603</v>
      </c>
      <c r="C2104" t="s">
        <v>1</v>
      </c>
      <c r="D2104" t="s">
        <v>3</v>
      </c>
      <c r="E2104">
        <v>1</v>
      </c>
      <c r="F2104" t="s">
        <v>4027</v>
      </c>
      <c r="G2104">
        <v>69</v>
      </c>
    </row>
    <row r="2105" spans="1:7" x14ac:dyDescent="0.2">
      <c r="A2105" s="2">
        <v>45916</v>
      </c>
      <c r="B2105" t="s">
        <v>2604</v>
      </c>
      <c r="C2105" t="s">
        <v>1</v>
      </c>
      <c r="D2105" t="s">
        <v>3</v>
      </c>
      <c r="E2105">
        <v>1</v>
      </c>
      <c r="F2105" t="s">
        <v>4027</v>
      </c>
      <c r="G2105">
        <v>70</v>
      </c>
    </row>
    <row r="2106" spans="1:7" x14ac:dyDescent="0.2">
      <c r="A2106" s="2">
        <v>45916</v>
      </c>
      <c r="B2106" t="s">
        <v>2602</v>
      </c>
      <c r="C2106" t="s">
        <v>1</v>
      </c>
      <c r="D2106" t="s">
        <v>3</v>
      </c>
      <c r="E2106">
        <v>1</v>
      </c>
      <c r="F2106" t="s">
        <v>4027</v>
      </c>
      <c r="G2106">
        <v>89</v>
      </c>
    </row>
    <row r="2107" spans="1:7" x14ac:dyDescent="0.2">
      <c r="A2107" s="2">
        <v>45916</v>
      </c>
      <c r="B2107" t="s">
        <v>2605</v>
      </c>
      <c r="C2107" t="s">
        <v>1</v>
      </c>
      <c r="D2107" t="s">
        <v>3</v>
      </c>
      <c r="E2107">
        <v>1</v>
      </c>
      <c r="F2107" t="s">
        <v>4027</v>
      </c>
      <c r="G2107">
        <v>67</v>
      </c>
    </row>
    <row r="2108" spans="1:7" x14ac:dyDescent="0.2">
      <c r="A2108" s="2">
        <v>45917</v>
      </c>
      <c r="B2108" t="s">
        <v>2608</v>
      </c>
      <c r="C2108" t="s">
        <v>1</v>
      </c>
      <c r="D2108" t="s">
        <v>3</v>
      </c>
      <c r="E2108">
        <v>1</v>
      </c>
      <c r="F2108" t="s">
        <v>4027</v>
      </c>
      <c r="G2108">
        <v>61</v>
      </c>
    </row>
    <row r="2109" spans="1:7" x14ac:dyDescent="0.2">
      <c r="A2109" s="2">
        <v>45917</v>
      </c>
      <c r="B2109" t="s">
        <v>2609</v>
      </c>
      <c r="C2109" t="s">
        <v>1</v>
      </c>
      <c r="D2109" t="s">
        <v>3</v>
      </c>
      <c r="E2109">
        <v>1</v>
      </c>
      <c r="F2109" t="s">
        <v>4027</v>
      </c>
      <c r="G2109">
        <v>88</v>
      </c>
    </row>
    <row r="2110" spans="1:7" x14ac:dyDescent="0.2">
      <c r="A2110" s="2">
        <v>45917</v>
      </c>
      <c r="B2110" t="s">
        <v>2610</v>
      </c>
      <c r="C2110" t="s">
        <v>1</v>
      </c>
      <c r="D2110" t="s">
        <v>3</v>
      </c>
      <c r="E2110">
        <v>1</v>
      </c>
      <c r="F2110" t="s">
        <v>4027</v>
      </c>
      <c r="G2110">
        <v>60</v>
      </c>
    </row>
    <row r="2111" spans="1:7" x14ac:dyDescent="0.2">
      <c r="A2111" s="2">
        <v>45917</v>
      </c>
      <c r="B2111" t="s">
        <v>2606</v>
      </c>
      <c r="C2111" t="s">
        <v>1</v>
      </c>
      <c r="D2111" t="s">
        <v>3</v>
      </c>
      <c r="E2111">
        <v>1</v>
      </c>
      <c r="F2111" t="s">
        <v>4027</v>
      </c>
      <c r="G2111">
        <v>85</v>
      </c>
    </row>
    <row r="2112" spans="1:7" x14ac:dyDescent="0.2">
      <c r="A2112" s="2">
        <v>45917</v>
      </c>
      <c r="B2112" t="s">
        <v>2607</v>
      </c>
      <c r="C2112" t="s">
        <v>1</v>
      </c>
      <c r="D2112" t="s">
        <v>3</v>
      </c>
      <c r="E2112">
        <v>1</v>
      </c>
      <c r="F2112" t="s">
        <v>4027</v>
      </c>
      <c r="G2112">
        <v>77</v>
      </c>
    </row>
    <row r="2113" spans="1:7" x14ac:dyDescent="0.2">
      <c r="A2113" s="2">
        <v>45918</v>
      </c>
      <c r="B2113" t="s">
        <v>3590</v>
      </c>
      <c r="C2113" t="s">
        <v>2</v>
      </c>
      <c r="D2113" t="s">
        <v>4</v>
      </c>
      <c r="E2113">
        <v>1</v>
      </c>
      <c r="F2113" t="s">
        <v>600</v>
      </c>
      <c r="G2113">
        <v>22</v>
      </c>
    </row>
    <row r="2114" spans="1:7" x14ac:dyDescent="0.2">
      <c r="A2114" s="2">
        <v>45918</v>
      </c>
      <c r="B2114" t="s">
        <v>3589</v>
      </c>
      <c r="C2114" t="s">
        <v>2</v>
      </c>
      <c r="D2114" t="s">
        <v>4</v>
      </c>
      <c r="E2114">
        <v>1</v>
      </c>
      <c r="F2114" t="s">
        <v>600</v>
      </c>
      <c r="G2114">
        <v>22</v>
      </c>
    </row>
    <row r="2115" spans="1:7" x14ac:dyDescent="0.2">
      <c r="A2115" s="2">
        <v>45918</v>
      </c>
      <c r="B2115" t="s">
        <v>3588</v>
      </c>
      <c r="C2115" t="s">
        <v>2</v>
      </c>
      <c r="D2115" t="s">
        <v>4</v>
      </c>
      <c r="E2115">
        <v>1</v>
      </c>
      <c r="F2115" t="s">
        <v>600</v>
      </c>
      <c r="G2115">
        <v>22</v>
      </c>
    </row>
    <row r="2116" spans="1:7" x14ac:dyDescent="0.2">
      <c r="A2116" s="2">
        <v>45918</v>
      </c>
      <c r="B2116" t="s">
        <v>2611</v>
      </c>
      <c r="C2116" t="s">
        <v>1</v>
      </c>
      <c r="D2116" t="s">
        <v>3</v>
      </c>
      <c r="E2116">
        <v>1</v>
      </c>
      <c r="F2116" t="s">
        <v>4027</v>
      </c>
      <c r="G2116">
        <v>84</v>
      </c>
    </row>
    <row r="2117" spans="1:7" x14ac:dyDescent="0.2">
      <c r="A2117" s="2">
        <v>45918</v>
      </c>
      <c r="B2117" t="s">
        <v>2612</v>
      </c>
      <c r="C2117" t="s">
        <v>1</v>
      </c>
      <c r="D2117" t="s">
        <v>3</v>
      </c>
      <c r="E2117">
        <v>1</v>
      </c>
      <c r="F2117" t="s">
        <v>4027</v>
      </c>
      <c r="G2117">
        <v>88</v>
      </c>
    </row>
    <row r="2118" spans="1:7" x14ac:dyDescent="0.2">
      <c r="A2118" s="2">
        <v>45918</v>
      </c>
      <c r="B2118" t="s">
        <v>2613</v>
      </c>
      <c r="C2118" t="s">
        <v>1</v>
      </c>
      <c r="D2118" t="s">
        <v>3</v>
      </c>
      <c r="E2118">
        <v>1</v>
      </c>
      <c r="F2118" t="s">
        <v>4027</v>
      </c>
      <c r="G2118">
        <v>83</v>
      </c>
    </row>
    <row r="2119" spans="1:7" x14ac:dyDescent="0.2">
      <c r="A2119" s="2">
        <v>45920</v>
      </c>
      <c r="B2119" t="s">
        <v>3591</v>
      </c>
      <c r="C2119" t="s">
        <v>2</v>
      </c>
      <c r="D2119" t="s">
        <v>4</v>
      </c>
      <c r="E2119">
        <v>1</v>
      </c>
      <c r="F2119" t="s">
        <v>600</v>
      </c>
      <c r="G2119">
        <v>22</v>
      </c>
    </row>
    <row r="2120" spans="1:7" x14ac:dyDescent="0.2">
      <c r="A2120" s="2">
        <v>45920</v>
      </c>
      <c r="B2120" t="s">
        <v>2619</v>
      </c>
      <c r="C2120" t="s">
        <v>1</v>
      </c>
      <c r="D2120" t="s">
        <v>3</v>
      </c>
      <c r="E2120">
        <v>1</v>
      </c>
      <c r="F2120" t="s">
        <v>4027</v>
      </c>
      <c r="G2120">
        <v>83</v>
      </c>
    </row>
    <row r="2121" spans="1:7" x14ac:dyDescent="0.2">
      <c r="A2121" s="2">
        <v>45920</v>
      </c>
      <c r="B2121" t="s">
        <v>2618</v>
      </c>
      <c r="C2121" t="s">
        <v>1</v>
      </c>
      <c r="D2121" t="s">
        <v>3</v>
      </c>
      <c r="E2121">
        <v>1</v>
      </c>
      <c r="F2121" t="s">
        <v>4027</v>
      </c>
      <c r="G2121">
        <v>80</v>
      </c>
    </row>
    <row r="2122" spans="1:7" x14ac:dyDescent="0.2">
      <c r="A2122" s="2">
        <v>45920</v>
      </c>
      <c r="B2122" t="s">
        <v>2617</v>
      </c>
      <c r="C2122" t="s">
        <v>1</v>
      </c>
      <c r="D2122" t="s">
        <v>3</v>
      </c>
      <c r="E2122">
        <v>1</v>
      </c>
      <c r="F2122" t="s">
        <v>4027</v>
      </c>
      <c r="G2122">
        <v>89</v>
      </c>
    </row>
    <row r="2123" spans="1:7" x14ac:dyDescent="0.2">
      <c r="A2123" s="2">
        <v>45920</v>
      </c>
      <c r="B2123" t="s">
        <v>2616</v>
      </c>
      <c r="C2123" t="s">
        <v>1</v>
      </c>
      <c r="D2123" t="s">
        <v>3</v>
      </c>
      <c r="E2123">
        <v>1</v>
      </c>
      <c r="F2123" t="s">
        <v>4027</v>
      </c>
      <c r="G2123">
        <v>72</v>
      </c>
    </row>
    <row r="2124" spans="1:7" x14ac:dyDescent="0.2">
      <c r="A2124" s="2">
        <v>45920</v>
      </c>
      <c r="B2124" t="s">
        <v>2614</v>
      </c>
      <c r="C2124" t="s">
        <v>1</v>
      </c>
      <c r="D2124" t="s">
        <v>3</v>
      </c>
      <c r="E2124">
        <v>1</v>
      </c>
      <c r="F2124" t="s">
        <v>4027</v>
      </c>
      <c r="G2124">
        <v>83</v>
      </c>
    </row>
    <row r="2125" spans="1:7" x14ac:dyDescent="0.2">
      <c r="A2125" s="2">
        <v>45920</v>
      </c>
      <c r="B2125" t="s">
        <v>3592</v>
      </c>
      <c r="C2125" t="s">
        <v>2</v>
      </c>
      <c r="D2125" t="s">
        <v>4</v>
      </c>
      <c r="E2125">
        <v>1</v>
      </c>
      <c r="F2125" t="s">
        <v>600</v>
      </c>
      <c r="G2125">
        <v>22</v>
      </c>
    </row>
    <row r="2126" spans="1:7" x14ac:dyDescent="0.2">
      <c r="A2126" s="2">
        <v>45920</v>
      </c>
      <c r="B2126" t="s">
        <v>2615</v>
      </c>
      <c r="C2126" t="s">
        <v>1</v>
      </c>
      <c r="D2126" t="s">
        <v>3</v>
      </c>
      <c r="E2126">
        <v>1</v>
      </c>
      <c r="F2126" t="s">
        <v>4027</v>
      </c>
      <c r="G2126">
        <v>67</v>
      </c>
    </row>
    <row r="2127" spans="1:7" x14ac:dyDescent="0.2">
      <c r="A2127" s="2">
        <v>45922</v>
      </c>
      <c r="B2127" t="s">
        <v>2621</v>
      </c>
      <c r="C2127" t="s">
        <v>1</v>
      </c>
      <c r="D2127" t="s">
        <v>3</v>
      </c>
      <c r="E2127">
        <v>1</v>
      </c>
      <c r="F2127" t="s">
        <v>4027</v>
      </c>
      <c r="G2127">
        <v>76</v>
      </c>
    </row>
    <row r="2128" spans="1:7" x14ac:dyDescent="0.2">
      <c r="A2128" s="2">
        <v>45922</v>
      </c>
      <c r="B2128" t="s">
        <v>2622</v>
      </c>
      <c r="C2128" t="s">
        <v>1</v>
      </c>
      <c r="D2128" t="s">
        <v>3</v>
      </c>
      <c r="E2128">
        <v>1</v>
      </c>
      <c r="F2128" t="s">
        <v>4027</v>
      </c>
      <c r="G2128">
        <v>88</v>
      </c>
    </row>
    <row r="2129" spans="1:7" x14ac:dyDescent="0.2">
      <c r="A2129" s="2">
        <v>45922</v>
      </c>
      <c r="B2129" t="s">
        <v>2620</v>
      </c>
      <c r="C2129" t="s">
        <v>1</v>
      </c>
      <c r="D2129" t="s">
        <v>3</v>
      </c>
      <c r="E2129">
        <v>1</v>
      </c>
      <c r="F2129" t="s">
        <v>4027</v>
      </c>
      <c r="G2129">
        <v>84</v>
      </c>
    </row>
    <row r="2130" spans="1:7" x14ac:dyDescent="0.2">
      <c r="A2130" s="2">
        <v>45923</v>
      </c>
      <c r="B2130" t="s">
        <v>3593</v>
      </c>
      <c r="C2130" t="s">
        <v>2</v>
      </c>
      <c r="D2130" t="s">
        <v>4</v>
      </c>
      <c r="E2130">
        <v>1</v>
      </c>
      <c r="F2130" t="s">
        <v>600</v>
      </c>
      <c r="G2130">
        <v>22</v>
      </c>
    </row>
    <row r="2131" spans="1:7" x14ac:dyDescent="0.2">
      <c r="A2131" s="2">
        <v>45923</v>
      </c>
      <c r="B2131" t="s">
        <v>3594</v>
      </c>
      <c r="C2131" t="s">
        <v>2</v>
      </c>
      <c r="D2131" t="s">
        <v>4</v>
      </c>
      <c r="E2131">
        <v>1</v>
      </c>
      <c r="F2131" t="s">
        <v>600</v>
      </c>
      <c r="G2131">
        <v>22</v>
      </c>
    </row>
    <row r="2132" spans="1:7" x14ac:dyDescent="0.2">
      <c r="A2132" s="2">
        <v>45923</v>
      </c>
      <c r="B2132" t="s">
        <v>2623</v>
      </c>
      <c r="C2132" t="s">
        <v>1</v>
      </c>
      <c r="D2132" t="s">
        <v>3</v>
      </c>
      <c r="E2132">
        <v>1</v>
      </c>
      <c r="F2132" t="s">
        <v>4027</v>
      </c>
      <c r="G2132">
        <v>62</v>
      </c>
    </row>
    <row r="2133" spans="1:7" x14ac:dyDescent="0.2">
      <c r="A2133" s="2">
        <v>45923</v>
      </c>
      <c r="B2133" t="s">
        <v>3595</v>
      </c>
      <c r="C2133" t="s">
        <v>2</v>
      </c>
      <c r="D2133" t="s">
        <v>4</v>
      </c>
      <c r="E2133">
        <v>1</v>
      </c>
      <c r="F2133" t="s">
        <v>600</v>
      </c>
      <c r="G2133">
        <v>22</v>
      </c>
    </row>
    <row r="2134" spans="1:7" x14ac:dyDescent="0.2">
      <c r="A2134" s="2">
        <v>45923</v>
      </c>
      <c r="B2134" t="s">
        <v>2626</v>
      </c>
      <c r="C2134" t="s">
        <v>1</v>
      </c>
      <c r="D2134" t="s">
        <v>3</v>
      </c>
      <c r="E2134">
        <v>1</v>
      </c>
      <c r="F2134" t="s">
        <v>4027</v>
      </c>
      <c r="G2134">
        <v>66</v>
      </c>
    </row>
    <row r="2135" spans="1:7" x14ac:dyDescent="0.2">
      <c r="A2135" s="2">
        <v>45923</v>
      </c>
      <c r="B2135" t="s">
        <v>2624</v>
      </c>
      <c r="C2135" t="s">
        <v>1</v>
      </c>
      <c r="D2135" t="s">
        <v>3</v>
      </c>
      <c r="E2135">
        <v>1</v>
      </c>
      <c r="F2135" t="s">
        <v>4027</v>
      </c>
      <c r="G2135">
        <v>79</v>
      </c>
    </row>
    <row r="2136" spans="1:7" x14ac:dyDescent="0.2">
      <c r="A2136" s="2">
        <v>45923</v>
      </c>
      <c r="B2136" t="s">
        <v>2625</v>
      </c>
      <c r="C2136" t="s">
        <v>1</v>
      </c>
      <c r="D2136" t="s">
        <v>3</v>
      </c>
      <c r="E2136">
        <v>1</v>
      </c>
      <c r="F2136" t="s">
        <v>4027</v>
      </c>
      <c r="G2136">
        <v>80</v>
      </c>
    </row>
    <row r="2137" spans="1:7" x14ac:dyDescent="0.2">
      <c r="A2137" s="2">
        <v>45924</v>
      </c>
      <c r="B2137" t="s">
        <v>2627</v>
      </c>
      <c r="C2137" t="s">
        <v>1</v>
      </c>
      <c r="D2137" t="s">
        <v>3</v>
      </c>
      <c r="E2137">
        <v>1</v>
      </c>
      <c r="F2137" t="s">
        <v>4027</v>
      </c>
      <c r="G2137">
        <v>81</v>
      </c>
    </row>
    <row r="2138" spans="1:7" x14ac:dyDescent="0.2">
      <c r="A2138" s="2">
        <v>45925</v>
      </c>
      <c r="B2138" t="s">
        <v>2628</v>
      </c>
      <c r="C2138" t="s">
        <v>1</v>
      </c>
      <c r="D2138" t="s">
        <v>3</v>
      </c>
      <c r="E2138">
        <v>1</v>
      </c>
      <c r="F2138" t="s">
        <v>4027</v>
      </c>
      <c r="G2138">
        <v>82</v>
      </c>
    </row>
    <row r="2139" spans="1:7" x14ac:dyDescent="0.2">
      <c r="A2139" s="2">
        <v>45925</v>
      </c>
      <c r="B2139" t="s">
        <v>2629</v>
      </c>
      <c r="C2139" t="s">
        <v>1</v>
      </c>
      <c r="D2139" t="s">
        <v>3</v>
      </c>
      <c r="E2139">
        <v>1</v>
      </c>
      <c r="F2139" t="s">
        <v>4027</v>
      </c>
      <c r="G2139">
        <v>77</v>
      </c>
    </row>
    <row r="2140" spans="1:7" x14ac:dyDescent="0.2">
      <c r="A2140" s="2">
        <v>45925</v>
      </c>
      <c r="B2140" t="s">
        <v>2630</v>
      </c>
      <c r="C2140" t="s">
        <v>1</v>
      </c>
      <c r="D2140" t="s">
        <v>3</v>
      </c>
      <c r="E2140">
        <v>1</v>
      </c>
      <c r="F2140" t="s">
        <v>4027</v>
      </c>
      <c r="G2140">
        <v>84</v>
      </c>
    </row>
    <row r="2141" spans="1:7" x14ac:dyDescent="0.2">
      <c r="A2141" s="2">
        <v>45925</v>
      </c>
      <c r="B2141" t="s">
        <v>2631</v>
      </c>
      <c r="C2141" t="s">
        <v>1</v>
      </c>
      <c r="D2141" t="s">
        <v>3</v>
      </c>
      <c r="E2141">
        <v>1</v>
      </c>
      <c r="F2141" t="s">
        <v>4027</v>
      </c>
      <c r="G2141">
        <v>67</v>
      </c>
    </row>
    <row r="2142" spans="1:7" x14ac:dyDescent="0.2">
      <c r="A2142" s="2">
        <v>45926</v>
      </c>
      <c r="B2142" t="s">
        <v>2632</v>
      </c>
      <c r="C2142" t="s">
        <v>1</v>
      </c>
      <c r="D2142" t="s">
        <v>3</v>
      </c>
      <c r="E2142">
        <v>1</v>
      </c>
      <c r="F2142" t="s">
        <v>4027</v>
      </c>
      <c r="G2142">
        <v>60</v>
      </c>
    </row>
    <row r="2143" spans="1:7" x14ac:dyDescent="0.2">
      <c r="A2143" s="2">
        <v>45926</v>
      </c>
      <c r="B2143" t="s">
        <v>2633</v>
      </c>
      <c r="C2143" t="s">
        <v>1</v>
      </c>
      <c r="D2143" t="s">
        <v>3</v>
      </c>
      <c r="E2143">
        <v>1</v>
      </c>
      <c r="F2143" t="s">
        <v>4027</v>
      </c>
      <c r="G2143">
        <v>77</v>
      </c>
    </row>
    <row r="2144" spans="1:7" x14ac:dyDescent="0.2">
      <c r="A2144" s="2">
        <v>45926</v>
      </c>
      <c r="B2144" t="s">
        <v>2634</v>
      </c>
      <c r="C2144" t="s">
        <v>1</v>
      </c>
      <c r="D2144" t="s">
        <v>3</v>
      </c>
      <c r="E2144">
        <v>1</v>
      </c>
      <c r="F2144" t="s">
        <v>4027</v>
      </c>
      <c r="G2144">
        <v>81</v>
      </c>
    </row>
    <row r="2145" spans="1:7" x14ac:dyDescent="0.2">
      <c r="A2145" s="2">
        <v>45932</v>
      </c>
      <c r="B2145" t="s">
        <v>2638</v>
      </c>
      <c r="C2145" t="s">
        <v>1</v>
      </c>
      <c r="D2145" t="s">
        <v>3</v>
      </c>
      <c r="E2145">
        <v>1</v>
      </c>
      <c r="F2145" t="s">
        <v>4027</v>
      </c>
      <c r="G2145">
        <v>64</v>
      </c>
    </row>
    <row r="2146" spans="1:7" x14ac:dyDescent="0.2">
      <c r="A2146" s="2">
        <v>45932</v>
      </c>
      <c r="B2146" t="s">
        <v>2635</v>
      </c>
      <c r="C2146" t="s">
        <v>1</v>
      </c>
      <c r="D2146" t="s">
        <v>3</v>
      </c>
      <c r="E2146">
        <v>1</v>
      </c>
      <c r="F2146" t="s">
        <v>4027</v>
      </c>
      <c r="G2146">
        <v>67</v>
      </c>
    </row>
    <row r="2147" spans="1:7" x14ac:dyDescent="0.2">
      <c r="A2147" s="2">
        <v>45932</v>
      </c>
      <c r="B2147" t="s">
        <v>2636</v>
      </c>
      <c r="C2147" t="s">
        <v>1</v>
      </c>
      <c r="D2147" t="s">
        <v>3</v>
      </c>
      <c r="E2147">
        <v>1</v>
      </c>
      <c r="F2147" t="s">
        <v>4027</v>
      </c>
      <c r="G2147">
        <v>87</v>
      </c>
    </row>
    <row r="2148" spans="1:7" x14ac:dyDescent="0.2">
      <c r="A2148" s="2">
        <v>45932</v>
      </c>
      <c r="B2148" t="s">
        <v>2637</v>
      </c>
      <c r="C2148" t="s">
        <v>1</v>
      </c>
      <c r="D2148" t="s">
        <v>3</v>
      </c>
      <c r="E2148">
        <v>1</v>
      </c>
      <c r="F2148" t="s">
        <v>4027</v>
      </c>
      <c r="G2148">
        <v>88</v>
      </c>
    </row>
    <row r="2149" spans="1:7" x14ac:dyDescent="0.2">
      <c r="A2149" s="2">
        <v>45933</v>
      </c>
      <c r="B2149" t="s">
        <v>2639</v>
      </c>
      <c r="C2149" t="s">
        <v>1</v>
      </c>
      <c r="D2149" t="s">
        <v>3</v>
      </c>
      <c r="E2149">
        <v>1</v>
      </c>
      <c r="F2149" t="s">
        <v>4027</v>
      </c>
      <c r="G2149">
        <v>71</v>
      </c>
    </row>
    <row r="2150" spans="1:7" x14ac:dyDescent="0.2">
      <c r="A2150" s="2">
        <v>45936</v>
      </c>
      <c r="B2150" t="s">
        <v>3596</v>
      </c>
      <c r="C2150" t="s">
        <v>2</v>
      </c>
      <c r="D2150" t="s">
        <v>4</v>
      </c>
      <c r="E2150">
        <v>1</v>
      </c>
      <c r="F2150" t="s">
        <v>600</v>
      </c>
      <c r="G2150">
        <v>22</v>
      </c>
    </row>
    <row r="2151" spans="1:7" x14ac:dyDescent="0.2">
      <c r="A2151" s="2">
        <v>45936</v>
      </c>
      <c r="B2151" t="s">
        <v>3597</v>
      </c>
      <c r="C2151" t="s">
        <v>2</v>
      </c>
      <c r="D2151" t="s">
        <v>4</v>
      </c>
      <c r="E2151">
        <v>1</v>
      </c>
      <c r="F2151" t="s">
        <v>600</v>
      </c>
      <c r="G2151">
        <v>22</v>
      </c>
    </row>
    <row r="2152" spans="1:7" x14ac:dyDescent="0.2">
      <c r="A2152" s="2">
        <v>45936</v>
      </c>
      <c r="B2152" t="s">
        <v>2645</v>
      </c>
      <c r="C2152" t="s">
        <v>1</v>
      </c>
      <c r="D2152" t="s">
        <v>3</v>
      </c>
      <c r="E2152">
        <v>1</v>
      </c>
      <c r="F2152" t="s">
        <v>4027</v>
      </c>
      <c r="G2152">
        <v>86</v>
      </c>
    </row>
    <row r="2153" spans="1:7" x14ac:dyDescent="0.2">
      <c r="A2153" s="2">
        <v>45936</v>
      </c>
      <c r="B2153" t="s">
        <v>2643</v>
      </c>
      <c r="C2153" t="s">
        <v>1</v>
      </c>
      <c r="D2153" t="s">
        <v>3</v>
      </c>
      <c r="E2153">
        <v>1</v>
      </c>
      <c r="F2153" t="s">
        <v>4027</v>
      </c>
      <c r="G2153">
        <v>89</v>
      </c>
    </row>
    <row r="2154" spans="1:7" x14ac:dyDescent="0.2">
      <c r="A2154" s="2">
        <v>45936</v>
      </c>
      <c r="B2154" t="s">
        <v>2644</v>
      </c>
      <c r="C2154" t="s">
        <v>1</v>
      </c>
      <c r="D2154" t="s">
        <v>3</v>
      </c>
      <c r="E2154">
        <v>1</v>
      </c>
      <c r="F2154" t="s">
        <v>4027</v>
      </c>
      <c r="G2154">
        <v>61</v>
      </c>
    </row>
    <row r="2155" spans="1:7" x14ac:dyDescent="0.2">
      <c r="A2155" s="2">
        <v>45936</v>
      </c>
      <c r="B2155" t="s">
        <v>2641</v>
      </c>
      <c r="C2155" t="s">
        <v>1</v>
      </c>
      <c r="D2155" t="s">
        <v>3</v>
      </c>
      <c r="E2155">
        <v>1</v>
      </c>
      <c r="F2155" t="s">
        <v>4027</v>
      </c>
      <c r="G2155">
        <v>83</v>
      </c>
    </row>
    <row r="2156" spans="1:7" x14ac:dyDescent="0.2">
      <c r="A2156" s="2">
        <v>45936</v>
      </c>
      <c r="B2156" t="s">
        <v>2640</v>
      </c>
      <c r="C2156" t="s">
        <v>1</v>
      </c>
      <c r="D2156" t="s">
        <v>3</v>
      </c>
      <c r="E2156">
        <v>1</v>
      </c>
      <c r="F2156" t="s">
        <v>4027</v>
      </c>
      <c r="G2156">
        <v>77</v>
      </c>
    </row>
    <row r="2157" spans="1:7" x14ac:dyDescent="0.2">
      <c r="A2157" s="2">
        <v>45936</v>
      </c>
      <c r="B2157" t="s">
        <v>2642</v>
      </c>
      <c r="C2157" t="s">
        <v>1</v>
      </c>
      <c r="D2157" t="s">
        <v>3</v>
      </c>
      <c r="E2157">
        <v>1</v>
      </c>
      <c r="F2157" t="s">
        <v>4027</v>
      </c>
      <c r="G2157">
        <v>70</v>
      </c>
    </row>
    <row r="2158" spans="1:7" x14ac:dyDescent="0.2">
      <c r="A2158" s="2">
        <v>45937</v>
      </c>
      <c r="B2158" t="s">
        <v>2646</v>
      </c>
      <c r="C2158" t="s">
        <v>1</v>
      </c>
      <c r="D2158" t="s">
        <v>3</v>
      </c>
      <c r="E2158">
        <v>1</v>
      </c>
      <c r="F2158" t="s">
        <v>4027</v>
      </c>
      <c r="G2158">
        <v>70</v>
      </c>
    </row>
    <row r="2159" spans="1:7" x14ac:dyDescent="0.2">
      <c r="A2159" s="2">
        <v>45937</v>
      </c>
      <c r="B2159" t="s">
        <v>2647</v>
      </c>
      <c r="C2159" t="s">
        <v>1</v>
      </c>
      <c r="D2159" t="s">
        <v>3</v>
      </c>
      <c r="E2159">
        <v>1</v>
      </c>
      <c r="F2159" t="s">
        <v>4027</v>
      </c>
      <c r="G2159">
        <v>85</v>
      </c>
    </row>
    <row r="2160" spans="1:7" x14ac:dyDescent="0.2">
      <c r="A2160" s="2">
        <v>45937</v>
      </c>
      <c r="B2160" t="s">
        <v>2649</v>
      </c>
      <c r="C2160" t="s">
        <v>1</v>
      </c>
      <c r="D2160" t="s">
        <v>3</v>
      </c>
      <c r="E2160">
        <v>1</v>
      </c>
      <c r="F2160" t="s">
        <v>4027</v>
      </c>
      <c r="G2160">
        <v>66</v>
      </c>
    </row>
    <row r="2161" spans="1:7" x14ac:dyDescent="0.2">
      <c r="A2161" s="2">
        <v>45937</v>
      </c>
      <c r="B2161" t="s">
        <v>2650</v>
      </c>
      <c r="C2161" t="s">
        <v>1</v>
      </c>
      <c r="D2161" t="s">
        <v>3</v>
      </c>
      <c r="E2161">
        <v>1</v>
      </c>
      <c r="F2161" t="s">
        <v>4027</v>
      </c>
      <c r="G2161">
        <v>77</v>
      </c>
    </row>
    <row r="2162" spans="1:7" x14ac:dyDescent="0.2">
      <c r="A2162" s="2">
        <v>45937</v>
      </c>
      <c r="B2162" t="s">
        <v>2648</v>
      </c>
      <c r="C2162" t="s">
        <v>1</v>
      </c>
      <c r="D2162" t="s">
        <v>3</v>
      </c>
      <c r="E2162">
        <v>1</v>
      </c>
      <c r="F2162" t="s">
        <v>4027</v>
      </c>
      <c r="G2162">
        <v>64</v>
      </c>
    </row>
    <row r="2163" spans="1:7" x14ac:dyDescent="0.2">
      <c r="A2163" s="2">
        <v>45938</v>
      </c>
      <c r="B2163" t="s">
        <v>3601</v>
      </c>
      <c r="C2163" t="s">
        <v>2</v>
      </c>
      <c r="D2163" t="s">
        <v>4</v>
      </c>
      <c r="E2163">
        <v>1</v>
      </c>
      <c r="F2163" t="s">
        <v>600</v>
      </c>
      <c r="G2163">
        <v>22</v>
      </c>
    </row>
    <row r="2164" spans="1:7" x14ac:dyDescent="0.2">
      <c r="A2164" s="2">
        <v>45938</v>
      </c>
      <c r="B2164" t="s">
        <v>3598</v>
      </c>
      <c r="C2164" t="s">
        <v>2</v>
      </c>
      <c r="D2164" t="s">
        <v>4</v>
      </c>
      <c r="E2164">
        <v>1</v>
      </c>
      <c r="F2164" t="s">
        <v>600</v>
      </c>
      <c r="G2164">
        <v>22</v>
      </c>
    </row>
    <row r="2165" spans="1:7" x14ac:dyDescent="0.2">
      <c r="A2165" s="2">
        <v>45938</v>
      </c>
      <c r="B2165" t="s">
        <v>3600</v>
      </c>
      <c r="C2165" t="s">
        <v>2</v>
      </c>
      <c r="D2165" t="s">
        <v>4</v>
      </c>
      <c r="E2165">
        <v>1</v>
      </c>
      <c r="F2165" t="s">
        <v>600</v>
      </c>
      <c r="G2165">
        <v>22</v>
      </c>
    </row>
    <row r="2166" spans="1:7" x14ac:dyDescent="0.2">
      <c r="A2166" s="2">
        <v>45938</v>
      </c>
      <c r="B2166" t="s">
        <v>2653</v>
      </c>
      <c r="C2166" t="s">
        <v>1</v>
      </c>
      <c r="D2166" t="s">
        <v>3</v>
      </c>
      <c r="E2166">
        <v>1</v>
      </c>
      <c r="F2166" t="s">
        <v>4027</v>
      </c>
      <c r="G2166">
        <v>73</v>
      </c>
    </row>
    <row r="2167" spans="1:7" x14ac:dyDescent="0.2">
      <c r="A2167" s="2">
        <v>45938</v>
      </c>
      <c r="B2167" t="s">
        <v>2652</v>
      </c>
      <c r="C2167" t="s">
        <v>1</v>
      </c>
      <c r="D2167" t="s">
        <v>3</v>
      </c>
      <c r="E2167">
        <v>1</v>
      </c>
      <c r="F2167" t="s">
        <v>4027</v>
      </c>
      <c r="G2167">
        <v>85</v>
      </c>
    </row>
    <row r="2168" spans="1:7" x14ac:dyDescent="0.2">
      <c r="A2168" s="2">
        <v>45938</v>
      </c>
      <c r="B2168" t="s">
        <v>2651</v>
      </c>
      <c r="C2168" t="s">
        <v>1</v>
      </c>
      <c r="D2168" t="s">
        <v>3</v>
      </c>
      <c r="E2168">
        <v>1</v>
      </c>
      <c r="F2168" t="s">
        <v>4027</v>
      </c>
      <c r="G2168">
        <v>70</v>
      </c>
    </row>
    <row r="2169" spans="1:7" x14ac:dyDescent="0.2">
      <c r="A2169" s="2">
        <v>45938</v>
      </c>
      <c r="B2169" t="s">
        <v>3599</v>
      </c>
      <c r="C2169" t="s">
        <v>2</v>
      </c>
      <c r="D2169" t="s">
        <v>4</v>
      </c>
      <c r="E2169">
        <v>1</v>
      </c>
      <c r="F2169" t="s">
        <v>600</v>
      </c>
      <c r="G2169">
        <v>22</v>
      </c>
    </row>
    <row r="2170" spans="1:7" x14ac:dyDescent="0.2">
      <c r="A2170" s="2">
        <v>45938</v>
      </c>
      <c r="B2170" t="s">
        <v>2654</v>
      </c>
      <c r="C2170" t="s">
        <v>1</v>
      </c>
      <c r="D2170" t="s">
        <v>3</v>
      </c>
      <c r="E2170">
        <v>1</v>
      </c>
      <c r="F2170" t="s">
        <v>4027</v>
      </c>
      <c r="G2170">
        <v>81</v>
      </c>
    </row>
    <row r="2171" spans="1:7" x14ac:dyDescent="0.2">
      <c r="A2171" s="2">
        <v>45939</v>
      </c>
      <c r="B2171" t="s">
        <v>2660</v>
      </c>
      <c r="C2171" t="s">
        <v>1</v>
      </c>
      <c r="D2171" t="s">
        <v>3</v>
      </c>
      <c r="E2171">
        <v>1</v>
      </c>
      <c r="F2171" t="s">
        <v>4027</v>
      </c>
      <c r="G2171">
        <v>83</v>
      </c>
    </row>
    <row r="2172" spans="1:7" x14ac:dyDescent="0.2">
      <c r="A2172" s="2">
        <v>45939</v>
      </c>
      <c r="B2172" t="s">
        <v>2659</v>
      </c>
      <c r="C2172" t="s">
        <v>1</v>
      </c>
      <c r="D2172" t="s">
        <v>3</v>
      </c>
      <c r="E2172">
        <v>1</v>
      </c>
      <c r="F2172" t="s">
        <v>4027</v>
      </c>
      <c r="G2172">
        <v>85</v>
      </c>
    </row>
    <row r="2173" spans="1:7" x14ac:dyDescent="0.2">
      <c r="A2173" s="2">
        <v>45939</v>
      </c>
      <c r="B2173" t="s">
        <v>2656</v>
      </c>
      <c r="C2173" t="s">
        <v>1</v>
      </c>
      <c r="D2173" t="s">
        <v>3</v>
      </c>
      <c r="E2173">
        <v>1</v>
      </c>
      <c r="F2173" t="s">
        <v>4027</v>
      </c>
      <c r="G2173">
        <v>74</v>
      </c>
    </row>
    <row r="2174" spans="1:7" x14ac:dyDescent="0.2">
      <c r="A2174" s="2">
        <v>45939</v>
      </c>
      <c r="B2174" t="s">
        <v>2655</v>
      </c>
      <c r="C2174" t="s">
        <v>1</v>
      </c>
      <c r="D2174" t="s">
        <v>3</v>
      </c>
      <c r="E2174">
        <v>1</v>
      </c>
      <c r="F2174" t="s">
        <v>4027</v>
      </c>
      <c r="G2174">
        <v>71</v>
      </c>
    </row>
    <row r="2175" spans="1:7" x14ac:dyDescent="0.2">
      <c r="A2175" s="2">
        <v>45939</v>
      </c>
      <c r="B2175" t="s">
        <v>2657</v>
      </c>
      <c r="C2175" t="s">
        <v>1</v>
      </c>
      <c r="D2175" t="s">
        <v>3</v>
      </c>
      <c r="E2175">
        <v>1</v>
      </c>
      <c r="F2175" t="s">
        <v>4027</v>
      </c>
      <c r="G2175">
        <v>78</v>
      </c>
    </row>
    <row r="2176" spans="1:7" x14ac:dyDescent="0.2">
      <c r="A2176" s="2">
        <v>45939</v>
      </c>
      <c r="B2176" t="s">
        <v>2658</v>
      </c>
      <c r="C2176" t="s">
        <v>1</v>
      </c>
      <c r="D2176" t="s">
        <v>3</v>
      </c>
      <c r="E2176">
        <v>1</v>
      </c>
      <c r="F2176" t="s">
        <v>4027</v>
      </c>
      <c r="G2176">
        <v>74</v>
      </c>
    </row>
    <row r="2177" spans="1:7" x14ac:dyDescent="0.2">
      <c r="A2177" s="2">
        <v>45940</v>
      </c>
      <c r="B2177" t="s">
        <v>3604</v>
      </c>
      <c r="C2177" t="s">
        <v>2</v>
      </c>
      <c r="D2177" t="s">
        <v>4</v>
      </c>
      <c r="E2177">
        <v>1</v>
      </c>
      <c r="F2177" t="s">
        <v>600</v>
      </c>
      <c r="G2177">
        <v>22</v>
      </c>
    </row>
    <row r="2178" spans="1:7" x14ac:dyDescent="0.2">
      <c r="A2178" s="2">
        <v>45940</v>
      </c>
      <c r="B2178" t="s">
        <v>3602</v>
      </c>
      <c r="C2178" t="s">
        <v>2</v>
      </c>
      <c r="D2178" t="s">
        <v>4</v>
      </c>
      <c r="E2178">
        <v>1</v>
      </c>
      <c r="F2178" t="s">
        <v>600</v>
      </c>
      <c r="G2178">
        <v>22</v>
      </c>
    </row>
    <row r="2179" spans="1:7" x14ac:dyDescent="0.2">
      <c r="A2179" s="2">
        <v>45940</v>
      </c>
      <c r="B2179" t="s">
        <v>2668</v>
      </c>
      <c r="C2179" t="s">
        <v>1</v>
      </c>
      <c r="D2179" t="s">
        <v>3</v>
      </c>
      <c r="E2179">
        <v>1</v>
      </c>
      <c r="F2179" t="s">
        <v>4027</v>
      </c>
      <c r="G2179">
        <v>74</v>
      </c>
    </row>
    <row r="2180" spans="1:7" x14ac:dyDescent="0.2">
      <c r="A2180" s="2">
        <v>45940</v>
      </c>
      <c r="B2180" t="s">
        <v>2667</v>
      </c>
      <c r="C2180" t="s">
        <v>1</v>
      </c>
      <c r="D2180" t="s">
        <v>3</v>
      </c>
      <c r="E2180">
        <v>1</v>
      </c>
      <c r="F2180" t="s">
        <v>4027</v>
      </c>
      <c r="G2180">
        <v>64</v>
      </c>
    </row>
    <row r="2181" spans="1:7" x14ac:dyDescent="0.2">
      <c r="A2181" s="2">
        <v>45940</v>
      </c>
      <c r="B2181" t="s">
        <v>2666</v>
      </c>
      <c r="C2181" t="s">
        <v>1</v>
      </c>
      <c r="D2181" t="s">
        <v>3</v>
      </c>
      <c r="E2181">
        <v>1</v>
      </c>
      <c r="F2181" t="s">
        <v>4027</v>
      </c>
      <c r="G2181">
        <v>83</v>
      </c>
    </row>
    <row r="2182" spans="1:7" x14ac:dyDescent="0.2">
      <c r="A2182" s="2">
        <v>45940</v>
      </c>
      <c r="B2182" t="s">
        <v>2665</v>
      </c>
      <c r="C2182" t="s">
        <v>1</v>
      </c>
      <c r="D2182" t="s">
        <v>3</v>
      </c>
      <c r="E2182">
        <v>1</v>
      </c>
      <c r="F2182" t="s">
        <v>4027</v>
      </c>
      <c r="G2182">
        <v>64</v>
      </c>
    </row>
    <row r="2183" spans="1:7" x14ac:dyDescent="0.2">
      <c r="A2183" s="2">
        <v>45940</v>
      </c>
      <c r="B2183" t="s">
        <v>2664</v>
      </c>
      <c r="C2183" t="s">
        <v>1</v>
      </c>
      <c r="D2183" t="s">
        <v>3</v>
      </c>
      <c r="E2183">
        <v>1</v>
      </c>
      <c r="F2183" t="s">
        <v>4027</v>
      </c>
      <c r="G2183">
        <v>65</v>
      </c>
    </row>
    <row r="2184" spans="1:7" x14ac:dyDescent="0.2">
      <c r="A2184" s="2">
        <v>45940</v>
      </c>
      <c r="B2184" t="s">
        <v>2663</v>
      </c>
      <c r="C2184" t="s">
        <v>1</v>
      </c>
      <c r="D2184" t="s">
        <v>3</v>
      </c>
      <c r="E2184">
        <v>1</v>
      </c>
      <c r="F2184" t="s">
        <v>4027</v>
      </c>
      <c r="G2184">
        <v>83</v>
      </c>
    </row>
    <row r="2185" spans="1:7" x14ac:dyDescent="0.2">
      <c r="A2185" s="2">
        <v>45940</v>
      </c>
      <c r="B2185" t="s">
        <v>2662</v>
      </c>
      <c r="C2185" t="s">
        <v>1</v>
      </c>
      <c r="D2185" t="s">
        <v>3</v>
      </c>
      <c r="E2185">
        <v>1</v>
      </c>
      <c r="F2185" t="s">
        <v>4027</v>
      </c>
      <c r="G2185">
        <v>84</v>
      </c>
    </row>
    <row r="2186" spans="1:7" x14ac:dyDescent="0.2">
      <c r="A2186" s="2">
        <v>45940</v>
      </c>
      <c r="B2186" t="s">
        <v>2661</v>
      </c>
      <c r="C2186" t="s">
        <v>1</v>
      </c>
      <c r="D2186" t="s">
        <v>3</v>
      </c>
      <c r="E2186">
        <v>1</v>
      </c>
      <c r="F2186" t="s">
        <v>4027</v>
      </c>
      <c r="G2186">
        <v>85</v>
      </c>
    </row>
    <row r="2187" spans="1:7" x14ac:dyDescent="0.2">
      <c r="A2187" s="2">
        <v>45940</v>
      </c>
      <c r="B2187" t="s">
        <v>3606</v>
      </c>
      <c r="C2187" t="s">
        <v>2</v>
      </c>
      <c r="D2187" t="s">
        <v>4</v>
      </c>
      <c r="E2187">
        <v>1</v>
      </c>
      <c r="F2187" t="s">
        <v>600</v>
      </c>
      <c r="G2187">
        <v>22</v>
      </c>
    </row>
    <row r="2188" spans="1:7" x14ac:dyDescent="0.2">
      <c r="A2188" s="2">
        <v>45940</v>
      </c>
      <c r="B2188" t="s">
        <v>3605</v>
      </c>
      <c r="C2188" t="s">
        <v>2</v>
      </c>
      <c r="D2188" t="s">
        <v>4</v>
      </c>
      <c r="E2188">
        <v>1</v>
      </c>
      <c r="F2188" t="s">
        <v>600</v>
      </c>
      <c r="G2188">
        <v>22</v>
      </c>
    </row>
    <row r="2189" spans="1:7" x14ac:dyDescent="0.2">
      <c r="A2189" s="2">
        <v>45940</v>
      </c>
      <c r="B2189" t="s">
        <v>3603</v>
      </c>
      <c r="C2189" t="s">
        <v>2</v>
      </c>
      <c r="D2189" t="s">
        <v>4</v>
      </c>
      <c r="E2189">
        <v>1</v>
      </c>
      <c r="F2189" t="s">
        <v>600</v>
      </c>
      <c r="G2189">
        <v>22</v>
      </c>
    </row>
    <row r="2190" spans="1:7" x14ac:dyDescent="0.2">
      <c r="A2190" s="2">
        <v>45941</v>
      </c>
      <c r="B2190" t="s">
        <v>2672</v>
      </c>
      <c r="C2190" t="s">
        <v>1</v>
      </c>
      <c r="D2190" t="s">
        <v>3</v>
      </c>
      <c r="E2190">
        <v>1</v>
      </c>
      <c r="F2190" t="s">
        <v>4027</v>
      </c>
      <c r="G2190">
        <v>89</v>
      </c>
    </row>
    <row r="2191" spans="1:7" x14ac:dyDescent="0.2">
      <c r="A2191" s="2">
        <v>45941</v>
      </c>
      <c r="B2191" t="s">
        <v>2670</v>
      </c>
      <c r="C2191" t="s">
        <v>1</v>
      </c>
      <c r="D2191" t="s">
        <v>3</v>
      </c>
      <c r="E2191">
        <v>1</v>
      </c>
      <c r="F2191" t="s">
        <v>4027</v>
      </c>
      <c r="G2191">
        <v>73</v>
      </c>
    </row>
    <row r="2192" spans="1:7" x14ac:dyDescent="0.2">
      <c r="A2192" s="2">
        <v>45941</v>
      </c>
      <c r="B2192" t="s">
        <v>2671</v>
      </c>
      <c r="C2192" t="s">
        <v>1</v>
      </c>
      <c r="D2192" t="s">
        <v>3</v>
      </c>
      <c r="E2192">
        <v>1</v>
      </c>
      <c r="F2192" t="s">
        <v>4027</v>
      </c>
      <c r="G2192">
        <v>72</v>
      </c>
    </row>
    <row r="2193" spans="1:7" x14ac:dyDescent="0.2">
      <c r="A2193" s="2">
        <v>45941</v>
      </c>
      <c r="B2193" t="s">
        <v>2673</v>
      </c>
      <c r="C2193" t="s">
        <v>1</v>
      </c>
      <c r="D2193" t="s">
        <v>3</v>
      </c>
      <c r="E2193">
        <v>1</v>
      </c>
      <c r="F2193" t="s">
        <v>4027</v>
      </c>
      <c r="G2193">
        <v>73</v>
      </c>
    </row>
    <row r="2194" spans="1:7" x14ac:dyDescent="0.2">
      <c r="A2194" s="2">
        <v>45941</v>
      </c>
      <c r="B2194" t="s">
        <v>2674</v>
      </c>
      <c r="C2194" t="s">
        <v>1</v>
      </c>
      <c r="D2194" t="s">
        <v>3</v>
      </c>
      <c r="E2194">
        <v>1</v>
      </c>
      <c r="F2194" t="s">
        <v>4027</v>
      </c>
      <c r="G2194">
        <v>68</v>
      </c>
    </row>
    <row r="2195" spans="1:7" x14ac:dyDescent="0.2">
      <c r="A2195" s="2">
        <v>45941</v>
      </c>
      <c r="B2195" t="s">
        <v>2669</v>
      </c>
      <c r="C2195" t="s">
        <v>1</v>
      </c>
      <c r="D2195" t="s">
        <v>3</v>
      </c>
      <c r="E2195">
        <v>1</v>
      </c>
      <c r="F2195" t="s">
        <v>4027</v>
      </c>
      <c r="G2195">
        <v>72</v>
      </c>
    </row>
    <row r="2196" spans="1:7" x14ac:dyDescent="0.2">
      <c r="A2196" s="2">
        <v>45943</v>
      </c>
      <c r="B2196" t="s">
        <v>2675</v>
      </c>
      <c r="C2196" t="s">
        <v>1</v>
      </c>
      <c r="D2196" t="s">
        <v>3</v>
      </c>
      <c r="E2196">
        <v>1</v>
      </c>
      <c r="F2196" t="s">
        <v>4027</v>
      </c>
      <c r="G2196">
        <v>82</v>
      </c>
    </row>
    <row r="2197" spans="1:7" x14ac:dyDescent="0.2">
      <c r="A2197" s="2">
        <v>45943</v>
      </c>
      <c r="B2197" t="s">
        <v>2676</v>
      </c>
      <c r="C2197" t="s">
        <v>1</v>
      </c>
      <c r="D2197" t="s">
        <v>3</v>
      </c>
      <c r="E2197">
        <v>1</v>
      </c>
      <c r="F2197" t="s">
        <v>4027</v>
      </c>
      <c r="G2197">
        <v>87</v>
      </c>
    </row>
    <row r="2198" spans="1:7" x14ac:dyDescent="0.2">
      <c r="A2198" s="2">
        <v>45943</v>
      </c>
      <c r="B2198" t="s">
        <v>2677</v>
      </c>
      <c r="C2198" t="s">
        <v>1</v>
      </c>
      <c r="D2198" t="s">
        <v>3</v>
      </c>
      <c r="E2198">
        <v>1</v>
      </c>
      <c r="F2198" t="s">
        <v>4027</v>
      </c>
      <c r="G2198">
        <v>71</v>
      </c>
    </row>
    <row r="2199" spans="1:7" x14ac:dyDescent="0.2">
      <c r="A2199" s="2">
        <v>45943</v>
      </c>
      <c r="B2199" t="s">
        <v>2679</v>
      </c>
      <c r="C2199" t="s">
        <v>1</v>
      </c>
      <c r="D2199" t="s">
        <v>3</v>
      </c>
      <c r="E2199">
        <v>1</v>
      </c>
      <c r="F2199" t="s">
        <v>4027</v>
      </c>
      <c r="G2199">
        <v>68</v>
      </c>
    </row>
    <row r="2200" spans="1:7" x14ac:dyDescent="0.2">
      <c r="A2200" s="2">
        <v>45943</v>
      </c>
      <c r="B2200" t="s">
        <v>2678</v>
      </c>
      <c r="C2200" t="s">
        <v>1</v>
      </c>
      <c r="D2200" t="s">
        <v>3</v>
      </c>
      <c r="E2200">
        <v>1</v>
      </c>
      <c r="F2200" t="s">
        <v>4027</v>
      </c>
      <c r="G2200">
        <v>82</v>
      </c>
    </row>
    <row r="2201" spans="1:7" x14ac:dyDescent="0.2">
      <c r="A2201" s="2">
        <v>45943</v>
      </c>
      <c r="B2201" t="s">
        <v>2680</v>
      </c>
      <c r="C2201" t="s">
        <v>1</v>
      </c>
      <c r="D2201" t="s">
        <v>3</v>
      </c>
      <c r="E2201">
        <v>1</v>
      </c>
      <c r="F2201" t="s">
        <v>4027</v>
      </c>
      <c r="G2201">
        <v>81</v>
      </c>
    </row>
    <row r="2202" spans="1:7" x14ac:dyDescent="0.2">
      <c r="A2202" s="2">
        <v>45943</v>
      </c>
      <c r="B2202" t="s">
        <v>2681</v>
      </c>
      <c r="C2202" t="s">
        <v>1</v>
      </c>
      <c r="D2202" t="s">
        <v>3</v>
      </c>
      <c r="E2202">
        <v>1</v>
      </c>
      <c r="F2202" t="s">
        <v>4027</v>
      </c>
      <c r="G2202">
        <v>80</v>
      </c>
    </row>
    <row r="2203" spans="1:7" x14ac:dyDescent="0.2">
      <c r="A2203" s="2">
        <v>45943</v>
      </c>
      <c r="B2203" t="s">
        <v>2682</v>
      </c>
      <c r="C2203" t="s">
        <v>1</v>
      </c>
      <c r="D2203" t="s">
        <v>3</v>
      </c>
      <c r="E2203">
        <v>1</v>
      </c>
      <c r="F2203" t="s">
        <v>4027</v>
      </c>
      <c r="G2203">
        <v>60</v>
      </c>
    </row>
    <row r="2204" spans="1:7" x14ac:dyDescent="0.2">
      <c r="A2204" s="2">
        <v>45944</v>
      </c>
      <c r="B2204" t="s">
        <v>3608</v>
      </c>
      <c r="C2204" t="s">
        <v>2</v>
      </c>
      <c r="D2204" t="s">
        <v>4</v>
      </c>
      <c r="E2204">
        <v>1</v>
      </c>
      <c r="F2204" t="s">
        <v>600</v>
      </c>
      <c r="G2204">
        <v>22</v>
      </c>
    </row>
    <row r="2205" spans="1:7" x14ac:dyDescent="0.2">
      <c r="A2205" s="2">
        <v>45944</v>
      </c>
      <c r="B2205" t="s">
        <v>2683</v>
      </c>
      <c r="C2205" t="s">
        <v>1</v>
      </c>
      <c r="D2205" t="s">
        <v>3</v>
      </c>
      <c r="E2205">
        <v>1</v>
      </c>
      <c r="F2205" t="s">
        <v>4027</v>
      </c>
      <c r="G2205">
        <v>86</v>
      </c>
    </row>
    <row r="2206" spans="1:7" x14ac:dyDescent="0.2">
      <c r="A2206" s="2">
        <v>45944</v>
      </c>
      <c r="B2206" t="s">
        <v>2684</v>
      </c>
      <c r="C2206" t="s">
        <v>1</v>
      </c>
      <c r="D2206" t="s">
        <v>3</v>
      </c>
      <c r="E2206">
        <v>1</v>
      </c>
      <c r="F2206" t="s">
        <v>4027</v>
      </c>
      <c r="G2206">
        <v>83</v>
      </c>
    </row>
    <row r="2207" spans="1:7" x14ac:dyDescent="0.2">
      <c r="A2207" s="2">
        <v>45944</v>
      </c>
      <c r="B2207" t="s">
        <v>2685</v>
      </c>
      <c r="C2207" t="s">
        <v>1</v>
      </c>
      <c r="D2207" t="s">
        <v>3</v>
      </c>
      <c r="E2207">
        <v>1</v>
      </c>
      <c r="F2207" t="s">
        <v>4027</v>
      </c>
      <c r="G2207">
        <v>80</v>
      </c>
    </row>
    <row r="2208" spans="1:7" x14ac:dyDescent="0.2">
      <c r="A2208" s="2">
        <v>45944</v>
      </c>
      <c r="B2208" t="s">
        <v>3607</v>
      </c>
      <c r="C2208" t="s">
        <v>2</v>
      </c>
      <c r="D2208" t="s">
        <v>4</v>
      </c>
      <c r="E2208">
        <v>1</v>
      </c>
      <c r="F2208" t="s">
        <v>600</v>
      </c>
      <c r="G2208">
        <v>22</v>
      </c>
    </row>
    <row r="2209" spans="1:7" x14ac:dyDescent="0.2">
      <c r="A2209" s="2">
        <v>45944</v>
      </c>
      <c r="B2209" t="s">
        <v>2686</v>
      </c>
      <c r="C2209" t="s">
        <v>1</v>
      </c>
      <c r="D2209" t="s">
        <v>3</v>
      </c>
      <c r="E2209">
        <v>1</v>
      </c>
      <c r="F2209" t="s">
        <v>4027</v>
      </c>
      <c r="G2209">
        <v>60</v>
      </c>
    </row>
    <row r="2210" spans="1:7" x14ac:dyDescent="0.2">
      <c r="A2210" s="2">
        <v>45944</v>
      </c>
      <c r="B2210" t="s">
        <v>2688</v>
      </c>
      <c r="C2210" t="s">
        <v>1</v>
      </c>
      <c r="D2210" t="s">
        <v>3</v>
      </c>
      <c r="E2210">
        <v>1</v>
      </c>
      <c r="F2210" t="s">
        <v>4027</v>
      </c>
      <c r="G2210">
        <v>77</v>
      </c>
    </row>
    <row r="2211" spans="1:7" x14ac:dyDescent="0.2">
      <c r="A2211" s="2">
        <v>45944</v>
      </c>
      <c r="B2211" t="s">
        <v>2689</v>
      </c>
      <c r="C2211" t="s">
        <v>1</v>
      </c>
      <c r="D2211" t="s">
        <v>3</v>
      </c>
      <c r="E2211">
        <v>1</v>
      </c>
      <c r="F2211" t="s">
        <v>4027</v>
      </c>
      <c r="G2211">
        <v>72</v>
      </c>
    </row>
    <row r="2212" spans="1:7" x14ac:dyDescent="0.2">
      <c r="A2212" s="2">
        <v>45944</v>
      </c>
      <c r="B2212" t="s">
        <v>2687</v>
      </c>
      <c r="C2212" t="s">
        <v>1</v>
      </c>
      <c r="D2212" t="s">
        <v>3</v>
      </c>
      <c r="E2212">
        <v>1</v>
      </c>
      <c r="F2212" t="s">
        <v>4027</v>
      </c>
      <c r="G2212">
        <v>65</v>
      </c>
    </row>
    <row r="2213" spans="1:7" x14ac:dyDescent="0.2">
      <c r="A2213" s="2">
        <v>45945</v>
      </c>
      <c r="B2213" t="s">
        <v>2690</v>
      </c>
      <c r="C2213" t="s">
        <v>1</v>
      </c>
      <c r="D2213" t="s">
        <v>3</v>
      </c>
      <c r="E2213">
        <v>1</v>
      </c>
      <c r="F2213" t="s">
        <v>4027</v>
      </c>
      <c r="G2213">
        <v>81</v>
      </c>
    </row>
    <row r="2214" spans="1:7" x14ac:dyDescent="0.2">
      <c r="A2214" s="2">
        <v>45945</v>
      </c>
      <c r="B2214" t="s">
        <v>2697</v>
      </c>
      <c r="C2214" t="s">
        <v>1</v>
      </c>
      <c r="D2214" t="s">
        <v>3</v>
      </c>
      <c r="E2214">
        <v>1</v>
      </c>
      <c r="F2214" t="s">
        <v>4027</v>
      </c>
      <c r="G2214">
        <v>85</v>
      </c>
    </row>
    <row r="2215" spans="1:7" x14ac:dyDescent="0.2">
      <c r="A2215" s="2">
        <v>45945</v>
      </c>
      <c r="B2215" t="s">
        <v>2691</v>
      </c>
      <c r="C2215" t="s">
        <v>1</v>
      </c>
      <c r="D2215" t="s">
        <v>3</v>
      </c>
      <c r="E2215">
        <v>1</v>
      </c>
      <c r="F2215" t="s">
        <v>4027</v>
      </c>
      <c r="G2215">
        <v>86</v>
      </c>
    </row>
    <row r="2216" spans="1:7" x14ac:dyDescent="0.2">
      <c r="A2216" s="2">
        <v>45945</v>
      </c>
      <c r="B2216" t="s">
        <v>2692</v>
      </c>
      <c r="C2216" t="s">
        <v>1</v>
      </c>
      <c r="D2216" t="s">
        <v>3</v>
      </c>
      <c r="E2216">
        <v>1</v>
      </c>
      <c r="F2216" t="s">
        <v>4027</v>
      </c>
      <c r="G2216">
        <v>81</v>
      </c>
    </row>
    <row r="2217" spans="1:7" x14ac:dyDescent="0.2">
      <c r="A2217" s="2">
        <v>45945</v>
      </c>
      <c r="B2217" t="s">
        <v>2693</v>
      </c>
      <c r="C2217" t="s">
        <v>1</v>
      </c>
      <c r="D2217" t="s">
        <v>3</v>
      </c>
      <c r="E2217">
        <v>1</v>
      </c>
      <c r="F2217" t="s">
        <v>4027</v>
      </c>
      <c r="G2217">
        <v>82</v>
      </c>
    </row>
    <row r="2218" spans="1:7" x14ac:dyDescent="0.2">
      <c r="A2218" s="2">
        <v>45945</v>
      </c>
      <c r="B2218" t="s">
        <v>2695</v>
      </c>
      <c r="C2218" t="s">
        <v>1</v>
      </c>
      <c r="D2218" t="s">
        <v>3</v>
      </c>
      <c r="E2218">
        <v>1</v>
      </c>
      <c r="F2218" t="s">
        <v>4027</v>
      </c>
      <c r="G2218">
        <v>65</v>
      </c>
    </row>
    <row r="2219" spans="1:7" x14ac:dyDescent="0.2">
      <c r="A2219" s="2">
        <v>45945</v>
      </c>
      <c r="B2219" t="s">
        <v>2694</v>
      </c>
      <c r="C2219" t="s">
        <v>1</v>
      </c>
      <c r="D2219" t="s">
        <v>3</v>
      </c>
      <c r="E2219">
        <v>1</v>
      </c>
      <c r="F2219" t="s">
        <v>4027</v>
      </c>
      <c r="G2219">
        <v>60</v>
      </c>
    </row>
    <row r="2220" spans="1:7" x14ac:dyDescent="0.2">
      <c r="A2220" s="2">
        <v>45945</v>
      </c>
      <c r="B2220" t="s">
        <v>2696</v>
      </c>
      <c r="C2220" t="s">
        <v>1</v>
      </c>
      <c r="D2220" t="s">
        <v>3</v>
      </c>
      <c r="E2220">
        <v>1</v>
      </c>
      <c r="F2220" t="s">
        <v>4027</v>
      </c>
      <c r="G2220">
        <v>73</v>
      </c>
    </row>
    <row r="2221" spans="1:7" x14ac:dyDescent="0.2">
      <c r="A2221" s="2">
        <v>45946</v>
      </c>
      <c r="B2221" t="s">
        <v>2698</v>
      </c>
      <c r="C2221" t="s">
        <v>1</v>
      </c>
      <c r="D2221" t="s">
        <v>3</v>
      </c>
      <c r="E2221">
        <v>1</v>
      </c>
      <c r="F2221" t="s">
        <v>4027</v>
      </c>
      <c r="G2221">
        <v>66</v>
      </c>
    </row>
    <row r="2222" spans="1:7" x14ac:dyDescent="0.2">
      <c r="A2222" s="2">
        <v>45946</v>
      </c>
      <c r="B2222" t="s">
        <v>2699</v>
      </c>
      <c r="C2222" t="s">
        <v>1</v>
      </c>
      <c r="D2222" t="s">
        <v>3</v>
      </c>
      <c r="E2222">
        <v>1</v>
      </c>
      <c r="F2222" t="s">
        <v>4027</v>
      </c>
      <c r="G2222">
        <v>89</v>
      </c>
    </row>
    <row r="2223" spans="1:7" x14ac:dyDescent="0.2">
      <c r="A2223" s="2">
        <v>45946</v>
      </c>
      <c r="B2223" t="s">
        <v>2700</v>
      </c>
      <c r="C2223" t="s">
        <v>1</v>
      </c>
      <c r="D2223" t="s">
        <v>3</v>
      </c>
      <c r="E2223">
        <v>1</v>
      </c>
      <c r="F2223" t="s">
        <v>4027</v>
      </c>
      <c r="G2223">
        <v>70</v>
      </c>
    </row>
    <row r="2224" spans="1:7" x14ac:dyDescent="0.2">
      <c r="A2224" s="2">
        <v>45946</v>
      </c>
      <c r="B2224" t="s">
        <v>2701</v>
      </c>
      <c r="C2224" t="s">
        <v>1</v>
      </c>
      <c r="D2224" t="s">
        <v>3</v>
      </c>
      <c r="E2224">
        <v>1</v>
      </c>
      <c r="F2224" t="s">
        <v>4027</v>
      </c>
      <c r="G2224">
        <v>87</v>
      </c>
    </row>
    <row r="2225" spans="1:7" x14ac:dyDescent="0.2">
      <c r="A2225" s="2">
        <v>45946</v>
      </c>
      <c r="B2225" t="s">
        <v>2702</v>
      </c>
      <c r="C2225" t="s">
        <v>1</v>
      </c>
      <c r="D2225" t="s">
        <v>3</v>
      </c>
      <c r="E2225">
        <v>1</v>
      </c>
      <c r="F2225" t="s">
        <v>4027</v>
      </c>
      <c r="G2225">
        <v>66</v>
      </c>
    </row>
    <row r="2226" spans="1:7" x14ac:dyDescent="0.2">
      <c r="A2226" s="2">
        <v>45946</v>
      </c>
      <c r="B2226" t="s">
        <v>2703</v>
      </c>
      <c r="C2226" t="s">
        <v>1</v>
      </c>
      <c r="D2226" t="s">
        <v>3</v>
      </c>
      <c r="E2226">
        <v>1</v>
      </c>
      <c r="F2226" t="s">
        <v>4027</v>
      </c>
      <c r="G2226">
        <v>71</v>
      </c>
    </row>
    <row r="2227" spans="1:7" x14ac:dyDescent="0.2">
      <c r="A2227" s="2">
        <v>45946</v>
      </c>
      <c r="B2227" t="s">
        <v>2704</v>
      </c>
      <c r="C2227" t="s">
        <v>1</v>
      </c>
      <c r="D2227" t="s">
        <v>3</v>
      </c>
      <c r="E2227">
        <v>1</v>
      </c>
      <c r="F2227" t="s">
        <v>4027</v>
      </c>
      <c r="G2227">
        <v>76</v>
      </c>
    </row>
    <row r="2228" spans="1:7" x14ac:dyDescent="0.2">
      <c r="A2228" s="2">
        <v>45947</v>
      </c>
      <c r="B2228" t="s">
        <v>3609</v>
      </c>
      <c r="C2228" t="s">
        <v>2</v>
      </c>
      <c r="D2228" t="s">
        <v>4</v>
      </c>
      <c r="E2228">
        <v>1</v>
      </c>
      <c r="F2228" t="s">
        <v>600</v>
      </c>
      <c r="G2228">
        <v>22</v>
      </c>
    </row>
    <row r="2229" spans="1:7" x14ac:dyDescent="0.2">
      <c r="A2229" s="2">
        <v>45947</v>
      </c>
      <c r="B2229" t="s">
        <v>2713</v>
      </c>
      <c r="C2229" t="s">
        <v>1</v>
      </c>
      <c r="D2229" t="s">
        <v>3</v>
      </c>
      <c r="E2229">
        <v>1</v>
      </c>
      <c r="F2229" t="s">
        <v>4027</v>
      </c>
      <c r="G2229">
        <v>77</v>
      </c>
    </row>
    <row r="2230" spans="1:7" x14ac:dyDescent="0.2">
      <c r="A2230" s="2">
        <v>45947</v>
      </c>
      <c r="B2230" t="s">
        <v>2711</v>
      </c>
      <c r="C2230" t="s">
        <v>1</v>
      </c>
      <c r="D2230" t="s">
        <v>3</v>
      </c>
      <c r="E2230">
        <v>1</v>
      </c>
      <c r="F2230" t="s">
        <v>4027</v>
      </c>
      <c r="G2230">
        <v>63</v>
      </c>
    </row>
    <row r="2231" spans="1:7" x14ac:dyDescent="0.2">
      <c r="A2231" s="2">
        <v>45947</v>
      </c>
      <c r="B2231" t="s">
        <v>2710</v>
      </c>
      <c r="C2231" t="s">
        <v>1</v>
      </c>
      <c r="D2231" t="s">
        <v>3</v>
      </c>
      <c r="E2231">
        <v>1</v>
      </c>
      <c r="F2231" t="s">
        <v>4027</v>
      </c>
      <c r="G2231">
        <v>75</v>
      </c>
    </row>
    <row r="2232" spans="1:7" x14ac:dyDescent="0.2">
      <c r="A2232" s="2">
        <v>45947</v>
      </c>
      <c r="B2232" t="s">
        <v>2709</v>
      </c>
      <c r="C2232" t="s">
        <v>1</v>
      </c>
      <c r="D2232" t="s">
        <v>3</v>
      </c>
      <c r="E2232">
        <v>1</v>
      </c>
      <c r="F2232" t="s">
        <v>4027</v>
      </c>
      <c r="G2232">
        <v>66</v>
      </c>
    </row>
    <row r="2233" spans="1:7" x14ac:dyDescent="0.2">
      <c r="A2233" s="2">
        <v>45947</v>
      </c>
      <c r="B2233" t="s">
        <v>2712</v>
      </c>
      <c r="C2233" t="s">
        <v>1</v>
      </c>
      <c r="D2233" t="s">
        <v>3</v>
      </c>
      <c r="E2233">
        <v>1</v>
      </c>
      <c r="F2233" t="s">
        <v>4027</v>
      </c>
      <c r="G2233">
        <v>82</v>
      </c>
    </row>
    <row r="2234" spans="1:7" x14ac:dyDescent="0.2">
      <c r="A2234" s="2">
        <v>45947</v>
      </c>
      <c r="B2234" t="s">
        <v>2707</v>
      </c>
      <c r="C2234" t="s">
        <v>1</v>
      </c>
      <c r="D2234" t="s">
        <v>3</v>
      </c>
      <c r="E2234">
        <v>1</v>
      </c>
      <c r="F2234" t="s">
        <v>4027</v>
      </c>
      <c r="G2234">
        <v>69</v>
      </c>
    </row>
    <row r="2235" spans="1:7" x14ac:dyDescent="0.2">
      <c r="A2235" s="2">
        <v>45947</v>
      </c>
      <c r="B2235" t="s">
        <v>2706</v>
      </c>
      <c r="C2235" t="s">
        <v>1</v>
      </c>
      <c r="D2235" t="s">
        <v>3</v>
      </c>
      <c r="E2235">
        <v>1</v>
      </c>
      <c r="F2235" t="s">
        <v>4027</v>
      </c>
      <c r="G2235">
        <v>81</v>
      </c>
    </row>
    <row r="2236" spans="1:7" x14ac:dyDescent="0.2">
      <c r="A2236" s="2">
        <v>45947</v>
      </c>
      <c r="B2236" t="s">
        <v>2708</v>
      </c>
      <c r="C2236" t="s">
        <v>1</v>
      </c>
      <c r="D2236" t="s">
        <v>3</v>
      </c>
      <c r="E2236">
        <v>1</v>
      </c>
      <c r="F2236" t="s">
        <v>4027</v>
      </c>
      <c r="G2236">
        <v>85</v>
      </c>
    </row>
    <row r="2237" spans="1:7" x14ac:dyDescent="0.2">
      <c r="A2237" s="2">
        <v>45947</v>
      </c>
      <c r="B2237" t="s">
        <v>2705</v>
      </c>
      <c r="C2237" t="s">
        <v>1</v>
      </c>
      <c r="D2237" t="s">
        <v>3</v>
      </c>
      <c r="E2237">
        <v>1</v>
      </c>
      <c r="F2237" t="s">
        <v>4027</v>
      </c>
      <c r="G2237">
        <v>78</v>
      </c>
    </row>
    <row r="2238" spans="1:7" x14ac:dyDescent="0.2">
      <c r="A2238" s="2">
        <v>45948</v>
      </c>
      <c r="B2238" t="s">
        <v>2717</v>
      </c>
      <c r="C2238" t="s">
        <v>1</v>
      </c>
      <c r="D2238" t="s">
        <v>3</v>
      </c>
      <c r="E2238">
        <v>1</v>
      </c>
      <c r="F2238" t="s">
        <v>4027</v>
      </c>
      <c r="G2238">
        <v>87</v>
      </c>
    </row>
    <row r="2239" spans="1:7" x14ac:dyDescent="0.2">
      <c r="A2239" s="2">
        <v>45948</v>
      </c>
      <c r="B2239" t="s">
        <v>2716</v>
      </c>
      <c r="C2239" t="s">
        <v>1</v>
      </c>
      <c r="D2239" t="s">
        <v>3</v>
      </c>
      <c r="E2239">
        <v>1</v>
      </c>
      <c r="F2239" t="s">
        <v>4027</v>
      </c>
      <c r="G2239">
        <v>74</v>
      </c>
    </row>
    <row r="2240" spans="1:7" x14ac:dyDescent="0.2">
      <c r="A2240" s="2">
        <v>45948</v>
      </c>
      <c r="B2240" t="s">
        <v>2718</v>
      </c>
      <c r="C2240" t="s">
        <v>1</v>
      </c>
      <c r="D2240" t="s">
        <v>3</v>
      </c>
      <c r="E2240">
        <v>1</v>
      </c>
      <c r="F2240" t="s">
        <v>4027</v>
      </c>
      <c r="G2240">
        <v>87</v>
      </c>
    </row>
    <row r="2241" spans="1:7" x14ac:dyDescent="0.2">
      <c r="A2241" s="2">
        <v>45948</v>
      </c>
      <c r="B2241" t="s">
        <v>2714</v>
      </c>
      <c r="C2241" t="s">
        <v>1</v>
      </c>
      <c r="D2241" t="s">
        <v>3</v>
      </c>
      <c r="E2241">
        <v>1</v>
      </c>
      <c r="F2241" t="s">
        <v>4027</v>
      </c>
      <c r="G2241">
        <v>86</v>
      </c>
    </row>
    <row r="2242" spans="1:7" x14ac:dyDescent="0.2">
      <c r="A2242" s="2">
        <v>45948</v>
      </c>
      <c r="B2242" t="s">
        <v>2715</v>
      </c>
      <c r="C2242" t="s">
        <v>1</v>
      </c>
      <c r="D2242" t="s">
        <v>3</v>
      </c>
      <c r="E2242">
        <v>1</v>
      </c>
      <c r="F2242" t="s">
        <v>4027</v>
      </c>
      <c r="G2242">
        <v>77</v>
      </c>
    </row>
    <row r="2243" spans="1:7" x14ac:dyDescent="0.2">
      <c r="A2243" s="2">
        <v>45950</v>
      </c>
      <c r="B2243" t="s">
        <v>2719</v>
      </c>
      <c r="C2243" t="s">
        <v>1</v>
      </c>
      <c r="D2243" t="s">
        <v>3</v>
      </c>
      <c r="E2243">
        <v>1</v>
      </c>
      <c r="F2243" t="s">
        <v>4027</v>
      </c>
      <c r="G2243">
        <v>70</v>
      </c>
    </row>
    <row r="2244" spans="1:7" x14ac:dyDescent="0.2">
      <c r="A2244" s="2">
        <v>45950</v>
      </c>
      <c r="B2244" t="s">
        <v>2720</v>
      </c>
      <c r="C2244" t="s">
        <v>1</v>
      </c>
      <c r="D2244" t="s">
        <v>3</v>
      </c>
      <c r="E2244">
        <v>1</v>
      </c>
      <c r="F2244" t="s">
        <v>4027</v>
      </c>
      <c r="G2244">
        <v>65</v>
      </c>
    </row>
    <row r="2245" spans="1:7" x14ac:dyDescent="0.2">
      <c r="A2245" s="2">
        <v>45950</v>
      </c>
      <c r="B2245" t="s">
        <v>2721</v>
      </c>
      <c r="C2245" t="s">
        <v>1</v>
      </c>
      <c r="D2245" t="s">
        <v>3</v>
      </c>
      <c r="E2245">
        <v>1</v>
      </c>
      <c r="F2245" t="s">
        <v>4027</v>
      </c>
      <c r="G2245">
        <v>71</v>
      </c>
    </row>
    <row r="2246" spans="1:7" x14ac:dyDescent="0.2">
      <c r="A2246" s="2">
        <v>45950</v>
      </c>
      <c r="B2246" t="s">
        <v>2722</v>
      </c>
      <c r="C2246" t="s">
        <v>1</v>
      </c>
      <c r="D2246" t="s">
        <v>3</v>
      </c>
      <c r="E2246">
        <v>1</v>
      </c>
      <c r="F2246" t="s">
        <v>4027</v>
      </c>
      <c r="G2246">
        <v>83</v>
      </c>
    </row>
    <row r="2247" spans="1:7" x14ac:dyDescent="0.2">
      <c r="A2247" s="2">
        <v>45950</v>
      </c>
      <c r="B2247" t="s">
        <v>2723</v>
      </c>
      <c r="C2247" t="s">
        <v>1</v>
      </c>
      <c r="D2247" t="s">
        <v>3</v>
      </c>
      <c r="E2247">
        <v>1</v>
      </c>
      <c r="F2247" t="s">
        <v>4027</v>
      </c>
      <c r="G2247">
        <v>85</v>
      </c>
    </row>
    <row r="2248" spans="1:7" x14ac:dyDescent="0.2">
      <c r="A2248" s="2">
        <v>45950</v>
      </c>
      <c r="B2248" t="s">
        <v>2724</v>
      </c>
      <c r="C2248" t="s">
        <v>1</v>
      </c>
      <c r="D2248" t="s">
        <v>3</v>
      </c>
      <c r="E2248">
        <v>1</v>
      </c>
      <c r="F2248" t="s">
        <v>4027</v>
      </c>
      <c r="G2248">
        <v>79</v>
      </c>
    </row>
    <row r="2249" spans="1:7" x14ac:dyDescent="0.2">
      <c r="A2249" s="2">
        <v>45951</v>
      </c>
      <c r="B2249" t="s">
        <v>2729</v>
      </c>
      <c r="C2249" t="s">
        <v>1</v>
      </c>
      <c r="D2249" t="s">
        <v>3</v>
      </c>
      <c r="E2249">
        <v>1</v>
      </c>
      <c r="F2249" t="s">
        <v>4027</v>
      </c>
      <c r="G2249">
        <v>69</v>
      </c>
    </row>
    <row r="2250" spans="1:7" x14ac:dyDescent="0.2">
      <c r="A2250" s="2">
        <v>45951</v>
      </c>
      <c r="B2250" t="s">
        <v>2730</v>
      </c>
      <c r="C2250" t="s">
        <v>1</v>
      </c>
      <c r="D2250" t="s">
        <v>3</v>
      </c>
      <c r="E2250">
        <v>1</v>
      </c>
      <c r="F2250" t="s">
        <v>4027</v>
      </c>
      <c r="G2250">
        <v>64</v>
      </c>
    </row>
    <row r="2251" spans="1:7" x14ac:dyDescent="0.2">
      <c r="A2251" s="2">
        <v>45951</v>
      </c>
      <c r="B2251" t="s">
        <v>2728</v>
      </c>
      <c r="C2251" t="s">
        <v>1</v>
      </c>
      <c r="D2251" t="s">
        <v>3</v>
      </c>
      <c r="E2251">
        <v>1</v>
      </c>
      <c r="F2251" t="s">
        <v>4027</v>
      </c>
      <c r="G2251">
        <v>63</v>
      </c>
    </row>
    <row r="2252" spans="1:7" x14ac:dyDescent="0.2">
      <c r="A2252" s="2">
        <v>45951</v>
      </c>
      <c r="B2252" t="s">
        <v>2726</v>
      </c>
      <c r="C2252" t="s">
        <v>1</v>
      </c>
      <c r="D2252" t="s">
        <v>3</v>
      </c>
      <c r="E2252">
        <v>1</v>
      </c>
      <c r="F2252" t="s">
        <v>4027</v>
      </c>
      <c r="G2252">
        <v>75</v>
      </c>
    </row>
    <row r="2253" spans="1:7" x14ac:dyDescent="0.2">
      <c r="A2253" s="2">
        <v>45951</v>
      </c>
      <c r="B2253" t="s">
        <v>2725</v>
      </c>
      <c r="C2253" t="s">
        <v>1</v>
      </c>
      <c r="D2253" t="s">
        <v>3</v>
      </c>
      <c r="E2253">
        <v>1</v>
      </c>
      <c r="F2253" t="s">
        <v>4027</v>
      </c>
      <c r="G2253">
        <v>60</v>
      </c>
    </row>
    <row r="2254" spans="1:7" x14ac:dyDescent="0.2">
      <c r="A2254" s="2">
        <v>45951</v>
      </c>
      <c r="B2254" t="s">
        <v>2727</v>
      </c>
      <c r="C2254" t="s">
        <v>1</v>
      </c>
      <c r="D2254" t="s">
        <v>3</v>
      </c>
      <c r="E2254">
        <v>1</v>
      </c>
      <c r="F2254" t="s">
        <v>4027</v>
      </c>
      <c r="G2254">
        <v>63</v>
      </c>
    </row>
    <row r="2255" spans="1:7" x14ac:dyDescent="0.2">
      <c r="A2255" s="2">
        <v>45952</v>
      </c>
      <c r="B2255" t="s">
        <v>2731</v>
      </c>
      <c r="C2255" t="s">
        <v>1</v>
      </c>
      <c r="D2255" t="s">
        <v>3</v>
      </c>
      <c r="E2255">
        <v>1</v>
      </c>
      <c r="F2255" t="s">
        <v>4027</v>
      </c>
      <c r="G2255">
        <v>63</v>
      </c>
    </row>
    <row r="2256" spans="1:7" x14ac:dyDescent="0.2">
      <c r="A2256" s="2">
        <v>45952</v>
      </c>
      <c r="B2256" t="s">
        <v>2732</v>
      </c>
      <c r="C2256" t="s">
        <v>1</v>
      </c>
      <c r="D2256" t="s">
        <v>3</v>
      </c>
      <c r="E2256">
        <v>1</v>
      </c>
      <c r="F2256" t="s">
        <v>4027</v>
      </c>
      <c r="G2256">
        <v>71</v>
      </c>
    </row>
    <row r="2257" spans="1:7" x14ac:dyDescent="0.2">
      <c r="A2257" s="2">
        <v>45952</v>
      </c>
      <c r="B2257" t="s">
        <v>2733</v>
      </c>
      <c r="C2257" t="s">
        <v>1</v>
      </c>
      <c r="D2257" t="s">
        <v>3</v>
      </c>
      <c r="E2257">
        <v>1</v>
      </c>
      <c r="F2257" t="s">
        <v>4027</v>
      </c>
      <c r="G2257">
        <v>63</v>
      </c>
    </row>
    <row r="2258" spans="1:7" x14ac:dyDescent="0.2">
      <c r="A2258" s="2">
        <v>45952</v>
      </c>
      <c r="B2258" t="s">
        <v>2734</v>
      </c>
      <c r="C2258" t="s">
        <v>1</v>
      </c>
      <c r="D2258" t="s">
        <v>3</v>
      </c>
      <c r="E2258">
        <v>1</v>
      </c>
      <c r="F2258" t="s">
        <v>4027</v>
      </c>
      <c r="G2258">
        <v>62</v>
      </c>
    </row>
    <row r="2259" spans="1:7" x14ac:dyDescent="0.2">
      <c r="A2259" s="2">
        <v>45953</v>
      </c>
      <c r="B2259" t="s">
        <v>2742</v>
      </c>
      <c r="C2259" t="s">
        <v>1</v>
      </c>
      <c r="D2259" t="s">
        <v>3</v>
      </c>
      <c r="E2259">
        <v>1</v>
      </c>
      <c r="F2259" t="s">
        <v>4027</v>
      </c>
      <c r="G2259">
        <v>71</v>
      </c>
    </row>
    <row r="2260" spans="1:7" x14ac:dyDescent="0.2">
      <c r="A2260" s="2">
        <v>45953</v>
      </c>
      <c r="B2260" t="s">
        <v>2744</v>
      </c>
      <c r="C2260" t="s">
        <v>1</v>
      </c>
      <c r="D2260" t="s">
        <v>3</v>
      </c>
      <c r="E2260">
        <v>1</v>
      </c>
      <c r="F2260" t="s">
        <v>4027</v>
      </c>
      <c r="G2260">
        <v>67</v>
      </c>
    </row>
    <row r="2261" spans="1:7" x14ac:dyDescent="0.2">
      <c r="A2261" s="2">
        <v>45953</v>
      </c>
      <c r="B2261" t="s">
        <v>2743</v>
      </c>
      <c r="C2261" t="s">
        <v>1</v>
      </c>
      <c r="D2261" t="s">
        <v>3</v>
      </c>
      <c r="E2261">
        <v>1</v>
      </c>
      <c r="F2261" t="s">
        <v>4027</v>
      </c>
      <c r="G2261">
        <v>71</v>
      </c>
    </row>
    <row r="2262" spans="1:7" x14ac:dyDescent="0.2">
      <c r="A2262" s="2">
        <v>45953</v>
      </c>
      <c r="B2262" t="s">
        <v>2741</v>
      </c>
      <c r="C2262" t="s">
        <v>1</v>
      </c>
      <c r="D2262" t="s">
        <v>3</v>
      </c>
      <c r="E2262">
        <v>1</v>
      </c>
      <c r="F2262" t="s">
        <v>4027</v>
      </c>
      <c r="G2262">
        <v>66</v>
      </c>
    </row>
    <row r="2263" spans="1:7" x14ac:dyDescent="0.2">
      <c r="A2263" s="2">
        <v>45953</v>
      </c>
      <c r="B2263" t="s">
        <v>2740</v>
      </c>
      <c r="C2263" t="s">
        <v>1</v>
      </c>
      <c r="D2263" t="s">
        <v>3</v>
      </c>
      <c r="E2263">
        <v>1</v>
      </c>
      <c r="F2263" t="s">
        <v>4027</v>
      </c>
      <c r="G2263">
        <v>71</v>
      </c>
    </row>
    <row r="2264" spans="1:7" x14ac:dyDescent="0.2">
      <c r="A2264" s="2">
        <v>45953</v>
      </c>
      <c r="B2264" t="s">
        <v>2738</v>
      </c>
      <c r="C2264" t="s">
        <v>1</v>
      </c>
      <c r="D2264" t="s">
        <v>3</v>
      </c>
      <c r="E2264">
        <v>1</v>
      </c>
      <c r="F2264" t="s">
        <v>4027</v>
      </c>
      <c r="G2264">
        <v>63</v>
      </c>
    </row>
    <row r="2265" spans="1:7" x14ac:dyDescent="0.2">
      <c r="A2265" s="2">
        <v>45953</v>
      </c>
      <c r="B2265" t="s">
        <v>2737</v>
      </c>
      <c r="C2265" t="s">
        <v>1</v>
      </c>
      <c r="D2265" t="s">
        <v>3</v>
      </c>
      <c r="E2265">
        <v>1</v>
      </c>
      <c r="F2265" t="s">
        <v>4027</v>
      </c>
      <c r="G2265">
        <v>70</v>
      </c>
    </row>
    <row r="2266" spans="1:7" x14ac:dyDescent="0.2">
      <c r="A2266" s="2">
        <v>45953</v>
      </c>
      <c r="B2266" t="s">
        <v>2736</v>
      </c>
      <c r="C2266" t="s">
        <v>1</v>
      </c>
      <c r="D2266" t="s">
        <v>3</v>
      </c>
      <c r="E2266">
        <v>1</v>
      </c>
      <c r="F2266" t="s">
        <v>4027</v>
      </c>
      <c r="G2266">
        <v>66</v>
      </c>
    </row>
    <row r="2267" spans="1:7" x14ac:dyDescent="0.2">
      <c r="A2267" s="2">
        <v>45953</v>
      </c>
      <c r="B2267" t="s">
        <v>2735</v>
      </c>
      <c r="C2267" t="s">
        <v>1</v>
      </c>
      <c r="D2267" t="s">
        <v>3</v>
      </c>
      <c r="E2267">
        <v>1</v>
      </c>
      <c r="F2267" t="s">
        <v>4027</v>
      </c>
      <c r="G2267">
        <v>68</v>
      </c>
    </row>
    <row r="2268" spans="1:7" x14ac:dyDescent="0.2">
      <c r="A2268" s="2">
        <v>45953</v>
      </c>
      <c r="B2268" t="s">
        <v>2739</v>
      </c>
      <c r="C2268" t="s">
        <v>1</v>
      </c>
      <c r="D2268" t="s">
        <v>3</v>
      </c>
      <c r="E2268">
        <v>1</v>
      </c>
      <c r="F2268" t="s">
        <v>4027</v>
      </c>
      <c r="G2268">
        <v>63</v>
      </c>
    </row>
    <row r="2269" spans="1:7" x14ac:dyDescent="0.2">
      <c r="A2269" s="2">
        <v>45954</v>
      </c>
      <c r="B2269" t="s">
        <v>3617</v>
      </c>
      <c r="C2269" t="s">
        <v>2</v>
      </c>
      <c r="D2269" t="s">
        <v>4</v>
      </c>
      <c r="E2269">
        <v>1</v>
      </c>
      <c r="F2269" t="s">
        <v>600</v>
      </c>
      <c r="G2269">
        <v>22</v>
      </c>
    </row>
    <row r="2270" spans="1:7" x14ac:dyDescent="0.2">
      <c r="A2270" s="2">
        <v>45954</v>
      </c>
      <c r="B2270" t="s">
        <v>2757</v>
      </c>
      <c r="C2270" t="s">
        <v>1</v>
      </c>
      <c r="D2270" t="s">
        <v>3</v>
      </c>
      <c r="E2270">
        <v>1</v>
      </c>
      <c r="F2270" t="s">
        <v>4027</v>
      </c>
      <c r="G2270">
        <v>86</v>
      </c>
    </row>
    <row r="2271" spans="1:7" x14ac:dyDescent="0.2">
      <c r="A2271" s="2">
        <v>45954</v>
      </c>
      <c r="B2271" t="s">
        <v>2758</v>
      </c>
      <c r="C2271" t="s">
        <v>1</v>
      </c>
      <c r="D2271" t="s">
        <v>3</v>
      </c>
      <c r="E2271">
        <v>1</v>
      </c>
      <c r="F2271" t="s">
        <v>4027</v>
      </c>
      <c r="G2271">
        <v>71</v>
      </c>
    </row>
    <row r="2272" spans="1:7" x14ac:dyDescent="0.2">
      <c r="A2272" s="2">
        <v>45954</v>
      </c>
      <c r="B2272" t="s">
        <v>3616</v>
      </c>
      <c r="C2272" t="s">
        <v>2</v>
      </c>
      <c r="D2272" t="s">
        <v>4</v>
      </c>
      <c r="E2272">
        <v>1</v>
      </c>
      <c r="F2272" t="s">
        <v>600</v>
      </c>
      <c r="G2272">
        <v>22</v>
      </c>
    </row>
    <row r="2273" spans="1:7" x14ac:dyDescent="0.2">
      <c r="A2273" s="2">
        <v>45954</v>
      </c>
      <c r="B2273" t="s">
        <v>2756</v>
      </c>
      <c r="C2273" t="s">
        <v>1</v>
      </c>
      <c r="D2273" t="s">
        <v>3</v>
      </c>
      <c r="E2273">
        <v>1</v>
      </c>
      <c r="F2273" t="s">
        <v>4027</v>
      </c>
      <c r="G2273">
        <v>67</v>
      </c>
    </row>
    <row r="2274" spans="1:7" x14ac:dyDescent="0.2">
      <c r="A2274" s="2">
        <v>45954</v>
      </c>
      <c r="B2274" t="s">
        <v>3614</v>
      </c>
      <c r="C2274" t="s">
        <v>2</v>
      </c>
      <c r="D2274" t="s">
        <v>4</v>
      </c>
      <c r="E2274">
        <v>1</v>
      </c>
      <c r="F2274" t="s">
        <v>600</v>
      </c>
      <c r="G2274">
        <v>22</v>
      </c>
    </row>
    <row r="2275" spans="1:7" x14ac:dyDescent="0.2">
      <c r="A2275" s="2">
        <v>45954</v>
      </c>
      <c r="B2275" t="s">
        <v>3613</v>
      </c>
      <c r="C2275" t="s">
        <v>2</v>
      </c>
      <c r="D2275" t="s">
        <v>4</v>
      </c>
      <c r="E2275">
        <v>1</v>
      </c>
      <c r="F2275" t="s">
        <v>600</v>
      </c>
      <c r="G2275">
        <v>22</v>
      </c>
    </row>
    <row r="2276" spans="1:7" x14ac:dyDescent="0.2">
      <c r="A2276" s="2">
        <v>45954</v>
      </c>
      <c r="B2276" t="s">
        <v>3612</v>
      </c>
      <c r="C2276" t="s">
        <v>2</v>
      </c>
      <c r="D2276" t="s">
        <v>4</v>
      </c>
      <c r="E2276">
        <v>1</v>
      </c>
      <c r="F2276" t="s">
        <v>600</v>
      </c>
      <c r="G2276">
        <v>22</v>
      </c>
    </row>
    <row r="2277" spans="1:7" x14ac:dyDescent="0.2">
      <c r="A2277" s="2">
        <v>45954</v>
      </c>
      <c r="B2277" t="s">
        <v>3611</v>
      </c>
      <c r="C2277" t="s">
        <v>2</v>
      </c>
      <c r="D2277" t="s">
        <v>4</v>
      </c>
      <c r="E2277">
        <v>1</v>
      </c>
      <c r="F2277" t="s">
        <v>600</v>
      </c>
      <c r="G2277">
        <v>22</v>
      </c>
    </row>
    <row r="2278" spans="1:7" x14ac:dyDescent="0.2">
      <c r="A2278" s="2">
        <v>45954</v>
      </c>
      <c r="B2278" t="s">
        <v>3615</v>
      </c>
      <c r="C2278" t="s">
        <v>2</v>
      </c>
      <c r="D2278" t="s">
        <v>4</v>
      </c>
      <c r="E2278">
        <v>1</v>
      </c>
      <c r="F2278" t="s">
        <v>600</v>
      </c>
      <c r="G2278">
        <v>22</v>
      </c>
    </row>
    <row r="2279" spans="1:7" x14ac:dyDescent="0.2">
      <c r="A2279" s="2">
        <v>45954</v>
      </c>
      <c r="B2279" t="s">
        <v>2755</v>
      </c>
      <c r="C2279" t="s">
        <v>1</v>
      </c>
      <c r="D2279" t="s">
        <v>3</v>
      </c>
      <c r="E2279">
        <v>1</v>
      </c>
      <c r="F2279" t="s">
        <v>4027</v>
      </c>
      <c r="G2279">
        <v>60</v>
      </c>
    </row>
    <row r="2280" spans="1:7" x14ac:dyDescent="0.2">
      <c r="A2280" s="2">
        <v>45954</v>
      </c>
      <c r="B2280" t="s">
        <v>2747</v>
      </c>
      <c r="C2280" t="s">
        <v>1</v>
      </c>
      <c r="D2280" t="s">
        <v>3</v>
      </c>
      <c r="E2280">
        <v>1</v>
      </c>
      <c r="F2280" t="s">
        <v>4027</v>
      </c>
      <c r="G2280">
        <v>71</v>
      </c>
    </row>
    <row r="2281" spans="1:7" x14ac:dyDescent="0.2">
      <c r="A2281" s="2">
        <v>45954</v>
      </c>
      <c r="B2281" t="s">
        <v>2753</v>
      </c>
      <c r="C2281" t="s">
        <v>1</v>
      </c>
      <c r="D2281" t="s">
        <v>3</v>
      </c>
      <c r="E2281">
        <v>1</v>
      </c>
      <c r="F2281" t="s">
        <v>4027</v>
      </c>
      <c r="G2281">
        <v>71</v>
      </c>
    </row>
    <row r="2282" spans="1:7" x14ac:dyDescent="0.2">
      <c r="A2282" s="2">
        <v>45954</v>
      </c>
      <c r="B2282" t="s">
        <v>2749</v>
      </c>
      <c r="C2282" t="s">
        <v>1</v>
      </c>
      <c r="D2282" t="s">
        <v>3</v>
      </c>
      <c r="E2282">
        <v>1</v>
      </c>
      <c r="F2282" t="s">
        <v>4027</v>
      </c>
      <c r="G2282">
        <v>85</v>
      </c>
    </row>
    <row r="2283" spans="1:7" x14ac:dyDescent="0.2">
      <c r="A2283" s="2">
        <v>45954</v>
      </c>
      <c r="B2283" t="s">
        <v>2748</v>
      </c>
      <c r="C2283" t="s">
        <v>1</v>
      </c>
      <c r="D2283" t="s">
        <v>3</v>
      </c>
      <c r="E2283">
        <v>1</v>
      </c>
      <c r="F2283" t="s">
        <v>4027</v>
      </c>
      <c r="G2283">
        <v>69</v>
      </c>
    </row>
    <row r="2284" spans="1:7" x14ac:dyDescent="0.2">
      <c r="A2284" s="2">
        <v>45954</v>
      </c>
      <c r="B2284" t="s">
        <v>3610</v>
      </c>
      <c r="C2284" t="s">
        <v>2</v>
      </c>
      <c r="D2284" t="s">
        <v>4</v>
      </c>
      <c r="E2284">
        <v>1</v>
      </c>
      <c r="F2284" t="s">
        <v>600</v>
      </c>
      <c r="G2284">
        <v>22</v>
      </c>
    </row>
    <row r="2285" spans="1:7" x14ac:dyDescent="0.2">
      <c r="A2285" s="2">
        <v>45954</v>
      </c>
      <c r="B2285" t="s">
        <v>2746</v>
      </c>
      <c r="C2285" t="s">
        <v>1</v>
      </c>
      <c r="D2285" t="s">
        <v>3</v>
      </c>
      <c r="E2285">
        <v>1</v>
      </c>
      <c r="F2285" t="s">
        <v>4027</v>
      </c>
      <c r="G2285">
        <v>70</v>
      </c>
    </row>
    <row r="2286" spans="1:7" x14ac:dyDescent="0.2">
      <c r="A2286" s="2">
        <v>45954</v>
      </c>
      <c r="B2286" t="s">
        <v>2745</v>
      </c>
      <c r="C2286" t="s">
        <v>1</v>
      </c>
      <c r="D2286" t="s">
        <v>3</v>
      </c>
      <c r="E2286">
        <v>1</v>
      </c>
      <c r="F2286" t="s">
        <v>4027</v>
      </c>
      <c r="G2286">
        <v>72</v>
      </c>
    </row>
    <row r="2287" spans="1:7" x14ac:dyDescent="0.2">
      <c r="A2287" s="2">
        <v>45954</v>
      </c>
      <c r="B2287" t="s">
        <v>2750</v>
      </c>
      <c r="C2287" t="s">
        <v>1</v>
      </c>
      <c r="D2287" t="s">
        <v>3</v>
      </c>
      <c r="E2287">
        <v>1</v>
      </c>
      <c r="F2287" t="s">
        <v>4027</v>
      </c>
      <c r="G2287">
        <v>61</v>
      </c>
    </row>
    <row r="2288" spans="1:7" x14ac:dyDescent="0.2">
      <c r="A2288" s="2">
        <v>45954</v>
      </c>
      <c r="B2288" t="s">
        <v>2754</v>
      </c>
      <c r="C2288" t="s">
        <v>1</v>
      </c>
      <c r="D2288" t="s">
        <v>3</v>
      </c>
      <c r="E2288">
        <v>1</v>
      </c>
      <c r="F2288" t="s">
        <v>4027</v>
      </c>
      <c r="G2288">
        <v>64</v>
      </c>
    </row>
    <row r="2289" spans="1:7" x14ac:dyDescent="0.2">
      <c r="A2289" s="2">
        <v>45954</v>
      </c>
      <c r="B2289" t="s">
        <v>2751</v>
      </c>
      <c r="C2289" t="s">
        <v>1</v>
      </c>
      <c r="D2289" t="s">
        <v>3</v>
      </c>
      <c r="E2289">
        <v>1</v>
      </c>
      <c r="F2289" t="s">
        <v>4027</v>
      </c>
      <c r="G2289">
        <v>81</v>
      </c>
    </row>
    <row r="2290" spans="1:7" x14ac:dyDescent="0.2">
      <c r="A2290" s="2">
        <v>45954</v>
      </c>
      <c r="B2290" t="s">
        <v>2752</v>
      </c>
      <c r="C2290" t="s">
        <v>1</v>
      </c>
      <c r="D2290" t="s">
        <v>3</v>
      </c>
      <c r="E2290">
        <v>1</v>
      </c>
      <c r="F2290" t="s">
        <v>4027</v>
      </c>
      <c r="G2290">
        <v>79</v>
      </c>
    </row>
    <row r="2291" spans="1:7" x14ac:dyDescent="0.2">
      <c r="A2291" s="2">
        <v>45957</v>
      </c>
      <c r="B2291" t="s">
        <v>2764</v>
      </c>
      <c r="C2291" t="s">
        <v>1</v>
      </c>
      <c r="D2291" t="s">
        <v>3</v>
      </c>
      <c r="E2291">
        <v>1</v>
      </c>
      <c r="F2291" t="s">
        <v>4027</v>
      </c>
      <c r="G2291">
        <v>70</v>
      </c>
    </row>
    <row r="2292" spans="1:7" x14ac:dyDescent="0.2">
      <c r="A2292" s="2">
        <v>45957</v>
      </c>
      <c r="B2292" t="s">
        <v>2765</v>
      </c>
      <c r="C2292" t="s">
        <v>1</v>
      </c>
      <c r="D2292" t="s">
        <v>3</v>
      </c>
      <c r="E2292">
        <v>1</v>
      </c>
      <c r="F2292" t="s">
        <v>4027</v>
      </c>
      <c r="G2292">
        <v>73</v>
      </c>
    </row>
    <row r="2293" spans="1:7" x14ac:dyDescent="0.2">
      <c r="A2293" s="2">
        <v>45957</v>
      </c>
      <c r="B2293" t="s">
        <v>2762</v>
      </c>
      <c r="C2293" t="s">
        <v>1</v>
      </c>
      <c r="D2293" t="s">
        <v>3</v>
      </c>
      <c r="E2293">
        <v>1</v>
      </c>
      <c r="F2293" t="s">
        <v>4027</v>
      </c>
      <c r="G2293">
        <v>61</v>
      </c>
    </row>
    <row r="2294" spans="1:7" x14ac:dyDescent="0.2">
      <c r="A2294" s="2">
        <v>45957</v>
      </c>
      <c r="B2294" t="s">
        <v>2767</v>
      </c>
      <c r="C2294" t="s">
        <v>1</v>
      </c>
      <c r="D2294" t="s">
        <v>3</v>
      </c>
      <c r="E2294">
        <v>1</v>
      </c>
      <c r="F2294" t="s">
        <v>4027</v>
      </c>
      <c r="G2294">
        <v>76</v>
      </c>
    </row>
    <row r="2295" spans="1:7" x14ac:dyDescent="0.2">
      <c r="A2295" s="2">
        <v>45957</v>
      </c>
      <c r="B2295" t="s">
        <v>2768</v>
      </c>
      <c r="C2295" t="s">
        <v>1</v>
      </c>
      <c r="D2295" t="s">
        <v>3</v>
      </c>
      <c r="E2295">
        <v>1</v>
      </c>
      <c r="F2295" t="s">
        <v>4027</v>
      </c>
      <c r="G2295">
        <v>76</v>
      </c>
    </row>
    <row r="2296" spans="1:7" x14ac:dyDescent="0.2">
      <c r="A2296" s="2">
        <v>45957</v>
      </c>
      <c r="B2296" t="s">
        <v>2769</v>
      </c>
      <c r="C2296" t="s">
        <v>1</v>
      </c>
      <c r="D2296" t="s">
        <v>3</v>
      </c>
      <c r="E2296">
        <v>1</v>
      </c>
      <c r="F2296" t="s">
        <v>4027</v>
      </c>
      <c r="G2296">
        <v>63</v>
      </c>
    </row>
    <row r="2297" spans="1:7" x14ac:dyDescent="0.2">
      <c r="A2297" s="2">
        <v>45957</v>
      </c>
      <c r="B2297" t="s">
        <v>2770</v>
      </c>
      <c r="C2297" t="s">
        <v>1</v>
      </c>
      <c r="D2297" t="s">
        <v>3</v>
      </c>
      <c r="E2297">
        <v>1</v>
      </c>
      <c r="F2297" t="s">
        <v>4027</v>
      </c>
      <c r="G2297">
        <v>87</v>
      </c>
    </row>
    <row r="2298" spans="1:7" x14ac:dyDescent="0.2">
      <c r="A2298" s="2">
        <v>45957</v>
      </c>
      <c r="B2298" t="s">
        <v>2761</v>
      </c>
      <c r="C2298" t="s">
        <v>1</v>
      </c>
      <c r="D2298" t="s">
        <v>3</v>
      </c>
      <c r="E2298">
        <v>1</v>
      </c>
      <c r="F2298" t="s">
        <v>4027</v>
      </c>
      <c r="G2298">
        <v>65</v>
      </c>
    </row>
    <row r="2299" spans="1:7" x14ac:dyDescent="0.2">
      <c r="A2299" s="2">
        <v>45957</v>
      </c>
      <c r="B2299" t="s">
        <v>2760</v>
      </c>
      <c r="C2299" t="s">
        <v>1</v>
      </c>
      <c r="D2299" t="s">
        <v>3</v>
      </c>
      <c r="E2299">
        <v>1</v>
      </c>
      <c r="F2299" t="s">
        <v>4027</v>
      </c>
      <c r="G2299">
        <v>71</v>
      </c>
    </row>
    <row r="2300" spans="1:7" x14ac:dyDescent="0.2">
      <c r="A2300" s="2">
        <v>45957</v>
      </c>
      <c r="B2300" t="s">
        <v>2759</v>
      </c>
      <c r="C2300" t="s">
        <v>1</v>
      </c>
      <c r="D2300" t="s">
        <v>3</v>
      </c>
      <c r="E2300">
        <v>1</v>
      </c>
      <c r="F2300" t="s">
        <v>4027</v>
      </c>
      <c r="G2300">
        <v>83</v>
      </c>
    </row>
    <row r="2301" spans="1:7" x14ac:dyDescent="0.2">
      <c r="A2301" s="2">
        <v>45957</v>
      </c>
      <c r="B2301" t="s">
        <v>2763</v>
      </c>
      <c r="C2301" t="s">
        <v>1</v>
      </c>
      <c r="D2301" t="s">
        <v>3</v>
      </c>
      <c r="E2301">
        <v>1</v>
      </c>
      <c r="F2301" t="s">
        <v>4027</v>
      </c>
      <c r="G2301">
        <v>73</v>
      </c>
    </row>
    <row r="2302" spans="1:7" x14ac:dyDescent="0.2">
      <c r="A2302" s="2">
        <v>45957</v>
      </c>
      <c r="B2302" t="s">
        <v>2766</v>
      </c>
      <c r="C2302" t="s">
        <v>1</v>
      </c>
      <c r="D2302" t="s">
        <v>3</v>
      </c>
      <c r="E2302">
        <v>1</v>
      </c>
      <c r="F2302" t="s">
        <v>4027</v>
      </c>
      <c r="G2302">
        <v>70</v>
      </c>
    </row>
    <row r="2303" spans="1:7" x14ac:dyDescent="0.2">
      <c r="A2303" s="2">
        <v>45958</v>
      </c>
      <c r="B2303" t="s">
        <v>2777</v>
      </c>
      <c r="C2303" t="s">
        <v>1</v>
      </c>
      <c r="D2303" t="s">
        <v>3</v>
      </c>
      <c r="E2303">
        <v>1</v>
      </c>
      <c r="F2303" t="s">
        <v>4027</v>
      </c>
      <c r="G2303">
        <v>81</v>
      </c>
    </row>
    <row r="2304" spans="1:7" x14ac:dyDescent="0.2">
      <c r="A2304" s="2">
        <v>45958</v>
      </c>
      <c r="B2304" t="s">
        <v>2771</v>
      </c>
      <c r="C2304" t="s">
        <v>1</v>
      </c>
      <c r="D2304" t="s">
        <v>3</v>
      </c>
      <c r="E2304">
        <v>1</v>
      </c>
      <c r="F2304" t="s">
        <v>4027</v>
      </c>
      <c r="G2304">
        <v>63</v>
      </c>
    </row>
    <row r="2305" spans="1:7" x14ac:dyDescent="0.2">
      <c r="A2305" s="2">
        <v>45958</v>
      </c>
      <c r="B2305" t="s">
        <v>2772</v>
      </c>
      <c r="C2305" t="s">
        <v>1</v>
      </c>
      <c r="D2305" t="s">
        <v>3</v>
      </c>
      <c r="E2305">
        <v>1</v>
      </c>
      <c r="F2305" t="s">
        <v>4027</v>
      </c>
      <c r="G2305">
        <v>67</v>
      </c>
    </row>
    <row r="2306" spans="1:7" x14ac:dyDescent="0.2">
      <c r="A2306" s="2">
        <v>45958</v>
      </c>
      <c r="B2306" t="s">
        <v>2773</v>
      </c>
      <c r="C2306" t="s">
        <v>1</v>
      </c>
      <c r="D2306" t="s">
        <v>3</v>
      </c>
      <c r="E2306">
        <v>1</v>
      </c>
      <c r="F2306" t="s">
        <v>4027</v>
      </c>
      <c r="G2306">
        <v>63</v>
      </c>
    </row>
    <row r="2307" spans="1:7" x14ac:dyDescent="0.2">
      <c r="A2307" s="2">
        <v>45958</v>
      </c>
      <c r="B2307" t="s">
        <v>2774</v>
      </c>
      <c r="C2307" t="s">
        <v>1</v>
      </c>
      <c r="D2307" t="s">
        <v>3</v>
      </c>
      <c r="E2307">
        <v>1</v>
      </c>
      <c r="F2307" t="s">
        <v>4027</v>
      </c>
      <c r="G2307">
        <v>69</v>
      </c>
    </row>
    <row r="2308" spans="1:7" x14ac:dyDescent="0.2">
      <c r="A2308" s="2">
        <v>45958</v>
      </c>
      <c r="B2308" t="s">
        <v>2775</v>
      </c>
      <c r="C2308" t="s">
        <v>1</v>
      </c>
      <c r="D2308" t="s">
        <v>3</v>
      </c>
      <c r="E2308">
        <v>1</v>
      </c>
      <c r="F2308" t="s">
        <v>4027</v>
      </c>
      <c r="G2308">
        <v>63</v>
      </c>
    </row>
    <row r="2309" spans="1:7" x14ac:dyDescent="0.2">
      <c r="A2309" s="2">
        <v>45958</v>
      </c>
      <c r="B2309" t="s">
        <v>2776</v>
      </c>
      <c r="C2309" t="s">
        <v>1</v>
      </c>
      <c r="D2309" t="s">
        <v>3</v>
      </c>
      <c r="E2309">
        <v>1</v>
      </c>
      <c r="F2309" t="s">
        <v>4027</v>
      </c>
      <c r="G2309">
        <v>87</v>
      </c>
    </row>
    <row r="2310" spans="1:7" x14ac:dyDescent="0.2">
      <c r="A2310" s="2">
        <v>45959</v>
      </c>
      <c r="B2310" t="s">
        <v>2779</v>
      </c>
      <c r="C2310" t="s">
        <v>1</v>
      </c>
      <c r="D2310" t="s">
        <v>3</v>
      </c>
      <c r="E2310">
        <v>1</v>
      </c>
      <c r="F2310" t="s">
        <v>4027</v>
      </c>
      <c r="G2310">
        <v>67</v>
      </c>
    </row>
    <row r="2311" spans="1:7" x14ac:dyDescent="0.2">
      <c r="A2311" s="2">
        <v>45959</v>
      </c>
      <c r="B2311" t="s">
        <v>2778</v>
      </c>
      <c r="C2311" t="s">
        <v>1</v>
      </c>
      <c r="D2311" t="s">
        <v>3</v>
      </c>
      <c r="E2311">
        <v>1</v>
      </c>
      <c r="F2311" t="s">
        <v>4027</v>
      </c>
      <c r="G2311">
        <v>77</v>
      </c>
    </row>
    <row r="2312" spans="1:7" x14ac:dyDescent="0.2">
      <c r="A2312" s="2">
        <v>45959</v>
      </c>
      <c r="B2312" t="s">
        <v>2783</v>
      </c>
      <c r="C2312" t="s">
        <v>1</v>
      </c>
      <c r="D2312" t="s">
        <v>3</v>
      </c>
      <c r="E2312">
        <v>1</v>
      </c>
      <c r="F2312" t="s">
        <v>4027</v>
      </c>
      <c r="G2312">
        <v>81</v>
      </c>
    </row>
    <row r="2313" spans="1:7" x14ac:dyDescent="0.2">
      <c r="A2313" s="2">
        <v>45959</v>
      </c>
      <c r="B2313" t="s">
        <v>2785</v>
      </c>
      <c r="C2313" t="s">
        <v>1</v>
      </c>
      <c r="D2313" t="s">
        <v>3</v>
      </c>
      <c r="E2313">
        <v>1</v>
      </c>
      <c r="F2313" t="s">
        <v>4027</v>
      </c>
      <c r="G2313">
        <v>87</v>
      </c>
    </row>
    <row r="2314" spans="1:7" x14ac:dyDescent="0.2">
      <c r="A2314" s="2">
        <v>45959</v>
      </c>
      <c r="B2314" t="s">
        <v>2784</v>
      </c>
      <c r="C2314" t="s">
        <v>1</v>
      </c>
      <c r="D2314" t="s">
        <v>3</v>
      </c>
      <c r="E2314">
        <v>1</v>
      </c>
      <c r="F2314" t="s">
        <v>4027</v>
      </c>
      <c r="G2314">
        <v>78</v>
      </c>
    </row>
    <row r="2315" spans="1:7" x14ac:dyDescent="0.2">
      <c r="A2315" s="2">
        <v>45959</v>
      </c>
      <c r="B2315" t="s">
        <v>2782</v>
      </c>
      <c r="C2315" t="s">
        <v>1</v>
      </c>
      <c r="D2315" t="s">
        <v>3</v>
      </c>
      <c r="E2315">
        <v>1</v>
      </c>
      <c r="F2315" t="s">
        <v>4027</v>
      </c>
      <c r="G2315">
        <v>76</v>
      </c>
    </row>
    <row r="2316" spans="1:7" x14ac:dyDescent="0.2">
      <c r="A2316" s="2">
        <v>45959</v>
      </c>
      <c r="B2316" t="s">
        <v>2781</v>
      </c>
      <c r="C2316" t="s">
        <v>1</v>
      </c>
      <c r="D2316" t="s">
        <v>3</v>
      </c>
      <c r="E2316">
        <v>1</v>
      </c>
      <c r="F2316" t="s">
        <v>4027</v>
      </c>
      <c r="G2316">
        <v>72</v>
      </c>
    </row>
    <row r="2317" spans="1:7" x14ac:dyDescent="0.2">
      <c r="A2317" s="2">
        <v>45959</v>
      </c>
      <c r="B2317" t="s">
        <v>2780</v>
      </c>
      <c r="C2317" t="s">
        <v>1</v>
      </c>
      <c r="D2317" t="s">
        <v>3</v>
      </c>
      <c r="E2317">
        <v>1</v>
      </c>
      <c r="F2317" t="s">
        <v>4027</v>
      </c>
      <c r="G2317">
        <v>68</v>
      </c>
    </row>
    <row r="2318" spans="1:7" x14ac:dyDescent="0.2">
      <c r="A2318" s="2">
        <v>45960</v>
      </c>
      <c r="B2318" t="s">
        <v>2786</v>
      </c>
      <c r="C2318" t="s">
        <v>1</v>
      </c>
      <c r="D2318" t="s">
        <v>3</v>
      </c>
      <c r="E2318">
        <v>1</v>
      </c>
      <c r="F2318" t="s">
        <v>4027</v>
      </c>
      <c r="G2318">
        <v>73</v>
      </c>
    </row>
    <row r="2319" spans="1:7" x14ac:dyDescent="0.2">
      <c r="A2319" s="2">
        <v>45960</v>
      </c>
      <c r="B2319" t="s">
        <v>2787</v>
      </c>
      <c r="C2319" t="s">
        <v>1</v>
      </c>
      <c r="D2319" t="s">
        <v>3</v>
      </c>
      <c r="E2319">
        <v>1</v>
      </c>
      <c r="F2319" t="s">
        <v>4027</v>
      </c>
      <c r="G2319">
        <v>87</v>
      </c>
    </row>
    <row r="2320" spans="1:7" x14ac:dyDescent="0.2">
      <c r="A2320" s="2">
        <v>45961</v>
      </c>
      <c r="B2320" t="s">
        <v>3618</v>
      </c>
      <c r="C2320" t="s">
        <v>2</v>
      </c>
      <c r="D2320" t="s">
        <v>4</v>
      </c>
      <c r="E2320">
        <v>1</v>
      </c>
      <c r="F2320" t="s">
        <v>600</v>
      </c>
      <c r="G2320">
        <v>22</v>
      </c>
    </row>
    <row r="2321" spans="1:7" x14ac:dyDescent="0.2">
      <c r="A2321" s="2">
        <v>45961</v>
      </c>
      <c r="B2321" t="s">
        <v>3620</v>
      </c>
      <c r="C2321" t="s">
        <v>2</v>
      </c>
      <c r="D2321" t="s">
        <v>4</v>
      </c>
      <c r="E2321">
        <v>1</v>
      </c>
      <c r="F2321" t="s">
        <v>600</v>
      </c>
      <c r="G2321">
        <v>22</v>
      </c>
    </row>
    <row r="2322" spans="1:7" x14ac:dyDescent="0.2">
      <c r="A2322" s="2">
        <v>45961</v>
      </c>
      <c r="B2322" t="s">
        <v>3621</v>
      </c>
      <c r="C2322" t="s">
        <v>2</v>
      </c>
      <c r="D2322" t="s">
        <v>4</v>
      </c>
      <c r="E2322">
        <v>1</v>
      </c>
      <c r="F2322" t="s">
        <v>600</v>
      </c>
      <c r="G2322">
        <v>22</v>
      </c>
    </row>
    <row r="2323" spans="1:7" x14ac:dyDescent="0.2">
      <c r="A2323" s="2">
        <v>45961</v>
      </c>
      <c r="B2323" t="s">
        <v>3619</v>
      </c>
      <c r="C2323" t="s">
        <v>2</v>
      </c>
      <c r="D2323" t="s">
        <v>4</v>
      </c>
      <c r="E2323">
        <v>1</v>
      </c>
      <c r="F2323" t="s">
        <v>600</v>
      </c>
      <c r="G2323">
        <v>22</v>
      </c>
    </row>
    <row r="2324" spans="1:7" x14ac:dyDescent="0.2">
      <c r="A2324" s="2">
        <v>45961</v>
      </c>
      <c r="B2324" t="s">
        <v>2794</v>
      </c>
      <c r="C2324" t="s">
        <v>1</v>
      </c>
      <c r="D2324" t="s">
        <v>3</v>
      </c>
      <c r="E2324">
        <v>1</v>
      </c>
      <c r="F2324" t="s">
        <v>4027</v>
      </c>
      <c r="G2324">
        <v>81</v>
      </c>
    </row>
    <row r="2325" spans="1:7" x14ac:dyDescent="0.2">
      <c r="A2325" s="2">
        <v>45961</v>
      </c>
      <c r="B2325" t="s">
        <v>2793</v>
      </c>
      <c r="C2325" t="s">
        <v>1</v>
      </c>
      <c r="D2325" t="s">
        <v>3</v>
      </c>
      <c r="E2325">
        <v>1</v>
      </c>
      <c r="F2325" t="s">
        <v>4027</v>
      </c>
      <c r="G2325">
        <v>86</v>
      </c>
    </row>
    <row r="2326" spans="1:7" x14ac:dyDescent="0.2">
      <c r="A2326" s="2">
        <v>45961</v>
      </c>
      <c r="B2326" t="s">
        <v>2789</v>
      </c>
      <c r="C2326" t="s">
        <v>1</v>
      </c>
      <c r="D2326" t="s">
        <v>3</v>
      </c>
      <c r="E2326">
        <v>1</v>
      </c>
      <c r="F2326" t="s">
        <v>4027</v>
      </c>
      <c r="G2326">
        <v>76</v>
      </c>
    </row>
    <row r="2327" spans="1:7" x14ac:dyDescent="0.2">
      <c r="A2327" s="2">
        <v>45961</v>
      </c>
      <c r="B2327" t="s">
        <v>2788</v>
      </c>
      <c r="C2327" t="s">
        <v>1</v>
      </c>
      <c r="D2327" t="s">
        <v>3</v>
      </c>
      <c r="E2327">
        <v>1</v>
      </c>
      <c r="F2327" t="s">
        <v>4027</v>
      </c>
      <c r="G2327">
        <v>68</v>
      </c>
    </row>
    <row r="2328" spans="1:7" x14ac:dyDescent="0.2">
      <c r="A2328" s="2">
        <v>45961</v>
      </c>
      <c r="B2328" t="s">
        <v>2791</v>
      </c>
      <c r="C2328" t="s">
        <v>1</v>
      </c>
      <c r="D2328" t="s">
        <v>3</v>
      </c>
      <c r="E2328">
        <v>1</v>
      </c>
      <c r="F2328" t="s">
        <v>4027</v>
      </c>
      <c r="G2328">
        <v>62</v>
      </c>
    </row>
    <row r="2329" spans="1:7" x14ac:dyDescent="0.2">
      <c r="A2329" s="2">
        <v>45961</v>
      </c>
      <c r="B2329" t="s">
        <v>2790</v>
      </c>
      <c r="C2329" t="s">
        <v>1</v>
      </c>
      <c r="D2329" t="s">
        <v>3</v>
      </c>
      <c r="E2329">
        <v>1</v>
      </c>
      <c r="F2329" t="s">
        <v>4027</v>
      </c>
      <c r="G2329">
        <v>64</v>
      </c>
    </row>
    <row r="2330" spans="1:7" x14ac:dyDescent="0.2">
      <c r="A2330" s="2">
        <v>45961</v>
      </c>
      <c r="B2330" t="s">
        <v>2792</v>
      </c>
      <c r="C2330" t="s">
        <v>1</v>
      </c>
      <c r="D2330" t="s">
        <v>3</v>
      </c>
      <c r="E2330">
        <v>1</v>
      </c>
      <c r="F2330" t="s">
        <v>4027</v>
      </c>
      <c r="G2330">
        <v>73</v>
      </c>
    </row>
    <row r="2331" spans="1:7" x14ac:dyDescent="0.2">
      <c r="A2331" s="2">
        <v>45962</v>
      </c>
      <c r="B2331" t="s">
        <v>2795</v>
      </c>
      <c r="C2331" t="s">
        <v>1</v>
      </c>
      <c r="D2331" t="s">
        <v>3</v>
      </c>
      <c r="E2331">
        <v>1</v>
      </c>
      <c r="F2331" t="s">
        <v>4027</v>
      </c>
      <c r="G2331">
        <v>68</v>
      </c>
    </row>
    <row r="2332" spans="1:7" x14ac:dyDescent="0.2">
      <c r="A2332" s="2">
        <v>45962</v>
      </c>
      <c r="B2332" t="s">
        <v>2796</v>
      </c>
      <c r="C2332" t="s">
        <v>1</v>
      </c>
      <c r="D2332" t="s">
        <v>3</v>
      </c>
      <c r="E2332">
        <v>1</v>
      </c>
      <c r="F2332" t="s">
        <v>4027</v>
      </c>
      <c r="G2332">
        <v>87</v>
      </c>
    </row>
    <row r="2333" spans="1:7" x14ac:dyDescent="0.2">
      <c r="A2333" s="2">
        <v>45962</v>
      </c>
      <c r="B2333" t="s">
        <v>2797</v>
      </c>
      <c r="C2333" t="s">
        <v>1</v>
      </c>
      <c r="D2333" t="s">
        <v>3</v>
      </c>
      <c r="E2333">
        <v>1</v>
      </c>
      <c r="F2333" t="s">
        <v>4027</v>
      </c>
      <c r="G2333">
        <v>77</v>
      </c>
    </row>
    <row r="2334" spans="1:7" x14ac:dyDescent="0.2">
      <c r="A2334" s="2">
        <v>45965</v>
      </c>
      <c r="B2334" t="s">
        <v>3622</v>
      </c>
      <c r="C2334" t="s">
        <v>2</v>
      </c>
      <c r="D2334" t="s">
        <v>4</v>
      </c>
      <c r="E2334">
        <v>1</v>
      </c>
      <c r="F2334" t="s">
        <v>600</v>
      </c>
      <c r="G2334">
        <v>22</v>
      </c>
    </row>
    <row r="2335" spans="1:7" x14ac:dyDescent="0.2">
      <c r="A2335" s="2">
        <v>45965</v>
      </c>
      <c r="B2335" t="s">
        <v>3623</v>
      </c>
      <c r="C2335" t="s">
        <v>2</v>
      </c>
      <c r="D2335" t="s">
        <v>4</v>
      </c>
      <c r="E2335">
        <v>1</v>
      </c>
      <c r="F2335" t="s">
        <v>600</v>
      </c>
      <c r="G2335">
        <v>22</v>
      </c>
    </row>
    <row r="2336" spans="1:7" x14ac:dyDescent="0.2">
      <c r="A2336" s="2">
        <v>45965</v>
      </c>
      <c r="B2336" t="s">
        <v>3624</v>
      </c>
      <c r="C2336" t="s">
        <v>2</v>
      </c>
      <c r="D2336" t="s">
        <v>4</v>
      </c>
      <c r="E2336">
        <v>1</v>
      </c>
      <c r="F2336" t="s">
        <v>600</v>
      </c>
      <c r="G2336">
        <v>22</v>
      </c>
    </row>
    <row r="2337" spans="1:7" x14ac:dyDescent="0.2">
      <c r="A2337" s="2">
        <v>45965</v>
      </c>
      <c r="B2337" t="s">
        <v>2802</v>
      </c>
      <c r="C2337" t="s">
        <v>1</v>
      </c>
      <c r="D2337" t="s">
        <v>3</v>
      </c>
      <c r="E2337">
        <v>1</v>
      </c>
      <c r="F2337" t="s">
        <v>4027</v>
      </c>
      <c r="G2337">
        <v>76</v>
      </c>
    </row>
    <row r="2338" spans="1:7" x14ac:dyDescent="0.2">
      <c r="A2338" s="2">
        <v>45965</v>
      </c>
      <c r="B2338" t="s">
        <v>2798</v>
      </c>
      <c r="C2338" t="s">
        <v>1</v>
      </c>
      <c r="D2338" t="s">
        <v>3</v>
      </c>
      <c r="E2338">
        <v>1</v>
      </c>
      <c r="F2338" t="s">
        <v>4027</v>
      </c>
      <c r="G2338">
        <v>67</v>
      </c>
    </row>
    <row r="2339" spans="1:7" x14ac:dyDescent="0.2">
      <c r="A2339" s="2">
        <v>45965</v>
      </c>
      <c r="B2339" t="s">
        <v>2799</v>
      </c>
      <c r="C2339" t="s">
        <v>1</v>
      </c>
      <c r="D2339" t="s">
        <v>3</v>
      </c>
      <c r="E2339">
        <v>1</v>
      </c>
      <c r="F2339" t="s">
        <v>4027</v>
      </c>
      <c r="G2339">
        <v>68</v>
      </c>
    </row>
    <row r="2340" spans="1:7" x14ac:dyDescent="0.2">
      <c r="A2340" s="2">
        <v>45965</v>
      </c>
      <c r="B2340" t="s">
        <v>2800</v>
      </c>
      <c r="C2340" t="s">
        <v>1</v>
      </c>
      <c r="D2340" t="s">
        <v>3</v>
      </c>
      <c r="E2340">
        <v>1</v>
      </c>
      <c r="F2340" t="s">
        <v>4027</v>
      </c>
      <c r="G2340">
        <v>68</v>
      </c>
    </row>
    <row r="2341" spans="1:7" x14ac:dyDescent="0.2">
      <c r="A2341" s="2">
        <v>45965</v>
      </c>
      <c r="B2341" t="s">
        <v>2801</v>
      </c>
      <c r="C2341" t="s">
        <v>1</v>
      </c>
      <c r="D2341" t="s">
        <v>3</v>
      </c>
      <c r="E2341">
        <v>1</v>
      </c>
      <c r="F2341" t="s">
        <v>4027</v>
      </c>
      <c r="G2341">
        <v>72</v>
      </c>
    </row>
    <row r="2342" spans="1:7" x14ac:dyDescent="0.2">
      <c r="A2342" s="2">
        <v>45965</v>
      </c>
      <c r="B2342" t="s">
        <v>2803</v>
      </c>
      <c r="C2342" t="s">
        <v>1</v>
      </c>
      <c r="D2342" t="s">
        <v>3</v>
      </c>
      <c r="E2342">
        <v>1</v>
      </c>
      <c r="F2342" t="s">
        <v>4027</v>
      </c>
      <c r="G2342">
        <v>74</v>
      </c>
    </row>
    <row r="2343" spans="1:7" x14ac:dyDescent="0.2">
      <c r="A2343" s="2">
        <v>45965</v>
      </c>
      <c r="B2343" t="s">
        <v>2804</v>
      </c>
      <c r="C2343" t="s">
        <v>1</v>
      </c>
      <c r="D2343" t="s">
        <v>3</v>
      </c>
      <c r="E2343">
        <v>1</v>
      </c>
      <c r="F2343" t="s">
        <v>4027</v>
      </c>
      <c r="G2343">
        <v>77</v>
      </c>
    </row>
    <row r="2344" spans="1:7" x14ac:dyDescent="0.2">
      <c r="A2344" s="2">
        <v>45965</v>
      </c>
      <c r="B2344" t="s">
        <v>2805</v>
      </c>
      <c r="C2344" t="s">
        <v>1</v>
      </c>
      <c r="D2344" t="s">
        <v>3</v>
      </c>
      <c r="E2344">
        <v>1</v>
      </c>
      <c r="F2344" t="s">
        <v>4027</v>
      </c>
      <c r="G2344">
        <v>69</v>
      </c>
    </row>
    <row r="2345" spans="1:7" x14ac:dyDescent="0.2">
      <c r="A2345" s="2">
        <v>45966</v>
      </c>
      <c r="B2345" t="s">
        <v>2814</v>
      </c>
      <c r="C2345" t="s">
        <v>1</v>
      </c>
      <c r="D2345" t="s">
        <v>3</v>
      </c>
      <c r="E2345">
        <v>1</v>
      </c>
      <c r="F2345" t="s">
        <v>4027</v>
      </c>
      <c r="G2345">
        <v>69</v>
      </c>
    </row>
    <row r="2346" spans="1:7" x14ac:dyDescent="0.2">
      <c r="A2346" s="2">
        <v>45966</v>
      </c>
      <c r="B2346" t="s">
        <v>2819</v>
      </c>
      <c r="C2346" t="s">
        <v>1</v>
      </c>
      <c r="D2346" t="s">
        <v>3</v>
      </c>
      <c r="E2346">
        <v>1</v>
      </c>
      <c r="F2346" t="s">
        <v>4027</v>
      </c>
      <c r="G2346">
        <v>88</v>
      </c>
    </row>
    <row r="2347" spans="1:7" x14ac:dyDescent="0.2">
      <c r="A2347" s="2">
        <v>45966</v>
      </c>
      <c r="B2347" t="s">
        <v>2818</v>
      </c>
      <c r="C2347" t="s">
        <v>1</v>
      </c>
      <c r="D2347" t="s">
        <v>3</v>
      </c>
      <c r="E2347">
        <v>1</v>
      </c>
      <c r="F2347" t="s">
        <v>4027</v>
      </c>
      <c r="G2347">
        <v>71</v>
      </c>
    </row>
    <row r="2348" spans="1:7" x14ac:dyDescent="0.2">
      <c r="A2348" s="2">
        <v>45966</v>
      </c>
      <c r="B2348" t="s">
        <v>2817</v>
      </c>
      <c r="C2348" t="s">
        <v>1</v>
      </c>
      <c r="D2348" t="s">
        <v>3</v>
      </c>
      <c r="E2348">
        <v>1</v>
      </c>
      <c r="F2348" t="s">
        <v>4027</v>
      </c>
      <c r="G2348">
        <v>84</v>
      </c>
    </row>
    <row r="2349" spans="1:7" x14ac:dyDescent="0.2">
      <c r="A2349" s="2">
        <v>45966</v>
      </c>
      <c r="B2349" t="s">
        <v>2816</v>
      </c>
      <c r="C2349" t="s">
        <v>1</v>
      </c>
      <c r="D2349" t="s">
        <v>3</v>
      </c>
      <c r="E2349">
        <v>1</v>
      </c>
      <c r="F2349" t="s">
        <v>4027</v>
      </c>
      <c r="G2349">
        <v>82</v>
      </c>
    </row>
    <row r="2350" spans="1:7" x14ac:dyDescent="0.2">
      <c r="A2350" s="2">
        <v>45966</v>
      </c>
      <c r="B2350" t="s">
        <v>2815</v>
      </c>
      <c r="C2350" t="s">
        <v>1</v>
      </c>
      <c r="D2350" t="s">
        <v>3</v>
      </c>
      <c r="E2350">
        <v>1</v>
      </c>
      <c r="F2350" t="s">
        <v>4027</v>
      </c>
      <c r="G2350">
        <v>60</v>
      </c>
    </row>
    <row r="2351" spans="1:7" x14ac:dyDescent="0.2">
      <c r="A2351" s="2">
        <v>45966</v>
      </c>
      <c r="B2351" t="s">
        <v>2813</v>
      </c>
      <c r="C2351" t="s">
        <v>1</v>
      </c>
      <c r="D2351" t="s">
        <v>3</v>
      </c>
      <c r="E2351">
        <v>1</v>
      </c>
      <c r="F2351" t="s">
        <v>4027</v>
      </c>
      <c r="G2351">
        <v>89</v>
      </c>
    </row>
    <row r="2352" spans="1:7" x14ac:dyDescent="0.2">
      <c r="A2352" s="2">
        <v>45966</v>
      </c>
      <c r="B2352" t="s">
        <v>2812</v>
      </c>
      <c r="C2352" t="s">
        <v>1</v>
      </c>
      <c r="D2352" t="s">
        <v>3</v>
      </c>
      <c r="E2352">
        <v>1</v>
      </c>
      <c r="F2352" t="s">
        <v>4027</v>
      </c>
      <c r="G2352">
        <v>74</v>
      </c>
    </row>
    <row r="2353" spans="1:7" x14ac:dyDescent="0.2">
      <c r="A2353" s="2">
        <v>45966</v>
      </c>
      <c r="B2353" t="s">
        <v>2811</v>
      </c>
      <c r="C2353" t="s">
        <v>1</v>
      </c>
      <c r="D2353" t="s">
        <v>3</v>
      </c>
      <c r="E2353">
        <v>1</v>
      </c>
      <c r="F2353" t="s">
        <v>4027</v>
      </c>
      <c r="G2353">
        <v>65</v>
      </c>
    </row>
    <row r="2354" spans="1:7" x14ac:dyDescent="0.2">
      <c r="A2354" s="2">
        <v>45966</v>
      </c>
      <c r="B2354" t="s">
        <v>2810</v>
      </c>
      <c r="C2354" t="s">
        <v>1</v>
      </c>
      <c r="D2354" t="s">
        <v>3</v>
      </c>
      <c r="E2354">
        <v>1</v>
      </c>
      <c r="F2354" t="s">
        <v>4027</v>
      </c>
      <c r="G2354">
        <v>80</v>
      </c>
    </row>
    <row r="2355" spans="1:7" x14ac:dyDescent="0.2">
      <c r="A2355" s="2">
        <v>45966</v>
      </c>
      <c r="B2355" t="s">
        <v>2809</v>
      </c>
      <c r="C2355" t="s">
        <v>1</v>
      </c>
      <c r="D2355" t="s">
        <v>3</v>
      </c>
      <c r="E2355">
        <v>1</v>
      </c>
      <c r="F2355" t="s">
        <v>4027</v>
      </c>
      <c r="G2355">
        <v>69</v>
      </c>
    </row>
    <row r="2356" spans="1:7" x14ac:dyDescent="0.2">
      <c r="A2356" s="2">
        <v>45966</v>
      </c>
      <c r="B2356" t="s">
        <v>2808</v>
      </c>
      <c r="C2356" t="s">
        <v>1</v>
      </c>
      <c r="D2356" t="s">
        <v>3</v>
      </c>
      <c r="E2356">
        <v>1</v>
      </c>
      <c r="F2356" t="s">
        <v>4027</v>
      </c>
      <c r="G2356">
        <v>61</v>
      </c>
    </row>
    <row r="2357" spans="1:7" x14ac:dyDescent="0.2">
      <c r="A2357" s="2">
        <v>45966</v>
      </c>
      <c r="B2357" t="s">
        <v>2807</v>
      </c>
      <c r="C2357" t="s">
        <v>1</v>
      </c>
      <c r="D2357" t="s">
        <v>3</v>
      </c>
      <c r="E2357">
        <v>1</v>
      </c>
      <c r="F2357" t="s">
        <v>4027</v>
      </c>
      <c r="G2357">
        <v>70</v>
      </c>
    </row>
    <row r="2358" spans="1:7" x14ac:dyDescent="0.2">
      <c r="A2358" s="2">
        <v>45966</v>
      </c>
      <c r="B2358" t="s">
        <v>2806</v>
      </c>
      <c r="C2358" t="s">
        <v>1</v>
      </c>
      <c r="D2358" t="s">
        <v>3</v>
      </c>
      <c r="E2358">
        <v>1</v>
      </c>
      <c r="F2358" t="s">
        <v>4027</v>
      </c>
      <c r="G2358">
        <v>78</v>
      </c>
    </row>
    <row r="2359" spans="1:7" x14ac:dyDescent="0.2">
      <c r="A2359" s="2">
        <v>45966</v>
      </c>
      <c r="B2359" t="s">
        <v>2821</v>
      </c>
      <c r="C2359" t="s">
        <v>1</v>
      </c>
      <c r="D2359" t="s">
        <v>3</v>
      </c>
      <c r="E2359">
        <v>1</v>
      </c>
      <c r="F2359" t="s">
        <v>4027</v>
      </c>
      <c r="G2359">
        <v>84</v>
      </c>
    </row>
    <row r="2360" spans="1:7" x14ac:dyDescent="0.2">
      <c r="A2360" s="2">
        <v>45966</v>
      </c>
      <c r="B2360" t="s">
        <v>2820</v>
      </c>
      <c r="C2360" t="s">
        <v>1</v>
      </c>
      <c r="D2360" t="s">
        <v>3</v>
      </c>
      <c r="E2360">
        <v>1</v>
      </c>
      <c r="F2360" t="s">
        <v>4027</v>
      </c>
      <c r="G2360">
        <v>63</v>
      </c>
    </row>
    <row r="2361" spans="1:7" x14ac:dyDescent="0.2">
      <c r="A2361" s="2">
        <v>45967</v>
      </c>
      <c r="B2361" t="s">
        <v>2822</v>
      </c>
      <c r="C2361" t="s">
        <v>1</v>
      </c>
      <c r="D2361" t="s">
        <v>3</v>
      </c>
      <c r="E2361">
        <v>1</v>
      </c>
      <c r="F2361" t="s">
        <v>4027</v>
      </c>
      <c r="G2361">
        <v>86</v>
      </c>
    </row>
    <row r="2362" spans="1:7" x14ac:dyDescent="0.2">
      <c r="A2362" s="2">
        <v>45967</v>
      </c>
      <c r="B2362" t="s">
        <v>2823</v>
      </c>
      <c r="C2362" t="s">
        <v>1</v>
      </c>
      <c r="D2362" t="s">
        <v>3</v>
      </c>
      <c r="E2362">
        <v>1</v>
      </c>
      <c r="F2362" t="s">
        <v>4027</v>
      </c>
      <c r="G2362">
        <v>64</v>
      </c>
    </row>
    <row r="2363" spans="1:7" x14ac:dyDescent="0.2">
      <c r="A2363" s="2">
        <v>45967</v>
      </c>
      <c r="B2363" t="s">
        <v>2824</v>
      </c>
      <c r="C2363" t="s">
        <v>1</v>
      </c>
      <c r="D2363" t="s">
        <v>3</v>
      </c>
      <c r="E2363">
        <v>1</v>
      </c>
      <c r="F2363" t="s">
        <v>4027</v>
      </c>
      <c r="G2363">
        <v>82</v>
      </c>
    </row>
    <row r="2364" spans="1:7" x14ac:dyDescent="0.2">
      <c r="A2364" s="2">
        <v>45967</v>
      </c>
      <c r="B2364" t="s">
        <v>2825</v>
      </c>
      <c r="C2364" t="s">
        <v>1</v>
      </c>
      <c r="D2364" t="s">
        <v>3</v>
      </c>
      <c r="E2364">
        <v>1</v>
      </c>
      <c r="F2364" t="s">
        <v>4027</v>
      </c>
      <c r="G2364">
        <v>86</v>
      </c>
    </row>
    <row r="2365" spans="1:7" x14ac:dyDescent="0.2">
      <c r="A2365" s="2">
        <v>45967</v>
      </c>
      <c r="B2365" t="s">
        <v>2826</v>
      </c>
      <c r="C2365" t="s">
        <v>1</v>
      </c>
      <c r="D2365" t="s">
        <v>3</v>
      </c>
      <c r="E2365">
        <v>1</v>
      </c>
      <c r="F2365" t="s">
        <v>4027</v>
      </c>
      <c r="G2365">
        <v>84</v>
      </c>
    </row>
    <row r="2366" spans="1:7" x14ac:dyDescent="0.2">
      <c r="A2366" s="2">
        <v>45968</v>
      </c>
      <c r="B2366" t="s">
        <v>2831</v>
      </c>
      <c r="C2366" t="s">
        <v>1</v>
      </c>
      <c r="D2366" t="s">
        <v>3</v>
      </c>
      <c r="E2366">
        <v>1</v>
      </c>
      <c r="F2366" t="s">
        <v>4027</v>
      </c>
      <c r="G2366">
        <v>77</v>
      </c>
    </row>
    <row r="2367" spans="1:7" x14ac:dyDescent="0.2">
      <c r="A2367" s="2">
        <v>45968</v>
      </c>
      <c r="B2367" t="s">
        <v>2835</v>
      </c>
      <c r="C2367" t="s">
        <v>1</v>
      </c>
      <c r="D2367" t="s">
        <v>3</v>
      </c>
      <c r="E2367">
        <v>1</v>
      </c>
      <c r="F2367" t="s">
        <v>4027</v>
      </c>
      <c r="G2367">
        <v>75</v>
      </c>
    </row>
    <row r="2368" spans="1:7" x14ac:dyDescent="0.2">
      <c r="A2368" s="2">
        <v>45968</v>
      </c>
      <c r="B2368" t="s">
        <v>2834</v>
      </c>
      <c r="C2368" t="s">
        <v>1</v>
      </c>
      <c r="D2368" t="s">
        <v>3</v>
      </c>
      <c r="E2368">
        <v>1</v>
      </c>
      <c r="F2368" t="s">
        <v>4027</v>
      </c>
      <c r="G2368">
        <v>67</v>
      </c>
    </row>
    <row r="2369" spans="1:7" x14ac:dyDescent="0.2">
      <c r="A2369" s="2">
        <v>45968</v>
      </c>
      <c r="B2369" t="s">
        <v>2833</v>
      </c>
      <c r="C2369" t="s">
        <v>1</v>
      </c>
      <c r="D2369" t="s">
        <v>3</v>
      </c>
      <c r="E2369">
        <v>1</v>
      </c>
      <c r="F2369" t="s">
        <v>4027</v>
      </c>
      <c r="G2369">
        <v>61</v>
      </c>
    </row>
    <row r="2370" spans="1:7" x14ac:dyDescent="0.2">
      <c r="A2370" s="2">
        <v>45968</v>
      </c>
      <c r="B2370" t="s">
        <v>2832</v>
      </c>
      <c r="C2370" t="s">
        <v>1</v>
      </c>
      <c r="D2370" t="s">
        <v>3</v>
      </c>
      <c r="E2370">
        <v>1</v>
      </c>
      <c r="F2370" t="s">
        <v>4027</v>
      </c>
      <c r="G2370">
        <v>83</v>
      </c>
    </row>
    <row r="2371" spans="1:7" x14ac:dyDescent="0.2">
      <c r="A2371" s="2">
        <v>45968</v>
      </c>
      <c r="B2371" t="s">
        <v>2830</v>
      </c>
      <c r="C2371" t="s">
        <v>1</v>
      </c>
      <c r="D2371" t="s">
        <v>3</v>
      </c>
      <c r="E2371">
        <v>1</v>
      </c>
      <c r="F2371" t="s">
        <v>4027</v>
      </c>
      <c r="G2371">
        <v>88</v>
      </c>
    </row>
    <row r="2372" spans="1:7" x14ac:dyDescent="0.2">
      <c r="A2372" s="2">
        <v>45968</v>
      </c>
      <c r="B2372" t="s">
        <v>2829</v>
      </c>
      <c r="C2372" t="s">
        <v>1</v>
      </c>
      <c r="D2372" t="s">
        <v>3</v>
      </c>
      <c r="E2372">
        <v>1</v>
      </c>
      <c r="F2372" t="s">
        <v>4027</v>
      </c>
      <c r="G2372">
        <v>76</v>
      </c>
    </row>
    <row r="2373" spans="1:7" x14ac:dyDescent="0.2">
      <c r="A2373" s="2">
        <v>45968</v>
      </c>
      <c r="B2373" t="s">
        <v>2828</v>
      </c>
      <c r="C2373" t="s">
        <v>1</v>
      </c>
      <c r="D2373" t="s">
        <v>3</v>
      </c>
      <c r="E2373">
        <v>1</v>
      </c>
      <c r="F2373" t="s">
        <v>4027</v>
      </c>
      <c r="G2373">
        <v>68</v>
      </c>
    </row>
    <row r="2374" spans="1:7" x14ac:dyDescent="0.2">
      <c r="A2374" s="2">
        <v>45968</v>
      </c>
      <c r="B2374" t="s">
        <v>2827</v>
      </c>
      <c r="C2374" t="s">
        <v>1</v>
      </c>
      <c r="D2374" t="s">
        <v>3</v>
      </c>
      <c r="E2374">
        <v>1</v>
      </c>
      <c r="F2374" t="s">
        <v>4027</v>
      </c>
      <c r="G2374">
        <v>78</v>
      </c>
    </row>
    <row r="2375" spans="1:7" x14ac:dyDescent="0.2">
      <c r="A2375" s="2">
        <v>45969</v>
      </c>
      <c r="B2375" t="s">
        <v>2836</v>
      </c>
      <c r="C2375" t="s">
        <v>1</v>
      </c>
      <c r="D2375" t="s">
        <v>3</v>
      </c>
      <c r="E2375">
        <v>1</v>
      </c>
      <c r="F2375" t="s">
        <v>4027</v>
      </c>
      <c r="G2375">
        <v>67</v>
      </c>
    </row>
    <row r="2376" spans="1:7" x14ac:dyDescent="0.2">
      <c r="A2376" s="2">
        <v>45971</v>
      </c>
      <c r="B2376" t="s">
        <v>2840</v>
      </c>
      <c r="C2376" t="s">
        <v>1</v>
      </c>
      <c r="D2376" t="s">
        <v>3</v>
      </c>
      <c r="E2376">
        <v>1</v>
      </c>
      <c r="F2376" t="s">
        <v>4027</v>
      </c>
      <c r="G2376">
        <v>77</v>
      </c>
    </row>
    <row r="2377" spans="1:7" x14ac:dyDescent="0.2">
      <c r="A2377" s="2">
        <v>45971</v>
      </c>
      <c r="B2377" t="s">
        <v>2842</v>
      </c>
      <c r="C2377" t="s">
        <v>1</v>
      </c>
      <c r="D2377" t="s">
        <v>3</v>
      </c>
      <c r="E2377">
        <v>1</v>
      </c>
      <c r="F2377" t="s">
        <v>4027</v>
      </c>
      <c r="G2377">
        <v>66</v>
      </c>
    </row>
    <row r="2378" spans="1:7" x14ac:dyDescent="0.2">
      <c r="A2378" s="2">
        <v>45971</v>
      </c>
      <c r="B2378" t="s">
        <v>2843</v>
      </c>
      <c r="C2378" t="s">
        <v>1</v>
      </c>
      <c r="D2378" t="s">
        <v>3</v>
      </c>
      <c r="E2378">
        <v>1</v>
      </c>
      <c r="F2378" t="s">
        <v>4027</v>
      </c>
      <c r="G2378">
        <v>66</v>
      </c>
    </row>
    <row r="2379" spans="1:7" x14ac:dyDescent="0.2">
      <c r="A2379" s="2">
        <v>45971</v>
      </c>
      <c r="B2379" t="s">
        <v>3628</v>
      </c>
      <c r="C2379" t="s">
        <v>2</v>
      </c>
      <c r="D2379" t="s">
        <v>4</v>
      </c>
      <c r="E2379">
        <v>1</v>
      </c>
      <c r="F2379" t="s">
        <v>600</v>
      </c>
      <c r="G2379">
        <v>22</v>
      </c>
    </row>
    <row r="2380" spans="1:7" x14ac:dyDescent="0.2">
      <c r="A2380" s="2">
        <v>45971</v>
      </c>
      <c r="B2380" t="s">
        <v>3627</v>
      </c>
      <c r="C2380" t="s">
        <v>2</v>
      </c>
      <c r="D2380" t="s">
        <v>4</v>
      </c>
      <c r="E2380">
        <v>1</v>
      </c>
      <c r="F2380" t="s">
        <v>600</v>
      </c>
      <c r="G2380">
        <v>22</v>
      </c>
    </row>
    <row r="2381" spans="1:7" x14ac:dyDescent="0.2">
      <c r="A2381" s="2">
        <v>45971</v>
      </c>
      <c r="B2381" t="s">
        <v>3625</v>
      </c>
      <c r="C2381" t="s">
        <v>2</v>
      </c>
      <c r="D2381" t="s">
        <v>4</v>
      </c>
      <c r="E2381">
        <v>1</v>
      </c>
      <c r="F2381" t="s">
        <v>600</v>
      </c>
      <c r="G2381">
        <v>22</v>
      </c>
    </row>
    <row r="2382" spans="1:7" x14ac:dyDescent="0.2">
      <c r="A2382" s="2">
        <v>45971</v>
      </c>
      <c r="B2382" t="s">
        <v>2841</v>
      </c>
      <c r="C2382" t="s">
        <v>1</v>
      </c>
      <c r="D2382" t="s">
        <v>3</v>
      </c>
      <c r="E2382">
        <v>1</v>
      </c>
      <c r="F2382" t="s">
        <v>4027</v>
      </c>
      <c r="G2382">
        <v>83</v>
      </c>
    </row>
    <row r="2383" spans="1:7" x14ac:dyDescent="0.2">
      <c r="A2383" s="2">
        <v>45971</v>
      </c>
      <c r="B2383" t="s">
        <v>2837</v>
      </c>
      <c r="C2383" t="s">
        <v>1</v>
      </c>
      <c r="D2383" t="s">
        <v>3</v>
      </c>
      <c r="E2383">
        <v>1</v>
      </c>
      <c r="F2383" t="s">
        <v>4027</v>
      </c>
      <c r="G2383">
        <v>62</v>
      </c>
    </row>
    <row r="2384" spans="1:7" x14ac:dyDescent="0.2">
      <c r="A2384" s="2">
        <v>45971</v>
      </c>
      <c r="B2384" t="s">
        <v>2838</v>
      </c>
      <c r="C2384" t="s">
        <v>1</v>
      </c>
      <c r="D2384" t="s">
        <v>3</v>
      </c>
      <c r="E2384">
        <v>1</v>
      </c>
      <c r="F2384" t="s">
        <v>4027</v>
      </c>
      <c r="G2384">
        <v>74</v>
      </c>
    </row>
    <row r="2385" spans="1:7" x14ac:dyDescent="0.2">
      <c r="A2385" s="2">
        <v>45971</v>
      </c>
      <c r="B2385" t="s">
        <v>3626</v>
      </c>
      <c r="C2385" t="s">
        <v>2</v>
      </c>
      <c r="D2385" t="s">
        <v>4</v>
      </c>
      <c r="E2385">
        <v>1</v>
      </c>
      <c r="F2385" t="s">
        <v>600</v>
      </c>
      <c r="G2385">
        <v>22</v>
      </c>
    </row>
    <row r="2386" spans="1:7" x14ac:dyDescent="0.2">
      <c r="A2386" s="2">
        <v>45971</v>
      </c>
      <c r="B2386" t="s">
        <v>2839</v>
      </c>
      <c r="C2386" t="s">
        <v>1</v>
      </c>
      <c r="D2386" t="s">
        <v>3</v>
      </c>
      <c r="E2386">
        <v>1</v>
      </c>
      <c r="F2386" t="s">
        <v>4027</v>
      </c>
      <c r="G2386">
        <v>80</v>
      </c>
    </row>
    <row r="2387" spans="1:7" x14ac:dyDescent="0.2">
      <c r="A2387" s="2">
        <v>45972</v>
      </c>
      <c r="B2387" t="s">
        <v>2844</v>
      </c>
      <c r="C2387" t="s">
        <v>1</v>
      </c>
      <c r="D2387" t="s">
        <v>3</v>
      </c>
      <c r="E2387">
        <v>1</v>
      </c>
      <c r="F2387" t="s">
        <v>4027</v>
      </c>
      <c r="G2387">
        <v>70</v>
      </c>
    </row>
    <row r="2388" spans="1:7" x14ac:dyDescent="0.2">
      <c r="A2388" s="2">
        <v>45972</v>
      </c>
      <c r="B2388" t="s">
        <v>2845</v>
      </c>
      <c r="C2388" t="s">
        <v>1</v>
      </c>
      <c r="D2388" t="s">
        <v>3</v>
      </c>
      <c r="E2388">
        <v>1</v>
      </c>
      <c r="F2388" t="s">
        <v>4027</v>
      </c>
      <c r="G2388">
        <v>87</v>
      </c>
    </row>
    <row r="2389" spans="1:7" x14ac:dyDescent="0.2">
      <c r="A2389" s="2">
        <v>45972</v>
      </c>
      <c r="B2389" t="s">
        <v>2846</v>
      </c>
      <c r="C2389" t="s">
        <v>1</v>
      </c>
      <c r="D2389" t="s">
        <v>3</v>
      </c>
      <c r="E2389">
        <v>1</v>
      </c>
      <c r="F2389" t="s">
        <v>4027</v>
      </c>
      <c r="G2389">
        <v>85</v>
      </c>
    </row>
    <row r="2390" spans="1:7" x14ac:dyDescent="0.2">
      <c r="A2390" s="2">
        <v>45972</v>
      </c>
      <c r="B2390" t="s">
        <v>2847</v>
      </c>
      <c r="C2390" t="s">
        <v>1</v>
      </c>
      <c r="D2390" t="s">
        <v>3</v>
      </c>
      <c r="E2390">
        <v>1</v>
      </c>
      <c r="F2390" t="s">
        <v>4027</v>
      </c>
      <c r="G2390">
        <v>89</v>
      </c>
    </row>
    <row r="2391" spans="1:7" x14ac:dyDescent="0.2">
      <c r="A2391" s="2">
        <v>45972</v>
      </c>
      <c r="B2391" t="s">
        <v>2848</v>
      </c>
      <c r="C2391" t="s">
        <v>1</v>
      </c>
      <c r="D2391" t="s">
        <v>3</v>
      </c>
      <c r="E2391">
        <v>1</v>
      </c>
      <c r="F2391" t="s">
        <v>4027</v>
      </c>
      <c r="G2391">
        <v>76</v>
      </c>
    </row>
    <row r="2392" spans="1:7" x14ac:dyDescent="0.2">
      <c r="A2392" s="2">
        <v>45972</v>
      </c>
      <c r="B2392" t="s">
        <v>2849</v>
      </c>
      <c r="C2392" t="s">
        <v>1</v>
      </c>
      <c r="D2392" t="s">
        <v>3</v>
      </c>
      <c r="E2392">
        <v>1</v>
      </c>
      <c r="F2392" t="s">
        <v>4027</v>
      </c>
      <c r="G2392">
        <v>79</v>
      </c>
    </row>
    <row r="2393" spans="1:7" x14ac:dyDescent="0.2">
      <c r="A2393" s="2">
        <v>45972</v>
      </c>
      <c r="B2393" t="s">
        <v>2850</v>
      </c>
      <c r="C2393" t="s">
        <v>1</v>
      </c>
      <c r="D2393" t="s">
        <v>3</v>
      </c>
      <c r="E2393">
        <v>1</v>
      </c>
      <c r="F2393" t="s">
        <v>4027</v>
      </c>
      <c r="G2393">
        <v>83</v>
      </c>
    </row>
    <row r="2394" spans="1:7" x14ac:dyDescent="0.2">
      <c r="A2394" s="2">
        <v>45972</v>
      </c>
      <c r="B2394" t="s">
        <v>2851</v>
      </c>
      <c r="C2394" t="s">
        <v>1</v>
      </c>
      <c r="D2394" t="s">
        <v>3</v>
      </c>
      <c r="E2394">
        <v>1</v>
      </c>
      <c r="F2394" t="s">
        <v>4027</v>
      </c>
      <c r="G2394">
        <v>69</v>
      </c>
    </row>
    <row r="2395" spans="1:7" x14ac:dyDescent="0.2">
      <c r="A2395" s="2">
        <v>45972</v>
      </c>
      <c r="B2395" t="s">
        <v>2853</v>
      </c>
      <c r="C2395" t="s">
        <v>1</v>
      </c>
      <c r="D2395" t="s">
        <v>3</v>
      </c>
      <c r="E2395">
        <v>1</v>
      </c>
      <c r="F2395" t="s">
        <v>4027</v>
      </c>
      <c r="G2395">
        <v>82</v>
      </c>
    </row>
    <row r="2396" spans="1:7" x14ac:dyDescent="0.2">
      <c r="A2396" s="2">
        <v>45972</v>
      </c>
      <c r="B2396" t="s">
        <v>2852</v>
      </c>
      <c r="C2396" t="s">
        <v>1</v>
      </c>
      <c r="D2396" t="s">
        <v>3</v>
      </c>
      <c r="E2396">
        <v>1</v>
      </c>
      <c r="F2396" t="s">
        <v>4027</v>
      </c>
      <c r="G2396">
        <v>60</v>
      </c>
    </row>
    <row r="2397" spans="1:7" x14ac:dyDescent="0.2">
      <c r="A2397" s="2">
        <v>45973</v>
      </c>
      <c r="B2397" t="s">
        <v>2858</v>
      </c>
      <c r="C2397" t="s">
        <v>1</v>
      </c>
      <c r="D2397" t="s">
        <v>3</v>
      </c>
      <c r="E2397">
        <v>1</v>
      </c>
      <c r="F2397" t="s">
        <v>4027</v>
      </c>
      <c r="G2397">
        <v>72</v>
      </c>
    </row>
    <row r="2398" spans="1:7" x14ac:dyDescent="0.2">
      <c r="A2398" s="2">
        <v>45973</v>
      </c>
      <c r="B2398" t="s">
        <v>3630</v>
      </c>
      <c r="C2398" t="s">
        <v>2</v>
      </c>
      <c r="D2398" t="s">
        <v>4</v>
      </c>
      <c r="E2398">
        <v>1</v>
      </c>
      <c r="F2398" t="s">
        <v>600</v>
      </c>
      <c r="G2398">
        <v>22</v>
      </c>
    </row>
    <row r="2399" spans="1:7" x14ac:dyDescent="0.2">
      <c r="A2399" s="2">
        <v>45973</v>
      </c>
      <c r="B2399" t="s">
        <v>3631</v>
      </c>
      <c r="C2399" t="s">
        <v>2</v>
      </c>
      <c r="D2399" t="s">
        <v>4</v>
      </c>
      <c r="E2399">
        <v>1</v>
      </c>
      <c r="F2399" t="s">
        <v>600</v>
      </c>
      <c r="G2399">
        <v>22</v>
      </c>
    </row>
    <row r="2400" spans="1:7" x14ac:dyDescent="0.2">
      <c r="A2400" s="2">
        <v>45973</v>
      </c>
      <c r="B2400" t="s">
        <v>3629</v>
      </c>
      <c r="C2400" t="s">
        <v>2</v>
      </c>
      <c r="D2400" t="s">
        <v>4</v>
      </c>
      <c r="E2400">
        <v>1</v>
      </c>
      <c r="F2400" t="s">
        <v>600</v>
      </c>
      <c r="G2400">
        <v>22</v>
      </c>
    </row>
    <row r="2401" spans="1:7" x14ac:dyDescent="0.2">
      <c r="A2401" s="2">
        <v>45973</v>
      </c>
      <c r="B2401" t="s">
        <v>2854</v>
      </c>
      <c r="C2401" t="s">
        <v>1</v>
      </c>
      <c r="D2401" t="s">
        <v>3</v>
      </c>
      <c r="E2401">
        <v>1</v>
      </c>
      <c r="F2401" t="s">
        <v>4027</v>
      </c>
      <c r="G2401">
        <v>78</v>
      </c>
    </row>
    <row r="2402" spans="1:7" x14ac:dyDescent="0.2">
      <c r="A2402" s="2">
        <v>45973</v>
      </c>
      <c r="B2402" t="s">
        <v>2855</v>
      </c>
      <c r="C2402" t="s">
        <v>1</v>
      </c>
      <c r="D2402" t="s">
        <v>3</v>
      </c>
      <c r="E2402">
        <v>1</v>
      </c>
      <c r="F2402" t="s">
        <v>4027</v>
      </c>
      <c r="G2402">
        <v>69</v>
      </c>
    </row>
    <row r="2403" spans="1:7" x14ac:dyDescent="0.2">
      <c r="A2403" s="2">
        <v>45973</v>
      </c>
      <c r="B2403" t="s">
        <v>2856</v>
      </c>
      <c r="C2403" t="s">
        <v>1</v>
      </c>
      <c r="D2403" t="s">
        <v>3</v>
      </c>
      <c r="E2403">
        <v>1</v>
      </c>
      <c r="F2403" t="s">
        <v>4027</v>
      </c>
      <c r="G2403">
        <v>82</v>
      </c>
    </row>
    <row r="2404" spans="1:7" x14ac:dyDescent="0.2">
      <c r="A2404" s="2">
        <v>45973</v>
      </c>
      <c r="B2404" t="s">
        <v>2857</v>
      </c>
      <c r="C2404" t="s">
        <v>1</v>
      </c>
      <c r="D2404" t="s">
        <v>3</v>
      </c>
      <c r="E2404">
        <v>1</v>
      </c>
      <c r="F2404" t="s">
        <v>4027</v>
      </c>
      <c r="G2404">
        <v>67</v>
      </c>
    </row>
    <row r="2405" spans="1:7" x14ac:dyDescent="0.2">
      <c r="A2405" s="2">
        <v>45975</v>
      </c>
      <c r="B2405" t="s">
        <v>2861</v>
      </c>
      <c r="C2405" t="s">
        <v>1</v>
      </c>
      <c r="D2405" t="s">
        <v>3</v>
      </c>
      <c r="E2405">
        <v>1</v>
      </c>
      <c r="F2405" t="s">
        <v>4027</v>
      </c>
      <c r="G2405">
        <v>63</v>
      </c>
    </row>
    <row r="2406" spans="1:7" x14ac:dyDescent="0.2">
      <c r="A2406" s="2">
        <v>45975</v>
      </c>
      <c r="B2406" t="s">
        <v>2863</v>
      </c>
      <c r="C2406" t="s">
        <v>1</v>
      </c>
      <c r="D2406" t="s">
        <v>3</v>
      </c>
      <c r="E2406">
        <v>1</v>
      </c>
      <c r="F2406" t="s">
        <v>4027</v>
      </c>
      <c r="G2406">
        <v>87</v>
      </c>
    </row>
    <row r="2407" spans="1:7" x14ac:dyDescent="0.2">
      <c r="A2407" s="2">
        <v>45975</v>
      </c>
      <c r="B2407" t="s">
        <v>2864</v>
      </c>
      <c r="C2407" t="s">
        <v>1</v>
      </c>
      <c r="D2407" t="s">
        <v>3</v>
      </c>
      <c r="E2407">
        <v>1</v>
      </c>
      <c r="F2407" t="s">
        <v>4027</v>
      </c>
      <c r="G2407">
        <v>79</v>
      </c>
    </row>
    <row r="2408" spans="1:7" x14ac:dyDescent="0.2">
      <c r="A2408" s="2">
        <v>45975</v>
      </c>
      <c r="B2408" t="s">
        <v>2865</v>
      </c>
      <c r="C2408" t="s">
        <v>1</v>
      </c>
      <c r="D2408" t="s">
        <v>3</v>
      </c>
      <c r="E2408">
        <v>1</v>
      </c>
      <c r="F2408" t="s">
        <v>4027</v>
      </c>
      <c r="G2408">
        <v>80</v>
      </c>
    </row>
    <row r="2409" spans="1:7" x14ac:dyDescent="0.2">
      <c r="A2409" s="2">
        <v>45975</v>
      </c>
      <c r="B2409" t="s">
        <v>2862</v>
      </c>
      <c r="C2409" t="s">
        <v>1</v>
      </c>
      <c r="D2409" t="s">
        <v>3</v>
      </c>
      <c r="E2409">
        <v>1</v>
      </c>
      <c r="F2409" t="s">
        <v>4027</v>
      </c>
      <c r="G2409">
        <v>84</v>
      </c>
    </row>
    <row r="2410" spans="1:7" x14ac:dyDescent="0.2">
      <c r="A2410" s="2">
        <v>45975</v>
      </c>
      <c r="B2410" t="s">
        <v>2860</v>
      </c>
      <c r="C2410" t="s">
        <v>1</v>
      </c>
      <c r="D2410" t="s">
        <v>3</v>
      </c>
      <c r="E2410">
        <v>1</v>
      </c>
      <c r="F2410" t="s">
        <v>4027</v>
      </c>
      <c r="G2410">
        <v>77</v>
      </c>
    </row>
    <row r="2411" spans="1:7" x14ac:dyDescent="0.2">
      <c r="A2411" s="2">
        <v>45975</v>
      </c>
      <c r="B2411" t="s">
        <v>2859</v>
      </c>
      <c r="C2411" t="s">
        <v>1</v>
      </c>
      <c r="D2411" t="s">
        <v>3</v>
      </c>
      <c r="E2411">
        <v>1</v>
      </c>
      <c r="F2411" t="s">
        <v>4027</v>
      </c>
      <c r="G2411">
        <v>78</v>
      </c>
    </row>
    <row r="2412" spans="1:7" x14ac:dyDescent="0.2">
      <c r="A2412" s="2">
        <v>45978</v>
      </c>
      <c r="B2412" t="s">
        <v>2866</v>
      </c>
      <c r="C2412" t="s">
        <v>1</v>
      </c>
      <c r="D2412" t="s">
        <v>3</v>
      </c>
      <c r="E2412">
        <v>1</v>
      </c>
      <c r="F2412" t="s">
        <v>4027</v>
      </c>
      <c r="G2412">
        <v>65</v>
      </c>
    </row>
    <row r="2413" spans="1:7" x14ac:dyDescent="0.2">
      <c r="A2413" s="2">
        <v>45978</v>
      </c>
      <c r="B2413" t="s">
        <v>2868</v>
      </c>
      <c r="C2413" t="s">
        <v>1</v>
      </c>
      <c r="D2413" t="s">
        <v>3</v>
      </c>
      <c r="E2413">
        <v>1</v>
      </c>
      <c r="F2413" t="s">
        <v>4027</v>
      </c>
      <c r="G2413">
        <v>62</v>
      </c>
    </row>
    <row r="2414" spans="1:7" x14ac:dyDescent="0.2">
      <c r="A2414" s="2">
        <v>45978</v>
      </c>
      <c r="B2414" t="s">
        <v>3634</v>
      </c>
      <c r="C2414" t="s">
        <v>2</v>
      </c>
      <c r="D2414" t="s">
        <v>4</v>
      </c>
      <c r="E2414">
        <v>1</v>
      </c>
      <c r="F2414" t="s">
        <v>600</v>
      </c>
      <c r="G2414">
        <v>22</v>
      </c>
    </row>
    <row r="2415" spans="1:7" x14ac:dyDescent="0.2">
      <c r="A2415" s="2">
        <v>45978</v>
      </c>
      <c r="B2415" t="s">
        <v>3633</v>
      </c>
      <c r="C2415" t="s">
        <v>2</v>
      </c>
      <c r="D2415" t="s">
        <v>4</v>
      </c>
      <c r="E2415">
        <v>1</v>
      </c>
      <c r="F2415" t="s">
        <v>600</v>
      </c>
      <c r="G2415">
        <v>22</v>
      </c>
    </row>
    <row r="2416" spans="1:7" x14ac:dyDescent="0.2">
      <c r="A2416" s="2">
        <v>45978</v>
      </c>
      <c r="B2416" t="s">
        <v>3632</v>
      </c>
      <c r="C2416" t="s">
        <v>2</v>
      </c>
      <c r="D2416" t="s">
        <v>4</v>
      </c>
      <c r="E2416">
        <v>1</v>
      </c>
      <c r="F2416" t="s">
        <v>600</v>
      </c>
      <c r="G2416">
        <v>22</v>
      </c>
    </row>
    <row r="2417" spans="1:7" x14ac:dyDescent="0.2">
      <c r="A2417" s="2">
        <v>45978</v>
      </c>
      <c r="B2417" t="s">
        <v>2867</v>
      </c>
      <c r="C2417" t="s">
        <v>1</v>
      </c>
      <c r="D2417" t="s">
        <v>3</v>
      </c>
      <c r="E2417">
        <v>1</v>
      </c>
      <c r="F2417" t="s">
        <v>4027</v>
      </c>
      <c r="G2417">
        <v>65</v>
      </c>
    </row>
    <row r="2418" spans="1:7" x14ac:dyDescent="0.2">
      <c r="A2418" s="2">
        <v>45979</v>
      </c>
      <c r="B2418" t="s">
        <v>2878</v>
      </c>
      <c r="C2418" t="s">
        <v>1</v>
      </c>
      <c r="D2418" t="s">
        <v>3</v>
      </c>
      <c r="E2418">
        <v>1</v>
      </c>
      <c r="F2418" t="s">
        <v>4027</v>
      </c>
      <c r="G2418">
        <v>62</v>
      </c>
    </row>
    <row r="2419" spans="1:7" x14ac:dyDescent="0.2">
      <c r="A2419" s="2">
        <v>45979</v>
      </c>
      <c r="B2419" t="s">
        <v>2870</v>
      </c>
      <c r="C2419" t="s">
        <v>1</v>
      </c>
      <c r="D2419" t="s">
        <v>3</v>
      </c>
      <c r="E2419">
        <v>1</v>
      </c>
      <c r="F2419" t="s">
        <v>4027</v>
      </c>
      <c r="G2419">
        <v>64</v>
      </c>
    </row>
    <row r="2420" spans="1:7" x14ac:dyDescent="0.2">
      <c r="A2420" s="2">
        <v>45979</v>
      </c>
      <c r="B2420" t="s">
        <v>2871</v>
      </c>
      <c r="C2420" t="s">
        <v>1</v>
      </c>
      <c r="D2420" t="s">
        <v>3</v>
      </c>
      <c r="E2420">
        <v>1</v>
      </c>
      <c r="F2420" t="s">
        <v>4027</v>
      </c>
      <c r="G2420">
        <v>87</v>
      </c>
    </row>
    <row r="2421" spans="1:7" x14ac:dyDescent="0.2">
      <c r="A2421" s="2">
        <v>45979</v>
      </c>
      <c r="B2421" t="s">
        <v>2872</v>
      </c>
      <c r="C2421" t="s">
        <v>1</v>
      </c>
      <c r="D2421" t="s">
        <v>3</v>
      </c>
      <c r="E2421">
        <v>1</v>
      </c>
      <c r="F2421" t="s">
        <v>4027</v>
      </c>
      <c r="G2421">
        <v>89</v>
      </c>
    </row>
    <row r="2422" spans="1:7" x14ac:dyDescent="0.2">
      <c r="A2422" s="2">
        <v>45979</v>
      </c>
      <c r="B2422" t="s">
        <v>2873</v>
      </c>
      <c r="C2422" t="s">
        <v>1</v>
      </c>
      <c r="D2422" t="s">
        <v>3</v>
      </c>
      <c r="E2422">
        <v>1</v>
      </c>
      <c r="F2422" t="s">
        <v>4027</v>
      </c>
      <c r="G2422">
        <v>80</v>
      </c>
    </row>
    <row r="2423" spans="1:7" x14ac:dyDescent="0.2">
      <c r="A2423" s="2">
        <v>45979</v>
      </c>
      <c r="B2423" t="s">
        <v>2874</v>
      </c>
      <c r="C2423" t="s">
        <v>1</v>
      </c>
      <c r="D2423" t="s">
        <v>3</v>
      </c>
      <c r="E2423">
        <v>1</v>
      </c>
      <c r="F2423" t="s">
        <v>4027</v>
      </c>
      <c r="G2423">
        <v>72</v>
      </c>
    </row>
    <row r="2424" spans="1:7" x14ac:dyDescent="0.2">
      <c r="A2424" s="2">
        <v>45979</v>
      </c>
      <c r="B2424" t="s">
        <v>2875</v>
      </c>
      <c r="C2424" t="s">
        <v>1</v>
      </c>
      <c r="D2424" t="s">
        <v>3</v>
      </c>
      <c r="E2424">
        <v>1</v>
      </c>
      <c r="F2424" t="s">
        <v>4027</v>
      </c>
      <c r="G2424">
        <v>72</v>
      </c>
    </row>
    <row r="2425" spans="1:7" x14ac:dyDescent="0.2">
      <c r="A2425" s="2">
        <v>45979</v>
      </c>
      <c r="B2425" t="s">
        <v>2876</v>
      </c>
      <c r="C2425" t="s">
        <v>1</v>
      </c>
      <c r="D2425" t="s">
        <v>3</v>
      </c>
      <c r="E2425">
        <v>1</v>
      </c>
      <c r="F2425" t="s">
        <v>4027</v>
      </c>
      <c r="G2425">
        <v>69</v>
      </c>
    </row>
    <row r="2426" spans="1:7" x14ac:dyDescent="0.2">
      <c r="A2426" s="2">
        <v>45979</v>
      </c>
      <c r="B2426" t="s">
        <v>2877</v>
      </c>
      <c r="C2426" t="s">
        <v>1</v>
      </c>
      <c r="D2426" t="s">
        <v>3</v>
      </c>
      <c r="E2426">
        <v>1</v>
      </c>
      <c r="F2426" t="s">
        <v>4027</v>
      </c>
      <c r="G2426">
        <v>88</v>
      </c>
    </row>
    <row r="2427" spans="1:7" x14ac:dyDescent="0.2">
      <c r="A2427" s="2">
        <v>45979</v>
      </c>
      <c r="B2427" t="s">
        <v>2869</v>
      </c>
      <c r="C2427" t="s">
        <v>1</v>
      </c>
      <c r="D2427" t="s">
        <v>3</v>
      </c>
      <c r="E2427">
        <v>1</v>
      </c>
      <c r="F2427" t="s">
        <v>4027</v>
      </c>
      <c r="G2427">
        <v>73</v>
      </c>
    </row>
    <row r="2428" spans="1:7" x14ac:dyDescent="0.2">
      <c r="A2428" s="2">
        <v>45980</v>
      </c>
      <c r="B2428" t="s">
        <v>3637</v>
      </c>
      <c r="C2428" t="s">
        <v>2</v>
      </c>
      <c r="D2428" t="s">
        <v>4</v>
      </c>
      <c r="E2428">
        <v>1</v>
      </c>
      <c r="F2428" t="s">
        <v>600</v>
      </c>
      <c r="G2428">
        <v>22</v>
      </c>
    </row>
    <row r="2429" spans="1:7" x14ac:dyDescent="0.2">
      <c r="A2429" s="2">
        <v>45980</v>
      </c>
      <c r="B2429" t="s">
        <v>3636</v>
      </c>
      <c r="C2429" t="s">
        <v>2</v>
      </c>
      <c r="D2429" t="s">
        <v>4</v>
      </c>
      <c r="E2429">
        <v>1</v>
      </c>
      <c r="F2429" t="s">
        <v>600</v>
      </c>
      <c r="G2429">
        <v>22</v>
      </c>
    </row>
    <row r="2430" spans="1:7" x14ac:dyDescent="0.2">
      <c r="A2430" s="2">
        <v>45980</v>
      </c>
      <c r="B2430" t="s">
        <v>3635</v>
      </c>
      <c r="C2430" t="s">
        <v>2</v>
      </c>
      <c r="D2430" t="s">
        <v>4</v>
      </c>
      <c r="E2430">
        <v>1</v>
      </c>
      <c r="F2430" t="s">
        <v>600</v>
      </c>
      <c r="G2430">
        <v>22</v>
      </c>
    </row>
    <row r="2431" spans="1:7" x14ac:dyDescent="0.2">
      <c r="A2431" s="2">
        <v>45980</v>
      </c>
      <c r="B2431" t="s">
        <v>3638</v>
      </c>
      <c r="C2431" t="s">
        <v>2</v>
      </c>
      <c r="D2431" t="s">
        <v>4</v>
      </c>
      <c r="E2431">
        <v>1</v>
      </c>
      <c r="F2431" t="s">
        <v>600</v>
      </c>
      <c r="G2431">
        <v>22</v>
      </c>
    </row>
    <row r="2432" spans="1:7" x14ac:dyDescent="0.2">
      <c r="A2432" s="2">
        <v>45980</v>
      </c>
      <c r="B2432" t="s">
        <v>2879</v>
      </c>
      <c r="C2432" t="s">
        <v>1</v>
      </c>
      <c r="D2432" t="s">
        <v>3</v>
      </c>
      <c r="E2432">
        <v>1</v>
      </c>
      <c r="F2432" t="s">
        <v>4027</v>
      </c>
      <c r="G2432">
        <v>73</v>
      </c>
    </row>
    <row r="2433" spans="1:7" x14ac:dyDescent="0.2">
      <c r="A2433" s="2">
        <v>45980</v>
      </c>
      <c r="B2433" t="s">
        <v>2881</v>
      </c>
      <c r="C2433" t="s">
        <v>1</v>
      </c>
      <c r="D2433" t="s">
        <v>3</v>
      </c>
      <c r="E2433">
        <v>1</v>
      </c>
      <c r="F2433" t="s">
        <v>4027</v>
      </c>
      <c r="G2433">
        <v>62</v>
      </c>
    </row>
    <row r="2434" spans="1:7" x14ac:dyDescent="0.2">
      <c r="A2434" s="2">
        <v>45980</v>
      </c>
      <c r="B2434" t="s">
        <v>3640</v>
      </c>
      <c r="C2434" t="s">
        <v>2</v>
      </c>
      <c r="D2434" t="s">
        <v>4</v>
      </c>
      <c r="E2434">
        <v>1</v>
      </c>
      <c r="F2434" t="s">
        <v>600</v>
      </c>
      <c r="G2434">
        <v>22</v>
      </c>
    </row>
    <row r="2435" spans="1:7" x14ac:dyDescent="0.2">
      <c r="A2435" s="2">
        <v>45980</v>
      </c>
      <c r="B2435" t="s">
        <v>2880</v>
      </c>
      <c r="C2435" t="s">
        <v>1</v>
      </c>
      <c r="D2435" t="s">
        <v>3</v>
      </c>
      <c r="E2435">
        <v>1</v>
      </c>
      <c r="F2435" t="s">
        <v>4027</v>
      </c>
      <c r="G2435">
        <v>63</v>
      </c>
    </row>
    <row r="2436" spans="1:7" x14ac:dyDescent="0.2">
      <c r="A2436" s="2">
        <v>45980</v>
      </c>
      <c r="B2436" t="s">
        <v>3639</v>
      </c>
      <c r="C2436" t="s">
        <v>2</v>
      </c>
      <c r="D2436" t="s">
        <v>4</v>
      </c>
      <c r="E2436">
        <v>1</v>
      </c>
      <c r="F2436" t="s">
        <v>600</v>
      </c>
      <c r="G2436">
        <v>22</v>
      </c>
    </row>
    <row r="2437" spans="1:7" x14ac:dyDescent="0.2">
      <c r="A2437" s="2">
        <v>45980</v>
      </c>
      <c r="B2437" t="s">
        <v>2882</v>
      </c>
      <c r="C2437" t="s">
        <v>1</v>
      </c>
      <c r="D2437" t="s">
        <v>3</v>
      </c>
      <c r="E2437">
        <v>1</v>
      </c>
      <c r="F2437" t="s">
        <v>4027</v>
      </c>
      <c r="G2437">
        <v>62</v>
      </c>
    </row>
    <row r="2438" spans="1:7" x14ac:dyDescent="0.2">
      <c r="A2438" s="2">
        <v>45980</v>
      </c>
      <c r="B2438" t="s">
        <v>2883</v>
      </c>
      <c r="C2438" t="s">
        <v>1</v>
      </c>
      <c r="D2438" t="s">
        <v>3</v>
      </c>
      <c r="E2438">
        <v>1</v>
      </c>
      <c r="F2438" t="s">
        <v>4027</v>
      </c>
      <c r="G2438">
        <v>60</v>
      </c>
    </row>
    <row r="2439" spans="1:7" x14ac:dyDescent="0.2">
      <c r="A2439" s="2">
        <v>45981</v>
      </c>
      <c r="B2439" t="s">
        <v>2884</v>
      </c>
      <c r="C2439" t="s">
        <v>1</v>
      </c>
      <c r="D2439" t="s">
        <v>3</v>
      </c>
      <c r="E2439">
        <v>1</v>
      </c>
      <c r="F2439" t="s">
        <v>4027</v>
      </c>
      <c r="G2439">
        <v>84</v>
      </c>
    </row>
    <row r="2440" spans="1:7" x14ac:dyDescent="0.2">
      <c r="A2440" s="2">
        <v>45981</v>
      </c>
      <c r="B2440" t="s">
        <v>2886</v>
      </c>
      <c r="C2440" t="s">
        <v>1</v>
      </c>
      <c r="D2440" t="s">
        <v>3</v>
      </c>
      <c r="E2440">
        <v>1</v>
      </c>
      <c r="F2440" t="s">
        <v>4027</v>
      </c>
      <c r="G2440">
        <v>60</v>
      </c>
    </row>
    <row r="2441" spans="1:7" x14ac:dyDescent="0.2">
      <c r="A2441" s="2">
        <v>45981</v>
      </c>
      <c r="B2441" t="s">
        <v>2885</v>
      </c>
      <c r="C2441" t="s">
        <v>1</v>
      </c>
      <c r="D2441" t="s">
        <v>3</v>
      </c>
      <c r="E2441">
        <v>1</v>
      </c>
      <c r="F2441" t="s">
        <v>4027</v>
      </c>
      <c r="G2441">
        <v>87</v>
      </c>
    </row>
    <row r="2442" spans="1:7" x14ac:dyDescent="0.2">
      <c r="A2442" s="2">
        <v>45981</v>
      </c>
      <c r="B2442" t="s">
        <v>2888</v>
      </c>
      <c r="C2442" t="s">
        <v>1</v>
      </c>
      <c r="D2442" t="s">
        <v>3</v>
      </c>
      <c r="E2442">
        <v>1</v>
      </c>
      <c r="F2442" t="s">
        <v>4027</v>
      </c>
      <c r="G2442">
        <v>85</v>
      </c>
    </row>
    <row r="2443" spans="1:7" x14ac:dyDescent="0.2">
      <c r="A2443" s="2">
        <v>45981</v>
      </c>
      <c r="B2443" t="s">
        <v>2889</v>
      </c>
      <c r="C2443" t="s">
        <v>1</v>
      </c>
      <c r="D2443" t="s">
        <v>3</v>
      </c>
      <c r="E2443">
        <v>1</v>
      </c>
      <c r="F2443" t="s">
        <v>4027</v>
      </c>
      <c r="G2443">
        <v>62</v>
      </c>
    </row>
    <row r="2444" spans="1:7" x14ac:dyDescent="0.2">
      <c r="A2444" s="2">
        <v>45981</v>
      </c>
      <c r="B2444" t="s">
        <v>2887</v>
      </c>
      <c r="C2444" t="s">
        <v>1</v>
      </c>
      <c r="D2444" t="s">
        <v>3</v>
      </c>
      <c r="E2444">
        <v>1</v>
      </c>
      <c r="F2444" t="s">
        <v>4027</v>
      </c>
      <c r="G2444">
        <v>71</v>
      </c>
    </row>
    <row r="2445" spans="1:7" x14ac:dyDescent="0.2">
      <c r="A2445" s="2">
        <v>45982</v>
      </c>
      <c r="B2445" t="s">
        <v>2890</v>
      </c>
      <c r="C2445" t="s">
        <v>1</v>
      </c>
      <c r="D2445" t="s">
        <v>3</v>
      </c>
      <c r="E2445">
        <v>1</v>
      </c>
      <c r="F2445" t="s">
        <v>4027</v>
      </c>
      <c r="G2445">
        <v>84</v>
      </c>
    </row>
    <row r="2446" spans="1:7" x14ac:dyDescent="0.2">
      <c r="A2446" s="2">
        <v>45982</v>
      </c>
      <c r="B2446" t="s">
        <v>2891</v>
      </c>
      <c r="C2446" t="s">
        <v>1</v>
      </c>
      <c r="D2446" t="s">
        <v>3</v>
      </c>
      <c r="E2446">
        <v>1</v>
      </c>
      <c r="F2446" t="s">
        <v>4027</v>
      </c>
      <c r="G2446">
        <v>72</v>
      </c>
    </row>
    <row r="2447" spans="1:7" x14ac:dyDescent="0.2">
      <c r="A2447" s="2">
        <v>45985</v>
      </c>
      <c r="B2447" t="s">
        <v>2896</v>
      </c>
      <c r="C2447" t="s">
        <v>1</v>
      </c>
      <c r="D2447" t="s">
        <v>3</v>
      </c>
      <c r="E2447">
        <v>1</v>
      </c>
      <c r="F2447" t="s">
        <v>4027</v>
      </c>
      <c r="G2447">
        <v>77</v>
      </c>
    </row>
    <row r="2448" spans="1:7" x14ac:dyDescent="0.2">
      <c r="A2448" s="2">
        <v>45985</v>
      </c>
      <c r="B2448" t="s">
        <v>2893</v>
      </c>
      <c r="C2448" t="s">
        <v>1</v>
      </c>
      <c r="D2448" t="s">
        <v>3</v>
      </c>
      <c r="E2448">
        <v>1</v>
      </c>
      <c r="F2448" t="s">
        <v>4027</v>
      </c>
      <c r="G2448">
        <v>75</v>
      </c>
    </row>
    <row r="2449" spans="1:7" x14ac:dyDescent="0.2">
      <c r="A2449" s="2">
        <v>45985</v>
      </c>
      <c r="B2449" t="s">
        <v>2894</v>
      </c>
      <c r="C2449" t="s">
        <v>1</v>
      </c>
      <c r="D2449" t="s">
        <v>3</v>
      </c>
      <c r="E2449">
        <v>1</v>
      </c>
      <c r="F2449" t="s">
        <v>4027</v>
      </c>
      <c r="G2449">
        <v>79</v>
      </c>
    </row>
    <row r="2450" spans="1:7" x14ac:dyDescent="0.2">
      <c r="A2450" s="2">
        <v>45985</v>
      </c>
      <c r="B2450" t="s">
        <v>2895</v>
      </c>
      <c r="C2450" t="s">
        <v>1</v>
      </c>
      <c r="D2450" t="s">
        <v>3</v>
      </c>
      <c r="E2450">
        <v>1</v>
      </c>
      <c r="F2450" t="s">
        <v>4027</v>
      </c>
      <c r="G2450">
        <v>61</v>
      </c>
    </row>
    <row r="2451" spans="1:7" x14ac:dyDescent="0.2">
      <c r="A2451" s="2">
        <v>45985</v>
      </c>
      <c r="B2451" t="s">
        <v>2892</v>
      </c>
      <c r="C2451" t="s">
        <v>1</v>
      </c>
      <c r="D2451" t="s">
        <v>3</v>
      </c>
      <c r="E2451">
        <v>1</v>
      </c>
      <c r="F2451" t="s">
        <v>4027</v>
      </c>
      <c r="G2451">
        <v>73</v>
      </c>
    </row>
    <row r="2452" spans="1:7" x14ac:dyDescent="0.2">
      <c r="A2452" s="2">
        <v>45985</v>
      </c>
      <c r="B2452" t="s">
        <v>2898</v>
      </c>
      <c r="C2452" t="s">
        <v>1</v>
      </c>
      <c r="D2452" t="s">
        <v>3</v>
      </c>
      <c r="E2452">
        <v>1</v>
      </c>
      <c r="F2452" t="s">
        <v>4027</v>
      </c>
      <c r="G2452">
        <v>79</v>
      </c>
    </row>
    <row r="2453" spans="1:7" x14ac:dyDescent="0.2">
      <c r="A2453" s="2">
        <v>45985</v>
      </c>
      <c r="B2453" t="s">
        <v>2897</v>
      </c>
      <c r="C2453" t="s">
        <v>1</v>
      </c>
      <c r="D2453" t="s">
        <v>3</v>
      </c>
      <c r="E2453">
        <v>1</v>
      </c>
      <c r="F2453" t="s">
        <v>4027</v>
      </c>
      <c r="G2453">
        <v>60</v>
      </c>
    </row>
    <row r="2454" spans="1:7" x14ac:dyDescent="0.2">
      <c r="A2454" s="2">
        <v>45986</v>
      </c>
      <c r="B2454" t="s">
        <v>2903</v>
      </c>
      <c r="C2454" t="s">
        <v>1</v>
      </c>
      <c r="D2454" t="s">
        <v>3</v>
      </c>
      <c r="E2454">
        <v>1</v>
      </c>
      <c r="F2454" t="s">
        <v>4027</v>
      </c>
      <c r="G2454">
        <v>70</v>
      </c>
    </row>
    <row r="2455" spans="1:7" x14ac:dyDescent="0.2">
      <c r="A2455" s="2">
        <v>45986</v>
      </c>
      <c r="B2455" t="s">
        <v>2908</v>
      </c>
      <c r="C2455" t="s">
        <v>1</v>
      </c>
      <c r="D2455" t="s">
        <v>3</v>
      </c>
      <c r="E2455">
        <v>1</v>
      </c>
      <c r="F2455" t="s">
        <v>4027</v>
      </c>
      <c r="G2455">
        <v>63</v>
      </c>
    </row>
    <row r="2456" spans="1:7" x14ac:dyDescent="0.2">
      <c r="A2456" s="2">
        <v>45986</v>
      </c>
      <c r="B2456" t="s">
        <v>2907</v>
      </c>
      <c r="C2456" t="s">
        <v>1</v>
      </c>
      <c r="D2456" t="s">
        <v>3</v>
      </c>
      <c r="E2456">
        <v>1</v>
      </c>
      <c r="F2456" t="s">
        <v>4027</v>
      </c>
      <c r="G2456">
        <v>68</v>
      </c>
    </row>
    <row r="2457" spans="1:7" x14ac:dyDescent="0.2">
      <c r="A2457" s="2">
        <v>45986</v>
      </c>
      <c r="B2457" t="s">
        <v>2906</v>
      </c>
      <c r="C2457" t="s">
        <v>1</v>
      </c>
      <c r="D2457" t="s">
        <v>3</v>
      </c>
      <c r="E2457">
        <v>1</v>
      </c>
      <c r="F2457" t="s">
        <v>4027</v>
      </c>
      <c r="G2457">
        <v>72</v>
      </c>
    </row>
    <row r="2458" spans="1:7" x14ac:dyDescent="0.2">
      <c r="A2458" s="2">
        <v>45986</v>
      </c>
      <c r="B2458" t="s">
        <v>2902</v>
      </c>
      <c r="C2458" t="s">
        <v>1</v>
      </c>
      <c r="D2458" t="s">
        <v>3</v>
      </c>
      <c r="E2458">
        <v>1</v>
      </c>
      <c r="F2458" t="s">
        <v>4027</v>
      </c>
      <c r="G2458">
        <v>66</v>
      </c>
    </row>
    <row r="2459" spans="1:7" x14ac:dyDescent="0.2">
      <c r="A2459" s="2">
        <v>45986</v>
      </c>
      <c r="B2459" t="s">
        <v>2904</v>
      </c>
      <c r="C2459" t="s">
        <v>1</v>
      </c>
      <c r="D2459" t="s">
        <v>3</v>
      </c>
      <c r="E2459">
        <v>1</v>
      </c>
      <c r="F2459" t="s">
        <v>4027</v>
      </c>
      <c r="G2459">
        <v>78</v>
      </c>
    </row>
    <row r="2460" spans="1:7" x14ac:dyDescent="0.2">
      <c r="A2460" s="2">
        <v>45986</v>
      </c>
      <c r="B2460" t="s">
        <v>2899</v>
      </c>
      <c r="C2460" t="s">
        <v>1</v>
      </c>
      <c r="D2460" t="s">
        <v>3</v>
      </c>
      <c r="E2460">
        <v>1</v>
      </c>
      <c r="F2460" t="s">
        <v>4027</v>
      </c>
      <c r="G2460">
        <v>83</v>
      </c>
    </row>
    <row r="2461" spans="1:7" x14ac:dyDescent="0.2">
      <c r="A2461" s="2">
        <v>45986</v>
      </c>
      <c r="B2461" t="s">
        <v>2900</v>
      </c>
      <c r="C2461" t="s">
        <v>1</v>
      </c>
      <c r="D2461" t="s">
        <v>3</v>
      </c>
      <c r="E2461">
        <v>1</v>
      </c>
      <c r="F2461" t="s">
        <v>4027</v>
      </c>
      <c r="G2461">
        <v>73</v>
      </c>
    </row>
    <row r="2462" spans="1:7" x14ac:dyDescent="0.2">
      <c r="A2462" s="2">
        <v>45986</v>
      </c>
      <c r="B2462" t="s">
        <v>2901</v>
      </c>
      <c r="C2462" t="s">
        <v>1</v>
      </c>
      <c r="D2462" t="s">
        <v>3</v>
      </c>
      <c r="E2462">
        <v>1</v>
      </c>
      <c r="F2462" t="s">
        <v>4027</v>
      </c>
      <c r="G2462">
        <v>82</v>
      </c>
    </row>
    <row r="2463" spans="1:7" x14ac:dyDescent="0.2">
      <c r="A2463" s="2">
        <v>45986</v>
      </c>
      <c r="B2463" t="s">
        <v>2905</v>
      </c>
      <c r="C2463" t="s">
        <v>1</v>
      </c>
      <c r="D2463" t="s">
        <v>3</v>
      </c>
      <c r="E2463">
        <v>1</v>
      </c>
      <c r="F2463" t="s">
        <v>4027</v>
      </c>
      <c r="G2463">
        <v>72</v>
      </c>
    </row>
    <row r="2464" spans="1:7" x14ac:dyDescent="0.2">
      <c r="A2464" s="2">
        <v>45987</v>
      </c>
      <c r="B2464" t="s">
        <v>2909</v>
      </c>
      <c r="C2464" t="s">
        <v>1</v>
      </c>
      <c r="D2464" t="s">
        <v>3</v>
      </c>
      <c r="E2464">
        <v>1</v>
      </c>
      <c r="F2464" t="s">
        <v>4027</v>
      </c>
      <c r="G2464">
        <v>66</v>
      </c>
    </row>
    <row r="2465" spans="1:7" x14ac:dyDescent="0.2">
      <c r="A2465" s="2">
        <v>45987</v>
      </c>
      <c r="B2465" t="s">
        <v>2911</v>
      </c>
      <c r="C2465" t="s">
        <v>1</v>
      </c>
      <c r="D2465" t="s">
        <v>3</v>
      </c>
      <c r="E2465">
        <v>1</v>
      </c>
      <c r="F2465" t="s">
        <v>4027</v>
      </c>
      <c r="G2465">
        <v>85</v>
      </c>
    </row>
    <row r="2466" spans="1:7" x14ac:dyDescent="0.2">
      <c r="A2466" s="2">
        <v>45987</v>
      </c>
      <c r="B2466" t="s">
        <v>2912</v>
      </c>
      <c r="C2466" t="s">
        <v>1</v>
      </c>
      <c r="D2466" t="s">
        <v>3</v>
      </c>
      <c r="E2466">
        <v>1</v>
      </c>
      <c r="F2466" t="s">
        <v>4027</v>
      </c>
      <c r="G2466">
        <v>70</v>
      </c>
    </row>
    <row r="2467" spans="1:7" x14ac:dyDescent="0.2">
      <c r="A2467" s="2">
        <v>45987</v>
      </c>
      <c r="B2467" t="s">
        <v>2913</v>
      </c>
      <c r="C2467" t="s">
        <v>1</v>
      </c>
      <c r="D2467" t="s">
        <v>3</v>
      </c>
      <c r="E2467">
        <v>1</v>
      </c>
      <c r="F2467" t="s">
        <v>4027</v>
      </c>
      <c r="G2467">
        <v>65</v>
      </c>
    </row>
    <row r="2468" spans="1:7" x14ac:dyDescent="0.2">
      <c r="A2468" s="2">
        <v>45987</v>
      </c>
      <c r="B2468" t="s">
        <v>2914</v>
      </c>
      <c r="C2468" t="s">
        <v>1</v>
      </c>
      <c r="D2468" t="s">
        <v>3</v>
      </c>
      <c r="E2468">
        <v>1</v>
      </c>
      <c r="F2468" t="s">
        <v>4027</v>
      </c>
      <c r="G2468">
        <v>64</v>
      </c>
    </row>
    <row r="2469" spans="1:7" x14ac:dyDescent="0.2">
      <c r="A2469" s="2">
        <v>45987</v>
      </c>
      <c r="B2469" t="s">
        <v>2915</v>
      </c>
      <c r="C2469" t="s">
        <v>1</v>
      </c>
      <c r="D2469" t="s">
        <v>3</v>
      </c>
      <c r="E2469">
        <v>1</v>
      </c>
      <c r="F2469" t="s">
        <v>4027</v>
      </c>
      <c r="G2469">
        <v>63</v>
      </c>
    </row>
    <row r="2470" spans="1:7" x14ac:dyDescent="0.2">
      <c r="A2470" s="2">
        <v>45987</v>
      </c>
      <c r="B2470" t="s">
        <v>2916</v>
      </c>
      <c r="C2470" t="s">
        <v>1</v>
      </c>
      <c r="D2470" t="s">
        <v>3</v>
      </c>
      <c r="E2470">
        <v>1</v>
      </c>
      <c r="F2470" t="s">
        <v>4027</v>
      </c>
      <c r="G2470">
        <v>69</v>
      </c>
    </row>
    <row r="2471" spans="1:7" x14ac:dyDescent="0.2">
      <c r="A2471" s="2">
        <v>45987</v>
      </c>
      <c r="B2471" t="s">
        <v>2917</v>
      </c>
      <c r="C2471" t="s">
        <v>1</v>
      </c>
      <c r="D2471" t="s">
        <v>3</v>
      </c>
      <c r="E2471">
        <v>1</v>
      </c>
      <c r="F2471" t="s">
        <v>4027</v>
      </c>
      <c r="G2471">
        <v>72</v>
      </c>
    </row>
    <row r="2472" spans="1:7" x14ac:dyDescent="0.2">
      <c r="A2472" s="2">
        <v>45987</v>
      </c>
      <c r="B2472" t="s">
        <v>2910</v>
      </c>
      <c r="C2472" t="s">
        <v>1</v>
      </c>
      <c r="D2472" t="s">
        <v>3</v>
      </c>
      <c r="E2472">
        <v>1</v>
      </c>
      <c r="F2472" t="s">
        <v>4027</v>
      </c>
      <c r="G2472">
        <v>89</v>
      </c>
    </row>
    <row r="2473" spans="1:7" x14ac:dyDescent="0.2">
      <c r="A2473" s="2">
        <v>45988</v>
      </c>
      <c r="B2473" t="s">
        <v>2918</v>
      </c>
      <c r="C2473" t="s">
        <v>1</v>
      </c>
      <c r="D2473" t="s">
        <v>3</v>
      </c>
      <c r="E2473">
        <v>1</v>
      </c>
      <c r="F2473" t="s">
        <v>4027</v>
      </c>
      <c r="G2473">
        <v>76</v>
      </c>
    </row>
    <row r="2474" spans="1:7" x14ac:dyDescent="0.2">
      <c r="A2474" s="2">
        <v>45988</v>
      </c>
      <c r="B2474" t="s">
        <v>2920</v>
      </c>
      <c r="C2474" t="s">
        <v>1</v>
      </c>
      <c r="D2474" t="s">
        <v>3</v>
      </c>
      <c r="E2474">
        <v>1</v>
      </c>
      <c r="F2474" t="s">
        <v>4027</v>
      </c>
      <c r="G2474">
        <v>80</v>
      </c>
    </row>
    <row r="2475" spans="1:7" x14ac:dyDescent="0.2">
      <c r="A2475" s="2">
        <v>45988</v>
      </c>
      <c r="B2475" t="s">
        <v>2922</v>
      </c>
      <c r="C2475" t="s">
        <v>1</v>
      </c>
      <c r="D2475" t="s">
        <v>3</v>
      </c>
      <c r="E2475">
        <v>1</v>
      </c>
      <c r="F2475" t="s">
        <v>4027</v>
      </c>
      <c r="G2475">
        <v>72</v>
      </c>
    </row>
    <row r="2476" spans="1:7" x14ac:dyDescent="0.2">
      <c r="A2476" s="2">
        <v>45988</v>
      </c>
      <c r="B2476" t="s">
        <v>2923</v>
      </c>
      <c r="C2476" t="s">
        <v>1</v>
      </c>
      <c r="D2476" t="s">
        <v>3</v>
      </c>
      <c r="E2476">
        <v>1</v>
      </c>
      <c r="F2476" t="s">
        <v>4027</v>
      </c>
      <c r="G2476">
        <v>72</v>
      </c>
    </row>
    <row r="2477" spans="1:7" x14ac:dyDescent="0.2">
      <c r="A2477" s="2">
        <v>45988</v>
      </c>
      <c r="B2477" t="s">
        <v>2924</v>
      </c>
      <c r="C2477" t="s">
        <v>1</v>
      </c>
      <c r="D2477" t="s">
        <v>3</v>
      </c>
      <c r="E2477">
        <v>1</v>
      </c>
      <c r="F2477" t="s">
        <v>4027</v>
      </c>
      <c r="G2477">
        <v>69</v>
      </c>
    </row>
    <row r="2478" spans="1:7" x14ac:dyDescent="0.2">
      <c r="A2478" s="2">
        <v>45988</v>
      </c>
      <c r="B2478" t="s">
        <v>2925</v>
      </c>
      <c r="C2478" t="s">
        <v>1</v>
      </c>
      <c r="D2478" t="s">
        <v>3</v>
      </c>
      <c r="E2478">
        <v>1</v>
      </c>
      <c r="F2478" t="s">
        <v>4027</v>
      </c>
      <c r="G2478">
        <v>79</v>
      </c>
    </row>
    <row r="2479" spans="1:7" x14ac:dyDescent="0.2">
      <c r="A2479" s="2">
        <v>45988</v>
      </c>
      <c r="B2479" t="s">
        <v>2921</v>
      </c>
      <c r="C2479" t="s">
        <v>1</v>
      </c>
      <c r="D2479" t="s">
        <v>3</v>
      </c>
      <c r="E2479">
        <v>1</v>
      </c>
      <c r="F2479" t="s">
        <v>4027</v>
      </c>
      <c r="G2479">
        <v>76</v>
      </c>
    </row>
    <row r="2480" spans="1:7" x14ac:dyDescent="0.2">
      <c r="A2480" s="2">
        <v>45988</v>
      </c>
      <c r="B2480" t="s">
        <v>2919</v>
      </c>
      <c r="C2480" t="s">
        <v>1</v>
      </c>
      <c r="D2480" t="s">
        <v>3</v>
      </c>
      <c r="E2480">
        <v>1</v>
      </c>
      <c r="F2480" t="s">
        <v>4027</v>
      </c>
      <c r="G2480">
        <v>63</v>
      </c>
    </row>
    <row r="2481" spans="1:7" x14ac:dyDescent="0.2">
      <c r="A2481" s="2">
        <v>45989</v>
      </c>
      <c r="B2481" t="s">
        <v>2933</v>
      </c>
      <c r="C2481" t="s">
        <v>1</v>
      </c>
      <c r="D2481" t="s">
        <v>3</v>
      </c>
      <c r="E2481">
        <v>1</v>
      </c>
      <c r="F2481" t="s">
        <v>4027</v>
      </c>
      <c r="G2481">
        <v>77</v>
      </c>
    </row>
    <row r="2482" spans="1:7" x14ac:dyDescent="0.2">
      <c r="A2482" s="2">
        <v>45989</v>
      </c>
      <c r="B2482" t="s">
        <v>2931</v>
      </c>
      <c r="C2482" t="s">
        <v>1</v>
      </c>
      <c r="D2482" t="s">
        <v>3</v>
      </c>
      <c r="E2482">
        <v>1</v>
      </c>
      <c r="F2482" t="s">
        <v>4027</v>
      </c>
      <c r="G2482">
        <v>78</v>
      </c>
    </row>
    <row r="2483" spans="1:7" x14ac:dyDescent="0.2">
      <c r="A2483" s="2">
        <v>45989</v>
      </c>
      <c r="B2483" t="s">
        <v>2932</v>
      </c>
      <c r="C2483" t="s">
        <v>1</v>
      </c>
      <c r="D2483" t="s">
        <v>3</v>
      </c>
      <c r="E2483">
        <v>1</v>
      </c>
      <c r="F2483" t="s">
        <v>4027</v>
      </c>
      <c r="G2483">
        <v>66</v>
      </c>
    </row>
    <row r="2484" spans="1:7" x14ac:dyDescent="0.2">
      <c r="A2484" s="2">
        <v>45989</v>
      </c>
      <c r="B2484" t="s">
        <v>2928</v>
      </c>
      <c r="C2484" t="s">
        <v>1</v>
      </c>
      <c r="D2484" t="s">
        <v>3</v>
      </c>
      <c r="E2484">
        <v>1</v>
      </c>
      <c r="F2484" t="s">
        <v>4027</v>
      </c>
      <c r="G2484">
        <v>81</v>
      </c>
    </row>
    <row r="2485" spans="1:7" x14ac:dyDescent="0.2">
      <c r="A2485" s="2">
        <v>45989</v>
      </c>
      <c r="B2485" t="s">
        <v>2927</v>
      </c>
      <c r="C2485" t="s">
        <v>1</v>
      </c>
      <c r="D2485" t="s">
        <v>3</v>
      </c>
      <c r="E2485">
        <v>1</v>
      </c>
      <c r="F2485" t="s">
        <v>4027</v>
      </c>
      <c r="G2485">
        <v>85</v>
      </c>
    </row>
    <row r="2486" spans="1:7" x14ac:dyDescent="0.2">
      <c r="A2486" s="2">
        <v>45989</v>
      </c>
      <c r="B2486" t="s">
        <v>2926</v>
      </c>
      <c r="C2486" t="s">
        <v>1</v>
      </c>
      <c r="D2486" t="s">
        <v>3</v>
      </c>
      <c r="E2486">
        <v>1</v>
      </c>
      <c r="F2486" t="s">
        <v>4027</v>
      </c>
      <c r="G2486">
        <v>79</v>
      </c>
    </row>
    <row r="2487" spans="1:7" x14ac:dyDescent="0.2">
      <c r="A2487" s="2">
        <v>45989</v>
      </c>
      <c r="B2487" t="s">
        <v>2929</v>
      </c>
      <c r="C2487" t="s">
        <v>1</v>
      </c>
      <c r="D2487" t="s">
        <v>3</v>
      </c>
      <c r="E2487">
        <v>1</v>
      </c>
      <c r="F2487" t="s">
        <v>4027</v>
      </c>
      <c r="G2487">
        <v>79</v>
      </c>
    </row>
    <row r="2488" spans="1:7" x14ac:dyDescent="0.2">
      <c r="A2488" s="2">
        <v>45989</v>
      </c>
      <c r="B2488" t="s">
        <v>2930</v>
      </c>
      <c r="C2488" t="s">
        <v>1</v>
      </c>
      <c r="D2488" t="s">
        <v>3</v>
      </c>
      <c r="E2488">
        <v>1</v>
      </c>
      <c r="F2488" t="s">
        <v>4027</v>
      </c>
      <c r="G2488">
        <v>71</v>
      </c>
    </row>
    <row r="2489" spans="1:7" x14ac:dyDescent="0.2">
      <c r="A2489" s="2">
        <v>45990</v>
      </c>
      <c r="B2489" t="s">
        <v>2934</v>
      </c>
      <c r="C2489" t="s">
        <v>1</v>
      </c>
      <c r="D2489" t="s">
        <v>3</v>
      </c>
      <c r="E2489">
        <v>1</v>
      </c>
      <c r="F2489" t="s">
        <v>4027</v>
      </c>
      <c r="G2489">
        <v>62</v>
      </c>
    </row>
    <row r="2490" spans="1:7" x14ac:dyDescent="0.2">
      <c r="A2490" s="2">
        <v>45990</v>
      </c>
      <c r="B2490" t="s">
        <v>2935</v>
      </c>
      <c r="C2490" t="s">
        <v>1</v>
      </c>
      <c r="D2490" t="s">
        <v>3</v>
      </c>
      <c r="E2490">
        <v>1</v>
      </c>
      <c r="F2490" t="s">
        <v>4027</v>
      </c>
      <c r="G2490">
        <v>72</v>
      </c>
    </row>
    <row r="2491" spans="1:7" x14ac:dyDescent="0.2">
      <c r="A2491" s="2">
        <v>45990</v>
      </c>
      <c r="B2491" t="s">
        <v>2936</v>
      </c>
      <c r="C2491" t="s">
        <v>1</v>
      </c>
      <c r="D2491" t="s">
        <v>3</v>
      </c>
      <c r="E2491">
        <v>1</v>
      </c>
      <c r="F2491" t="s">
        <v>4027</v>
      </c>
      <c r="G2491">
        <v>63</v>
      </c>
    </row>
    <row r="2492" spans="1:7" x14ac:dyDescent="0.2">
      <c r="A2492" s="2">
        <v>45990</v>
      </c>
      <c r="B2492" t="s">
        <v>2937</v>
      </c>
      <c r="C2492" t="s">
        <v>1</v>
      </c>
      <c r="D2492" t="s">
        <v>3</v>
      </c>
      <c r="E2492">
        <v>1</v>
      </c>
      <c r="F2492" t="s">
        <v>4027</v>
      </c>
      <c r="G2492">
        <v>78</v>
      </c>
    </row>
    <row r="2493" spans="1:7" x14ac:dyDescent="0.2">
      <c r="A2493" s="2">
        <v>45990</v>
      </c>
      <c r="B2493" t="s">
        <v>2939</v>
      </c>
      <c r="C2493" t="s">
        <v>1</v>
      </c>
      <c r="D2493" t="s">
        <v>3</v>
      </c>
      <c r="E2493">
        <v>1</v>
      </c>
      <c r="F2493" t="s">
        <v>4027</v>
      </c>
      <c r="G2493">
        <v>72</v>
      </c>
    </row>
    <row r="2494" spans="1:7" x14ac:dyDescent="0.2">
      <c r="A2494" s="2">
        <v>45990</v>
      </c>
      <c r="B2494" t="s">
        <v>2940</v>
      </c>
      <c r="C2494" t="s">
        <v>1</v>
      </c>
      <c r="D2494" t="s">
        <v>3</v>
      </c>
      <c r="E2494">
        <v>1</v>
      </c>
      <c r="F2494" t="s">
        <v>4027</v>
      </c>
      <c r="G2494">
        <v>67</v>
      </c>
    </row>
    <row r="2495" spans="1:7" x14ac:dyDescent="0.2">
      <c r="A2495" s="2">
        <v>45990</v>
      </c>
      <c r="B2495" t="s">
        <v>2941</v>
      </c>
      <c r="C2495" t="s">
        <v>1</v>
      </c>
      <c r="D2495" t="s">
        <v>3</v>
      </c>
      <c r="E2495">
        <v>1</v>
      </c>
      <c r="F2495" t="s">
        <v>4027</v>
      </c>
      <c r="G2495">
        <v>74</v>
      </c>
    </row>
    <row r="2496" spans="1:7" x14ac:dyDescent="0.2">
      <c r="A2496" s="2">
        <v>45990</v>
      </c>
      <c r="B2496" t="s">
        <v>2938</v>
      </c>
      <c r="C2496" t="s">
        <v>1</v>
      </c>
      <c r="D2496" t="s">
        <v>3</v>
      </c>
      <c r="E2496">
        <v>1</v>
      </c>
      <c r="F2496" t="s">
        <v>4027</v>
      </c>
      <c r="G2496">
        <v>68</v>
      </c>
    </row>
    <row r="2497" spans="1:7" x14ac:dyDescent="0.2">
      <c r="A2497" s="2">
        <v>45990</v>
      </c>
      <c r="B2497" t="s">
        <v>3642</v>
      </c>
      <c r="C2497" t="s">
        <v>2</v>
      </c>
      <c r="D2497" t="s">
        <v>4</v>
      </c>
      <c r="E2497">
        <v>1</v>
      </c>
      <c r="F2497" t="s">
        <v>600</v>
      </c>
      <c r="G2497">
        <v>22</v>
      </c>
    </row>
    <row r="2498" spans="1:7" x14ac:dyDescent="0.2">
      <c r="A2498" s="2">
        <v>45990</v>
      </c>
      <c r="B2498" t="s">
        <v>3643</v>
      </c>
      <c r="C2498" t="s">
        <v>2</v>
      </c>
      <c r="D2498" t="s">
        <v>4</v>
      </c>
      <c r="E2498">
        <v>1</v>
      </c>
      <c r="F2498" t="s">
        <v>600</v>
      </c>
      <c r="G2498">
        <v>22</v>
      </c>
    </row>
    <row r="2499" spans="1:7" x14ac:dyDescent="0.2">
      <c r="A2499" s="2">
        <v>45990</v>
      </c>
      <c r="B2499" t="s">
        <v>3644</v>
      </c>
      <c r="C2499" t="s">
        <v>2</v>
      </c>
      <c r="D2499" t="s">
        <v>4</v>
      </c>
      <c r="E2499">
        <v>1</v>
      </c>
      <c r="F2499" t="s">
        <v>600</v>
      </c>
      <c r="G2499">
        <v>22</v>
      </c>
    </row>
    <row r="2500" spans="1:7" x14ac:dyDescent="0.2">
      <c r="A2500" s="2">
        <v>45990</v>
      </c>
      <c r="B2500" t="s">
        <v>3641</v>
      </c>
      <c r="C2500" t="s">
        <v>2</v>
      </c>
      <c r="D2500" t="s">
        <v>4</v>
      </c>
      <c r="E2500">
        <v>1</v>
      </c>
      <c r="F2500" t="s">
        <v>600</v>
      </c>
      <c r="G2500">
        <v>22</v>
      </c>
    </row>
    <row r="2501" spans="1:7" x14ac:dyDescent="0.2">
      <c r="A2501" s="2">
        <v>45992</v>
      </c>
      <c r="B2501" t="s">
        <v>2944</v>
      </c>
      <c r="C2501" t="s">
        <v>1</v>
      </c>
      <c r="D2501" t="s">
        <v>3</v>
      </c>
      <c r="E2501">
        <v>1</v>
      </c>
      <c r="F2501" t="s">
        <v>4027</v>
      </c>
      <c r="G2501">
        <v>87</v>
      </c>
    </row>
    <row r="2502" spans="1:7" x14ac:dyDescent="0.2">
      <c r="A2502" s="2">
        <v>45992</v>
      </c>
      <c r="B2502" t="s">
        <v>2945</v>
      </c>
      <c r="C2502" t="s">
        <v>1</v>
      </c>
      <c r="D2502" t="s">
        <v>3</v>
      </c>
      <c r="E2502">
        <v>1</v>
      </c>
      <c r="F2502" t="s">
        <v>4027</v>
      </c>
      <c r="G2502">
        <v>81</v>
      </c>
    </row>
    <row r="2503" spans="1:7" x14ac:dyDescent="0.2">
      <c r="A2503" s="2">
        <v>45992</v>
      </c>
      <c r="B2503" t="s">
        <v>2946</v>
      </c>
      <c r="C2503" t="s">
        <v>1</v>
      </c>
      <c r="D2503" t="s">
        <v>3</v>
      </c>
      <c r="E2503">
        <v>1</v>
      </c>
      <c r="F2503" t="s">
        <v>4027</v>
      </c>
      <c r="G2503">
        <v>85</v>
      </c>
    </row>
    <row r="2504" spans="1:7" x14ac:dyDescent="0.2">
      <c r="A2504" s="2">
        <v>45992</v>
      </c>
      <c r="B2504" t="s">
        <v>2947</v>
      </c>
      <c r="C2504" t="s">
        <v>1</v>
      </c>
      <c r="D2504" t="s">
        <v>3</v>
      </c>
      <c r="E2504">
        <v>1</v>
      </c>
      <c r="F2504" t="s">
        <v>4027</v>
      </c>
      <c r="G2504">
        <v>60</v>
      </c>
    </row>
    <row r="2505" spans="1:7" x14ac:dyDescent="0.2">
      <c r="A2505" s="2">
        <v>45992</v>
      </c>
      <c r="B2505" t="s">
        <v>2948</v>
      </c>
      <c r="C2505" t="s">
        <v>1</v>
      </c>
      <c r="D2505" t="s">
        <v>3</v>
      </c>
      <c r="E2505">
        <v>1</v>
      </c>
      <c r="F2505" t="s">
        <v>4027</v>
      </c>
      <c r="G2505">
        <v>81</v>
      </c>
    </row>
    <row r="2506" spans="1:7" x14ac:dyDescent="0.2">
      <c r="A2506" s="2">
        <v>45992</v>
      </c>
      <c r="B2506" t="s">
        <v>2942</v>
      </c>
      <c r="C2506" t="s">
        <v>1</v>
      </c>
      <c r="D2506" t="s">
        <v>3</v>
      </c>
      <c r="E2506">
        <v>1</v>
      </c>
      <c r="F2506" t="s">
        <v>4027</v>
      </c>
      <c r="G2506">
        <v>72</v>
      </c>
    </row>
    <row r="2507" spans="1:7" x14ac:dyDescent="0.2">
      <c r="A2507" s="2">
        <v>45992</v>
      </c>
      <c r="B2507" t="s">
        <v>2943</v>
      </c>
      <c r="C2507" t="s">
        <v>1</v>
      </c>
      <c r="D2507" t="s">
        <v>3</v>
      </c>
      <c r="E2507">
        <v>1</v>
      </c>
      <c r="F2507" t="s">
        <v>4027</v>
      </c>
      <c r="G2507">
        <v>73</v>
      </c>
    </row>
    <row r="2508" spans="1:7" x14ac:dyDescent="0.2">
      <c r="A2508" s="2">
        <v>45993</v>
      </c>
      <c r="B2508" t="s">
        <v>2949</v>
      </c>
      <c r="C2508" t="s">
        <v>1</v>
      </c>
      <c r="D2508" t="s">
        <v>3</v>
      </c>
      <c r="E2508">
        <v>1</v>
      </c>
      <c r="F2508" t="s">
        <v>4027</v>
      </c>
      <c r="G2508">
        <v>89</v>
      </c>
    </row>
    <row r="2509" spans="1:7" x14ac:dyDescent="0.2">
      <c r="A2509" s="2">
        <v>45993</v>
      </c>
      <c r="B2509" t="s">
        <v>2952</v>
      </c>
      <c r="C2509" t="s">
        <v>1</v>
      </c>
      <c r="D2509" t="s">
        <v>3</v>
      </c>
      <c r="E2509">
        <v>1</v>
      </c>
      <c r="F2509" t="s">
        <v>4027</v>
      </c>
      <c r="G2509">
        <v>80</v>
      </c>
    </row>
    <row r="2510" spans="1:7" x14ac:dyDescent="0.2">
      <c r="A2510" s="2">
        <v>45993</v>
      </c>
      <c r="B2510" t="s">
        <v>2953</v>
      </c>
      <c r="C2510" t="s">
        <v>1</v>
      </c>
      <c r="D2510" t="s">
        <v>3</v>
      </c>
      <c r="E2510">
        <v>1</v>
      </c>
      <c r="F2510" t="s">
        <v>4027</v>
      </c>
      <c r="G2510">
        <v>83</v>
      </c>
    </row>
    <row r="2511" spans="1:7" x14ac:dyDescent="0.2">
      <c r="A2511" s="2">
        <v>45993</v>
      </c>
      <c r="B2511" t="s">
        <v>2954</v>
      </c>
      <c r="C2511" t="s">
        <v>1</v>
      </c>
      <c r="D2511" t="s">
        <v>3</v>
      </c>
      <c r="E2511">
        <v>1</v>
      </c>
      <c r="F2511" t="s">
        <v>4027</v>
      </c>
      <c r="G2511">
        <v>81</v>
      </c>
    </row>
    <row r="2512" spans="1:7" x14ac:dyDescent="0.2">
      <c r="A2512" s="2">
        <v>45993</v>
      </c>
      <c r="B2512" t="s">
        <v>2955</v>
      </c>
      <c r="C2512" t="s">
        <v>1</v>
      </c>
      <c r="D2512" t="s">
        <v>3</v>
      </c>
      <c r="E2512">
        <v>1</v>
      </c>
      <c r="F2512" t="s">
        <v>4027</v>
      </c>
      <c r="G2512">
        <v>86</v>
      </c>
    </row>
    <row r="2513" spans="1:7" x14ac:dyDescent="0.2">
      <c r="A2513" s="2">
        <v>45993</v>
      </c>
      <c r="B2513" t="s">
        <v>2956</v>
      </c>
      <c r="C2513" t="s">
        <v>1</v>
      </c>
      <c r="D2513" t="s">
        <v>3</v>
      </c>
      <c r="E2513">
        <v>1</v>
      </c>
      <c r="F2513" t="s">
        <v>4027</v>
      </c>
      <c r="G2513">
        <v>74</v>
      </c>
    </row>
    <row r="2514" spans="1:7" x14ac:dyDescent="0.2">
      <c r="A2514" s="2">
        <v>45993</v>
      </c>
      <c r="B2514" t="s">
        <v>2957</v>
      </c>
      <c r="C2514" t="s">
        <v>1</v>
      </c>
      <c r="D2514" t="s">
        <v>3</v>
      </c>
      <c r="E2514">
        <v>1</v>
      </c>
      <c r="F2514" t="s">
        <v>4027</v>
      </c>
      <c r="G2514">
        <v>81</v>
      </c>
    </row>
    <row r="2515" spans="1:7" x14ac:dyDescent="0.2">
      <c r="A2515" s="2">
        <v>45993</v>
      </c>
      <c r="B2515" t="s">
        <v>2951</v>
      </c>
      <c r="C2515" t="s">
        <v>1</v>
      </c>
      <c r="D2515" t="s">
        <v>3</v>
      </c>
      <c r="E2515">
        <v>1</v>
      </c>
      <c r="F2515" t="s">
        <v>4027</v>
      </c>
      <c r="G2515">
        <v>78</v>
      </c>
    </row>
    <row r="2516" spans="1:7" x14ac:dyDescent="0.2">
      <c r="A2516" s="2">
        <v>45993</v>
      </c>
      <c r="B2516" t="s">
        <v>2950</v>
      </c>
      <c r="C2516" t="s">
        <v>1</v>
      </c>
      <c r="D2516" t="s">
        <v>3</v>
      </c>
      <c r="E2516">
        <v>1</v>
      </c>
      <c r="F2516" t="s">
        <v>4027</v>
      </c>
      <c r="G2516">
        <v>87</v>
      </c>
    </row>
    <row r="2517" spans="1:7" x14ac:dyDescent="0.2">
      <c r="A2517" s="2">
        <v>45993</v>
      </c>
      <c r="B2517" t="s">
        <v>3648</v>
      </c>
      <c r="C2517" t="s">
        <v>2</v>
      </c>
      <c r="D2517" t="s">
        <v>4</v>
      </c>
      <c r="E2517">
        <v>1</v>
      </c>
      <c r="F2517" t="s">
        <v>600</v>
      </c>
      <c r="G2517">
        <v>22</v>
      </c>
    </row>
    <row r="2518" spans="1:7" x14ac:dyDescent="0.2">
      <c r="A2518" s="2">
        <v>45993</v>
      </c>
      <c r="B2518" t="s">
        <v>3645</v>
      </c>
      <c r="C2518" t="s">
        <v>2</v>
      </c>
      <c r="D2518" t="s">
        <v>4</v>
      </c>
      <c r="E2518">
        <v>1</v>
      </c>
      <c r="F2518" t="s">
        <v>600</v>
      </c>
      <c r="G2518">
        <v>22</v>
      </c>
    </row>
    <row r="2519" spans="1:7" x14ac:dyDescent="0.2">
      <c r="A2519" s="2">
        <v>45993</v>
      </c>
      <c r="B2519" t="s">
        <v>3646</v>
      </c>
      <c r="C2519" t="s">
        <v>2</v>
      </c>
      <c r="D2519" t="s">
        <v>4</v>
      </c>
      <c r="E2519">
        <v>1</v>
      </c>
      <c r="F2519" t="s">
        <v>600</v>
      </c>
      <c r="G2519">
        <v>22</v>
      </c>
    </row>
    <row r="2520" spans="1:7" x14ac:dyDescent="0.2">
      <c r="A2520" s="2">
        <v>45993</v>
      </c>
      <c r="B2520" t="s">
        <v>3650</v>
      </c>
      <c r="C2520" t="s">
        <v>2</v>
      </c>
      <c r="D2520" t="s">
        <v>4</v>
      </c>
      <c r="E2520">
        <v>1</v>
      </c>
      <c r="F2520" t="s">
        <v>600</v>
      </c>
      <c r="G2520">
        <v>22</v>
      </c>
    </row>
    <row r="2521" spans="1:7" x14ac:dyDescent="0.2">
      <c r="A2521" s="2">
        <v>45993</v>
      </c>
      <c r="B2521" t="s">
        <v>3649</v>
      </c>
      <c r="C2521" t="s">
        <v>2</v>
      </c>
      <c r="D2521" t="s">
        <v>4</v>
      </c>
      <c r="E2521">
        <v>1</v>
      </c>
      <c r="F2521" t="s">
        <v>600</v>
      </c>
      <c r="G2521">
        <v>22</v>
      </c>
    </row>
    <row r="2522" spans="1:7" x14ac:dyDescent="0.2">
      <c r="A2522" s="2">
        <v>45993</v>
      </c>
      <c r="B2522" t="s">
        <v>3647</v>
      </c>
      <c r="C2522" t="s">
        <v>2</v>
      </c>
      <c r="D2522" t="s">
        <v>4</v>
      </c>
      <c r="E2522">
        <v>1</v>
      </c>
      <c r="F2522" t="s">
        <v>600</v>
      </c>
      <c r="G2522">
        <v>22</v>
      </c>
    </row>
    <row r="2523" spans="1:7" x14ac:dyDescent="0.2">
      <c r="A2523" s="2">
        <v>45995</v>
      </c>
      <c r="B2523" t="s">
        <v>2965</v>
      </c>
      <c r="C2523" t="s">
        <v>1</v>
      </c>
      <c r="D2523" t="s">
        <v>3</v>
      </c>
      <c r="E2523">
        <v>1</v>
      </c>
      <c r="F2523" t="s">
        <v>4027</v>
      </c>
      <c r="G2523">
        <v>66</v>
      </c>
    </row>
    <row r="2524" spans="1:7" x14ac:dyDescent="0.2">
      <c r="A2524" s="2">
        <v>45995</v>
      </c>
      <c r="B2524" t="s">
        <v>2964</v>
      </c>
      <c r="C2524" t="s">
        <v>1</v>
      </c>
      <c r="D2524" t="s">
        <v>3</v>
      </c>
      <c r="E2524">
        <v>1</v>
      </c>
      <c r="F2524" t="s">
        <v>4027</v>
      </c>
      <c r="G2524">
        <v>88</v>
      </c>
    </row>
    <row r="2525" spans="1:7" x14ac:dyDescent="0.2">
      <c r="A2525" s="2">
        <v>45995</v>
      </c>
      <c r="B2525" t="s">
        <v>2963</v>
      </c>
      <c r="C2525" t="s">
        <v>1</v>
      </c>
      <c r="D2525" t="s">
        <v>3</v>
      </c>
      <c r="E2525">
        <v>1</v>
      </c>
      <c r="F2525" t="s">
        <v>4027</v>
      </c>
      <c r="G2525">
        <v>80</v>
      </c>
    </row>
    <row r="2526" spans="1:7" x14ac:dyDescent="0.2">
      <c r="A2526" s="2">
        <v>45995</v>
      </c>
      <c r="B2526" t="s">
        <v>2962</v>
      </c>
      <c r="C2526" t="s">
        <v>1</v>
      </c>
      <c r="D2526" t="s">
        <v>3</v>
      </c>
      <c r="E2526">
        <v>1</v>
      </c>
      <c r="F2526" t="s">
        <v>4027</v>
      </c>
      <c r="G2526">
        <v>87</v>
      </c>
    </row>
    <row r="2527" spans="1:7" x14ac:dyDescent="0.2">
      <c r="A2527" s="2">
        <v>45995</v>
      </c>
      <c r="B2527" t="s">
        <v>2961</v>
      </c>
      <c r="C2527" t="s">
        <v>1</v>
      </c>
      <c r="D2527" t="s">
        <v>3</v>
      </c>
      <c r="E2527">
        <v>1</v>
      </c>
      <c r="F2527" t="s">
        <v>4027</v>
      </c>
      <c r="G2527">
        <v>85</v>
      </c>
    </row>
    <row r="2528" spans="1:7" x14ac:dyDescent="0.2">
      <c r="A2528" s="2">
        <v>45995</v>
      </c>
      <c r="B2528" t="s">
        <v>2959</v>
      </c>
      <c r="C2528" t="s">
        <v>1</v>
      </c>
      <c r="D2528" t="s">
        <v>3</v>
      </c>
      <c r="E2528">
        <v>1</v>
      </c>
      <c r="F2528" t="s">
        <v>4027</v>
      </c>
      <c r="G2528">
        <v>61</v>
      </c>
    </row>
    <row r="2529" spans="1:7" x14ac:dyDescent="0.2">
      <c r="A2529" s="2">
        <v>45995</v>
      </c>
      <c r="B2529" t="s">
        <v>2958</v>
      </c>
      <c r="C2529" t="s">
        <v>1</v>
      </c>
      <c r="D2529" t="s">
        <v>3</v>
      </c>
      <c r="E2529">
        <v>1</v>
      </c>
      <c r="F2529" t="s">
        <v>4027</v>
      </c>
      <c r="G2529">
        <v>66</v>
      </c>
    </row>
    <row r="2530" spans="1:7" x14ac:dyDescent="0.2">
      <c r="A2530" s="2">
        <v>45995</v>
      </c>
      <c r="B2530" t="s">
        <v>2960</v>
      </c>
      <c r="C2530" t="s">
        <v>1</v>
      </c>
      <c r="D2530" t="s">
        <v>3</v>
      </c>
      <c r="E2530">
        <v>1</v>
      </c>
      <c r="F2530" t="s">
        <v>4027</v>
      </c>
      <c r="G2530">
        <v>62</v>
      </c>
    </row>
    <row r="2531" spans="1:7" x14ac:dyDescent="0.2">
      <c r="A2531" s="2">
        <v>45995</v>
      </c>
      <c r="B2531" t="s">
        <v>2966</v>
      </c>
      <c r="C2531" t="s">
        <v>1</v>
      </c>
      <c r="D2531" t="s">
        <v>3</v>
      </c>
      <c r="E2531">
        <v>1</v>
      </c>
      <c r="F2531" t="s">
        <v>4027</v>
      </c>
      <c r="G2531">
        <v>86</v>
      </c>
    </row>
    <row r="2532" spans="1:7" x14ac:dyDescent="0.2">
      <c r="A2532" s="2">
        <v>45995</v>
      </c>
      <c r="B2532" t="s">
        <v>2967</v>
      </c>
      <c r="C2532" t="s">
        <v>1</v>
      </c>
      <c r="D2532" t="s">
        <v>3</v>
      </c>
      <c r="E2532">
        <v>1</v>
      </c>
      <c r="F2532" t="s">
        <v>4027</v>
      </c>
      <c r="G2532">
        <v>75</v>
      </c>
    </row>
    <row r="2533" spans="1:7" x14ac:dyDescent="0.2">
      <c r="A2533" s="2">
        <v>45996</v>
      </c>
      <c r="B2533" t="s">
        <v>2969</v>
      </c>
      <c r="C2533" t="s">
        <v>1</v>
      </c>
      <c r="D2533" t="s">
        <v>3</v>
      </c>
      <c r="E2533">
        <v>1</v>
      </c>
      <c r="F2533" t="s">
        <v>4027</v>
      </c>
      <c r="G2533">
        <v>77</v>
      </c>
    </row>
    <row r="2534" spans="1:7" x14ac:dyDescent="0.2">
      <c r="A2534" s="2">
        <v>45996</v>
      </c>
      <c r="B2534" t="s">
        <v>2970</v>
      </c>
      <c r="C2534" t="s">
        <v>1</v>
      </c>
      <c r="D2534" t="s">
        <v>3</v>
      </c>
      <c r="E2534">
        <v>1</v>
      </c>
      <c r="F2534" t="s">
        <v>4027</v>
      </c>
      <c r="G2534">
        <v>85</v>
      </c>
    </row>
    <row r="2535" spans="1:7" x14ac:dyDescent="0.2">
      <c r="A2535" s="2">
        <v>45996</v>
      </c>
      <c r="B2535" t="s">
        <v>2971</v>
      </c>
      <c r="C2535" t="s">
        <v>1</v>
      </c>
      <c r="D2535" t="s">
        <v>3</v>
      </c>
      <c r="E2535">
        <v>1</v>
      </c>
      <c r="F2535" t="s">
        <v>4027</v>
      </c>
      <c r="G2535">
        <v>71</v>
      </c>
    </row>
    <row r="2536" spans="1:7" x14ac:dyDescent="0.2">
      <c r="A2536" s="2">
        <v>45996</v>
      </c>
      <c r="B2536" t="s">
        <v>2972</v>
      </c>
      <c r="C2536" t="s">
        <v>1</v>
      </c>
      <c r="D2536" t="s">
        <v>3</v>
      </c>
      <c r="E2536">
        <v>1</v>
      </c>
      <c r="F2536" t="s">
        <v>4027</v>
      </c>
      <c r="G2536">
        <v>74</v>
      </c>
    </row>
    <row r="2537" spans="1:7" x14ac:dyDescent="0.2">
      <c r="A2537" s="2">
        <v>45996</v>
      </c>
      <c r="B2537" t="s">
        <v>2968</v>
      </c>
      <c r="C2537" t="s">
        <v>1</v>
      </c>
      <c r="D2537" t="s">
        <v>3</v>
      </c>
      <c r="E2537">
        <v>1</v>
      </c>
      <c r="F2537" t="s">
        <v>4027</v>
      </c>
      <c r="G2537">
        <v>76</v>
      </c>
    </row>
    <row r="2538" spans="1:7" x14ac:dyDescent="0.2">
      <c r="A2538" s="2">
        <v>45996</v>
      </c>
      <c r="B2538" t="s">
        <v>2973</v>
      </c>
      <c r="C2538" t="s">
        <v>1</v>
      </c>
      <c r="D2538" t="s">
        <v>3</v>
      </c>
      <c r="E2538">
        <v>1</v>
      </c>
      <c r="F2538" t="s">
        <v>4027</v>
      </c>
      <c r="G2538">
        <v>79</v>
      </c>
    </row>
    <row r="2539" spans="1:7" x14ac:dyDescent="0.2">
      <c r="A2539" s="2">
        <v>45996</v>
      </c>
      <c r="B2539" t="s">
        <v>2974</v>
      </c>
      <c r="C2539" t="s">
        <v>1</v>
      </c>
      <c r="D2539" t="s">
        <v>3</v>
      </c>
      <c r="E2539">
        <v>1</v>
      </c>
      <c r="F2539" t="s">
        <v>4027</v>
      </c>
      <c r="G2539">
        <v>82</v>
      </c>
    </row>
    <row r="2540" spans="1:7" x14ac:dyDescent="0.2">
      <c r="A2540" s="2">
        <v>45997</v>
      </c>
      <c r="B2540" t="s">
        <v>2975</v>
      </c>
      <c r="C2540" t="s">
        <v>1</v>
      </c>
      <c r="D2540" t="s">
        <v>3</v>
      </c>
      <c r="E2540">
        <v>1</v>
      </c>
      <c r="F2540" t="s">
        <v>4027</v>
      </c>
      <c r="G2540">
        <v>77</v>
      </c>
    </row>
    <row r="2541" spans="1:7" x14ac:dyDescent="0.2">
      <c r="A2541" s="2">
        <v>45997</v>
      </c>
      <c r="B2541" t="s">
        <v>2976</v>
      </c>
      <c r="C2541" t="s">
        <v>1</v>
      </c>
      <c r="D2541" t="s">
        <v>3</v>
      </c>
      <c r="E2541">
        <v>1</v>
      </c>
      <c r="F2541" t="s">
        <v>4027</v>
      </c>
      <c r="G2541">
        <v>67</v>
      </c>
    </row>
    <row r="2542" spans="1:7" x14ac:dyDescent="0.2">
      <c r="A2542" s="2">
        <v>45997</v>
      </c>
      <c r="B2542" t="s">
        <v>2977</v>
      </c>
      <c r="C2542" t="s">
        <v>1</v>
      </c>
      <c r="D2542" t="s">
        <v>3</v>
      </c>
      <c r="E2542">
        <v>1</v>
      </c>
      <c r="F2542" t="s">
        <v>4027</v>
      </c>
      <c r="G2542">
        <v>62</v>
      </c>
    </row>
    <row r="2543" spans="1:7" x14ac:dyDescent="0.2">
      <c r="A2543" s="2">
        <v>45997</v>
      </c>
      <c r="B2543" t="s">
        <v>2981</v>
      </c>
      <c r="C2543" t="s">
        <v>1</v>
      </c>
      <c r="D2543" t="s">
        <v>3</v>
      </c>
      <c r="E2543">
        <v>1</v>
      </c>
      <c r="F2543" t="s">
        <v>4027</v>
      </c>
      <c r="G2543">
        <v>81</v>
      </c>
    </row>
    <row r="2544" spans="1:7" x14ac:dyDescent="0.2">
      <c r="A2544" s="2">
        <v>45997</v>
      </c>
      <c r="B2544" t="s">
        <v>2978</v>
      </c>
      <c r="C2544" t="s">
        <v>1</v>
      </c>
      <c r="D2544" t="s">
        <v>3</v>
      </c>
      <c r="E2544">
        <v>1</v>
      </c>
      <c r="F2544" t="s">
        <v>4027</v>
      </c>
      <c r="G2544">
        <v>81</v>
      </c>
    </row>
    <row r="2545" spans="1:7" x14ac:dyDescent="0.2">
      <c r="A2545" s="2">
        <v>45997</v>
      </c>
      <c r="B2545" t="s">
        <v>2980</v>
      </c>
      <c r="C2545" t="s">
        <v>1</v>
      </c>
      <c r="D2545" t="s">
        <v>3</v>
      </c>
      <c r="E2545">
        <v>1</v>
      </c>
      <c r="F2545" t="s">
        <v>4027</v>
      </c>
      <c r="G2545">
        <v>69</v>
      </c>
    </row>
    <row r="2546" spans="1:7" x14ac:dyDescent="0.2">
      <c r="A2546" s="2">
        <v>45997</v>
      </c>
      <c r="B2546" t="s">
        <v>2979</v>
      </c>
      <c r="C2546" t="s">
        <v>1</v>
      </c>
      <c r="D2546" t="s">
        <v>3</v>
      </c>
      <c r="E2546">
        <v>1</v>
      </c>
      <c r="F2546" t="s">
        <v>4027</v>
      </c>
      <c r="G2546">
        <v>64</v>
      </c>
    </row>
    <row r="2547" spans="1:7" x14ac:dyDescent="0.2">
      <c r="A2547" s="2">
        <v>45999</v>
      </c>
      <c r="B2547" t="s">
        <v>2990</v>
      </c>
      <c r="C2547" t="s">
        <v>1</v>
      </c>
      <c r="D2547" t="s">
        <v>3</v>
      </c>
      <c r="E2547">
        <v>1</v>
      </c>
      <c r="F2547" t="s">
        <v>4027</v>
      </c>
      <c r="G2547">
        <v>70</v>
      </c>
    </row>
    <row r="2548" spans="1:7" x14ac:dyDescent="0.2">
      <c r="A2548" s="2">
        <v>45999</v>
      </c>
      <c r="B2548" t="s">
        <v>2989</v>
      </c>
      <c r="C2548" t="s">
        <v>1</v>
      </c>
      <c r="D2548" t="s">
        <v>3</v>
      </c>
      <c r="E2548">
        <v>1</v>
      </c>
      <c r="F2548" t="s">
        <v>4027</v>
      </c>
      <c r="G2548">
        <v>69</v>
      </c>
    </row>
    <row r="2549" spans="1:7" x14ac:dyDescent="0.2">
      <c r="A2549" s="2">
        <v>45999</v>
      </c>
      <c r="B2549" t="s">
        <v>2987</v>
      </c>
      <c r="C2549" t="s">
        <v>1</v>
      </c>
      <c r="D2549" t="s">
        <v>3</v>
      </c>
      <c r="E2549">
        <v>1</v>
      </c>
      <c r="F2549" t="s">
        <v>4027</v>
      </c>
      <c r="G2549">
        <v>60</v>
      </c>
    </row>
    <row r="2550" spans="1:7" x14ac:dyDescent="0.2">
      <c r="A2550" s="2">
        <v>45999</v>
      </c>
      <c r="B2550" t="s">
        <v>2986</v>
      </c>
      <c r="C2550" t="s">
        <v>1</v>
      </c>
      <c r="D2550" t="s">
        <v>3</v>
      </c>
      <c r="E2550">
        <v>1</v>
      </c>
      <c r="F2550" t="s">
        <v>4027</v>
      </c>
      <c r="G2550">
        <v>88</v>
      </c>
    </row>
    <row r="2551" spans="1:7" x14ac:dyDescent="0.2">
      <c r="A2551" s="2">
        <v>45999</v>
      </c>
      <c r="B2551" t="s">
        <v>2985</v>
      </c>
      <c r="C2551" t="s">
        <v>1</v>
      </c>
      <c r="D2551" t="s">
        <v>3</v>
      </c>
      <c r="E2551">
        <v>1</v>
      </c>
      <c r="F2551" t="s">
        <v>4027</v>
      </c>
      <c r="G2551">
        <v>89</v>
      </c>
    </row>
    <row r="2552" spans="1:7" x14ac:dyDescent="0.2">
      <c r="A2552" s="2">
        <v>45999</v>
      </c>
      <c r="B2552" t="s">
        <v>2984</v>
      </c>
      <c r="C2552" t="s">
        <v>1</v>
      </c>
      <c r="D2552" t="s">
        <v>3</v>
      </c>
      <c r="E2552">
        <v>1</v>
      </c>
      <c r="F2552" t="s">
        <v>4027</v>
      </c>
      <c r="G2552">
        <v>83</v>
      </c>
    </row>
    <row r="2553" spans="1:7" x14ac:dyDescent="0.2">
      <c r="A2553" s="2">
        <v>45999</v>
      </c>
      <c r="B2553" t="s">
        <v>2983</v>
      </c>
      <c r="C2553" t="s">
        <v>1</v>
      </c>
      <c r="D2553" t="s">
        <v>3</v>
      </c>
      <c r="E2553">
        <v>1</v>
      </c>
      <c r="F2553" t="s">
        <v>4027</v>
      </c>
      <c r="G2553">
        <v>74</v>
      </c>
    </row>
    <row r="2554" spans="1:7" x14ac:dyDescent="0.2">
      <c r="A2554" s="2">
        <v>45999</v>
      </c>
      <c r="B2554" t="s">
        <v>2982</v>
      </c>
      <c r="C2554" t="s">
        <v>1</v>
      </c>
      <c r="D2554" t="s">
        <v>3</v>
      </c>
      <c r="E2554">
        <v>1</v>
      </c>
      <c r="F2554" t="s">
        <v>4027</v>
      </c>
      <c r="G2554">
        <v>86</v>
      </c>
    </row>
    <row r="2555" spans="1:7" x14ac:dyDescent="0.2">
      <c r="A2555" s="2">
        <v>45999</v>
      </c>
      <c r="B2555" t="s">
        <v>2988</v>
      </c>
      <c r="C2555" t="s">
        <v>1</v>
      </c>
      <c r="D2555" t="s">
        <v>3</v>
      </c>
      <c r="E2555">
        <v>1</v>
      </c>
      <c r="F2555" t="s">
        <v>4027</v>
      </c>
      <c r="G2555">
        <v>89</v>
      </c>
    </row>
    <row r="2556" spans="1:7" x14ac:dyDescent="0.2">
      <c r="A2556" s="2">
        <v>46000</v>
      </c>
      <c r="B2556" t="s">
        <v>2991</v>
      </c>
      <c r="C2556" t="s">
        <v>1</v>
      </c>
      <c r="D2556" t="s">
        <v>3</v>
      </c>
      <c r="E2556">
        <v>1</v>
      </c>
      <c r="F2556" t="s">
        <v>4027</v>
      </c>
      <c r="G2556">
        <v>75</v>
      </c>
    </row>
    <row r="2557" spans="1:7" x14ac:dyDescent="0.2">
      <c r="A2557" s="2">
        <v>46000</v>
      </c>
      <c r="B2557" t="s">
        <v>3000</v>
      </c>
      <c r="C2557" t="s">
        <v>1</v>
      </c>
      <c r="D2557" t="s">
        <v>3</v>
      </c>
      <c r="E2557">
        <v>1</v>
      </c>
      <c r="F2557" t="s">
        <v>4027</v>
      </c>
      <c r="G2557">
        <v>64</v>
      </c>
    </row>
    <row r="2558" spans="1:7" x14ac:dyDescent="0.2">
      <c r="A2558" s="2">
        <v>46000</v>
      </c>
      <c r="B2558" t="s">
        <v>2999</v>
      </c>
      <c r="C2558" t="s">
        <v>1</v>
      </c>
      <c r="D2558" t="s">
        <v>3</v>
      </c>
      <c r="E2558">
        <v>1</v>
      </c>
      <c r="F2558" t="s">
        <v>4027</v>
      </c>
      <c r="G2558">
        <v>60</v>
      </c>
    </row>
    <row r="2559" spans="1:7" x14ac:dyDescent="0.2">
      <c r="A2559" s="2">
        <v>46000</v>
      </c>
      <c r="B2559" t="s">
        <v>2998</v>
      </c>
      <c r="C2559" t="s">
        <v>1</v>
      </c>
      <c r="D2559" t="s">
        <v>3</v>
      </c>
      <c r="E2559">
        <v>1</v>
      </c>
      <c r="F2559" t="s">
        <v>4027</v>
      </c>
      <c r="G2559">
        <v>67</v>
      </c>
    </row>
    <row r="2560" spans="1:7" x14ac:dyDescent="0.2">
      <c r="A2560" s="2">
        <v>46000</v>
      </c>
      <c r="B2560" t="s">
        <v>2997</v>
      </c>
      <c r="C2560" t="s">
        <v>1</v>
      </c>
      <c r="D2560" t="s">
        <v>3</v>
      </c>
      <c r="E2560">
        <v>1</v>
      </c>
      <c r="F2560" t="s">
        <v>4027</v>
      </c>
      <c r="G2560">
        <v>89</v>
      </c>
    </row>
    <row r="2561" spans="1:7" x14ac:dyDescent="0.2">
      <c r="A2561" s="2">
        <v>46000</v>
      </c>
      <c r="B2561" t="s">
        <v>2996</v>
      </c>
      <c r="C2561" t="s">
        <v>1</v>
      </c>
      <c r="D2561" t="s">
        <v>3</v>
      </c>
      <c r="E2561">
        <v>1</v>
      </c>
      <c r="F2561" t="s">
        <v>4027</v>
      </c>
      <c r="G2561">
        <v>84</v>
      </c>
    </row>
    <row r="2562" spans="1:7" x14ac:dyDescent="0.2">
      <c r="A2562" s="2">
        <v>46000</v>
      </c>
      <c r="B2562" t="s">
        <v>2995</v>
      </c>
      <c r="C2562" t="s">
        <v>1</v>
      </c>
      <c r="D2562" t="s">
        <v>3</v>
      </c>
      <c r="E2562">
        <v>1</v>
      </c>
      <c r="F2562" t="s">
        <v>4027</v>
      </c>
      <c r="G2562">
        <v>70</v>
      </c>
    </row>
    <row r="2563" spans="1:7" x14ac:dyDescent="0.2">
      <c r="A2563" s="2">
        <v>46000</v>
      </c>
      <c r="B2563" t="s">
        <v>2994</v>
      </c>
      <c r="C2563" t="s">
        <v>1</v>
      </c>
      <c r="D2563" t="s">
        <v>3</v>
      </c>
      <c r="E2563">
        <v>1</v>
      </c>
      <c r="F2563" t="s">
        <v>4027</v>
      </c>
      <c r="G2563">
        <v>85</v>
      </c>
    </row>
    <row r="2564" spans="1:7" x14ac:dyDescent="0.2">
      <c r="A2564" s="2">
        <v>46000</v>
      </c>
      <c r="B2564" t="s">
        <v>3652</v>
      </c>
      <c r="C2564" t="s">
        <v>2</v>
      </c>
      <c r="D2564" t="s">
        <v>4</v>
      </c>
      <c r="E2564">
        <v>1</v>
      </c>
      <c r="F2564" t="s">
        <v>600</v>
      </c>
      <c r="G2564">
        <v>22</v>
      </c>
    </row>
    <row r="2565" spans="1:7" x14ac:dyDescent="0.2">
      <c r="A2565" s="2">
        <v>46000</v>
      </c>
      <c r="B2565" t="s">
        <v>3651</v>
      </c>
      <c r="C2565" t="s">
        <v>2</v>
      </c>
      <c r="D2565" t="s">
        <v>4</v>
      </c>
      <c r="E2565">
        <v>1</v>
      </c>
      <c r="F2565" t="s">
        <v>600</v>
      </c>
      <c r="G2565">
        <v>22</v>
      </c>
    </row>
    <row r="2566" spans="1:7" x14ac:dyDescent="0.2">
      <c r="A2566" s="2">
        <v>46000</v>
      </c>
      <c r="B2566" t="s">
        <v>3001</v>
      </c>
      <c r="C2566" t="s">
        <v>1</v>
      </c>
      <c r="D2566" t="s">
        <v>3</v>
      </c>
      <c r="E2566">
        <v>1</v>
      </c>
      <c r="F2566" t="s">
        <v>4027</v>
      </c>
      <c r="G2566">
        <v>66</v>
      </c>
    </row>
    <row r="2567" spans="1:7" x14ac:dyDescent="0.2">
      <c r="A2567" s="2">
        <v>46000</v>
      </c>
      <c r="B2567" t="s">
        <v>2992</v>
      </c>
      <c r="C2567" t="s">
        <v>1</v>
      </c>
      <c r="D2567" t="s">
        <v>3</v>
      </c>
      <c r="E2567">
        <v>1</v>
      </c>
      <c r="F2567" t="s">
        <v>4027</v>
      </c>
      <c r="G2567">
        <v>86</v>
      </c>
    </row>
    <row r="2568" spans="1:7" x14ac:dyDescent="0.2">
      <c r="A2568" s="2">
        <v>46000</v>
      </c>
      <c r="B2568" t="s">
        <v>2993</v>
      </c>
      <c r="C2568" t="s">
        <v>1</v>
      </c>
      <c r="D2568" t="s">
        <v>3</v>
      </c>
      <c r="E2568">
        <v>1</v>
      </c>
      <c r="F2568" t="s">
        <v>4027</v>
      </c>
      <c r="G2568">
        <v>84</v>
      </c>
    </row>
    <row r="2569" spans="1:7" x14ac:dyDescent="0.2">
      <c r="A2569" s="2">
        <v>46001</v>
      </c>
      <c r="B2569" t="s">
        <v>3007</v>
      </c>
      <c r="C2569" t="s">
        <v>1</v>
      </c>
      <c r="D2569" t="s">
        <v>3</v>
      </c>
      <c r="E2569">
        <v>1</v>
      </c>
      <c r="F2569" t="s">
        <v>4027</v>
      </c>
      <c r="G2569">
        <v>62</v>
      </c>
    </row>
    <row r="2570" spans="1:7" x14ac:dyDescent="0.2">
      <c r="A2570" s="2">
        <v>46001</v>
      </c>
      <c r="B2570" t="s">
        <v>3008</v>
      </c>
      <c r="C2570" t="s">
        <v>1</v>
      </c>
      <c r="D2570" t="s">
        <v>3</v>
      </c>
      <c r="E2570">
        <v>1</v>
      </c>
      <c r="F2570" t="s">
        <v>4027</v>
      </c>
      <c r="G2570">
        <v>65</v>
      </c>
    </row>
    <row r="2571" spans="1:7" x14ac:dyDescent="0.2">
      <c r="A2571" s="2">
        <v>46001</v>
      </c>
      <c r="B2571" t="s">
        <v>3009</v>
      </c>
      <c r="C2571" t="s">
        <v>1</v>
      </c>
      <c r="D2571" t="s">
        <v>3</v>
      </c>
      <c r="E2571">
        <v>1</v>
      </c>
      <c r="F2571" t="s">
        <v>4027</v>
      </c>
      <c r="G2571">
        <v>61</v>
      </c>
    </row>
    <row r="2572" spans="1:7" x14ac:dyDescent="0.2">
      <c r="A2572" s="2">
        <v>46001</v>
      </c>
      <c r="B2572" t="s">
        <v>3011</v>
      </c>
      <c r="C2572" t="s">
        <v>1</v>
      </c>
      <c r="D2572" t="s">
        <v>3</v>
      </c>
      <c r="E2572">
        <v>1</v>
      </c>
      <c r="F2572" t="s">
        <v>4027</v>
      </c>
      <c r="G2572">
        <v>64</v>
      </c>
    </row>
    <row r="2573" spans="1:7" x14ac:dyDescent="0.2">
      <c r="A2573" s="2">
        <v>46001</v>
      </c>
      <c r="B2573" t="s">
        <v>3012</v>
      </c>
      <c r="C2573" t="s">
        <v>1</v>
      </c>
      <c r="D2573" t="s">
        <v>3</v>
      </c>
      <c r="E2573">
        <v>1</v>
      </c>
      <c r="F2573" t="s">
        <v>4027</v>
      </c>
      <c r="G2573">
        <v>81</v>
      </c>
    </row>
    <row r="2574" spans="1:7" x14ac:dyDescent="0.2">
      <c r="A2574" s="2">
        <v>46001</v>
      </c>
      <c r="B2574" t="s">
        <v>3013</v>
      </c>
      <c r="C2574" t="s">
        <v>1</v>
      </c>
      <c r="D2574" t="s">
        <v>3</v>
      </c>
      <c r="E2574">
        <v>1</v>
      </c>
      <c r="F2574" t="s">
        <v>4027</v>
      </c>
      <c r="G2574">
        <v>78</v>
      </c>
    </row>
    <row r="2575" spans="1:7" x14ac:dyDescent="0.2">
      <c r="A2575" s="2">
        <v>46001</v>
      </c>
      <c r="B2575" t="s">
        <v>3006</v>
      </c>
      <c r="C2575" t="s">
        <v>1</v>
      </c>
      <c r="D2575" t="s">
        <v>3</v>
      </c>
      <c r="E2575">
        <v>1</v>
      </c>
      <c r="F2575" t="s">
        <v>4027</v>
      </c>
      <c r="G2575">
        <v>86</v>
      </c>
    </row>
    <row r="2576" spans="1:7" x14ac:dyDescent="0.2">
      <c r="A2576" s="2">
        <v>46001</v>
      </c>
      <c r="B2576" t="s">
        <v>3005</v>
      </c>
      <c r="C2576" t="s">
        <v>1</v>
      </c>
      <c r="D2576" t="s">
        <v>3</v>
      </c>
      <c r="E2576">
        <v>1</v>
      </c>
      <c r="F2576" t="s">
        <v>4027</v>
      </c>
      <c r="G2576">
        <v>63</v>
      </c>
    </row>
    <row r="2577" spans="1:7" x14ac:dyDescent="0.2">
      <c r="A2577" s="2">
        <v>46001</v>
      </c>
      <c r="B2577" t="s">
        <v>3004</v>
      </c>
      <c r="C2577" t="s">
        <v>1</v>
      </c>
      <c r="D2577" t="s">
        <v>3</v>
      </c>
      <c r="E2577">
        <v>1</v>
      </c>
      <c r="F2577" t="s">
        <v>4027</v>
      </c>
      <c r="G2577">
        <v>87</v>
      </c>
    </row>
    <row r="2578" spans="1:7" x14ac:dyDescent="0.2">
      <c r="A2578" s="2">
        <v>46001</v>
      </c>
      <c r="B2578" t="s">
        <v>3010</v>
      </c>
      <c r="C2578" t="s">
        <v>1</v>
      </c>
      <c r="D2578" t="s">
        <v>3</v>
      </c>
      <c r="E2578">
        <v>1</v>
      </c>
      <c r="F2578" t="s">
        <v>4027</v>
      </c>
      <c r="G2578">
        <v>72</v>
      </c>
    </row>
    <row r="2579" spans="1:7" x14ac:dyDescent="0.2">
      <c r="A2579" s="2">
        <v>46001</v>
      </c>
      <c r="B2579" t="s">
        <v>3002</v>
      </c>
      <c r="C2579" t="s">
        <v>1</v>
      </c>
      <c r="D2579" t="s">
        <v>3</v>
      </c>
      <c r="E2579">
        <v>1</v>
      </c>
      <c r="F2579" t="s">
        <v>4027</v>
      </c>
      <c r="G2579">
        <v>66</v>
      </c>
    </row>
    <row r="2580" spans="1:7" x14ac:dyDescent="0.2">
      <c r="A2580" s="2">
        <v>46001</v>
      </c>
      <c r="B2580" t="s">
        <v>3653</v>
      </c>
      <c r="C2580" t="s">
        <v>2</v>
      </c>
      <c r="D2580" t="s">
        <v>4</v>
      </c>
      <c r="E2580">
        <v>1</v>
      </c>
      <c r="F2580" t="s">
        <v>600</v>
      </c>
      <c r="G2580">
        <v>22</v>
      </c>
    </row>
    <row r="2581" spans="1:7" x14ac:dyDescent="0.2">
      <c r="A2581" s="2">
        <v>46001</v>
      </c>
      <c r="B2581" t="s">
        <v>3654</v>
      </c>
      <c r="C2581" t="s">
        <v>2</v>
      </c>
      <c r="D2581" t="s">
        <v>4</v>
      </c>
      <c r="E2581">
        <v>1</v>
      </c>
      <c r="F2581" t="s">
        <v>600</v>
      </c>
      <c r="G2581">
        <v>22</v>
      </c>
    </row>
    <row r="2582" spans="1:7" x14ac:dyDescent="0.2">
      <c r="A2582" s="2">
        <v>46001</v>
      </c>
      <c r="B2582" t="s">
        <v>3655</v>
      </c>
      <c r="C2582" t="s">
        <v>2</v>
      </c>
      <c r="D2582" t="s">
        <v>4</v>
      </c>
      <c r="E2582">
        <v>1</v>
      </c>
      <c r="F2582" t="s">
        <v>600</v>
      </c>
      <c r="G2582">
        <v>22</v>
      </c>
    </row>
    <row r="2583" spans="1:7" x14ac:dyDescent="0.2">
      <c r="A2583" s="2">
        <v>46001</v>
      </c>
      <c r="B2583" t="s">
        <v>3656</v>
      </c>
      <c r="C2583" t="s">
        <v>2</v>
      </c>
      <c r="D2583" t="s">
        <v>4</v>
      </c>
      <c r="E2583">
        <v>1</v>
      </c>
      <c r="F2583" t="s">
        <v>600</v>
      </c>
      <c r="G2583">
        <v>22</v>
      </c>
    </row>
    <row r="2584" spans="1:7" x14ac:dyDescent="0.2">
      <c r="A2584" s="2">
        <v>46001</v>
      </c>
      <c r="B2584" t="s">
        <v>3003</v>
      </c>
      <c r="C2584" t="s">
        <v>1</v>
      </c>
      <c r="D2584" t="s">
        <v>3</v>
      </c>
      <c r="E2584">
        <v>1</v>
      </c>
      <c r="F2584" t="s">
        <v>4027</v>
      </c>
      <c r="G2584">
        <v>64</v>
      </c>
    </row>
    <row r="2585" spans="1:7" x14ac:dyDescent="0.2">
      <c r="A2585" s="2">
        <v>46002</v>
      </c>
      <c r="B2585" t="s">
        <v>3022</v>
      </c>
      <c r="C2585" t="s">
        <v>1</v>
      </c>
      <c r="D2585" t="s">
        <v>3</v>
      </c>
      <c r="E2585">
        <v>1</v>
      </c>
      <c r="F2585" t="s">
        <v>4027</v>
      </c>
      <c r="G2585">
        <v>84</v>
      </c>
    </row>
    <row r="2586" spans="1:7" x14ac:dyDescent="0.2">
      <c r="A2586" s="2">
        <v>46002</v>
      </c>
      <c r="B2586" t="s">
        <v>3020</v>
      </c>
      <c r="C2586" t="s">
        <v>1</v>
      </c>
      <c r="D2586" t="s">
        <v>3</v>
      </c>
      <c r="E2586">
        <v>1</v>
      </c>
      <c r="F2586" t="s">
        <v>4027</v>
      </c>
      <c r="G2586">
        <v>69</v>
      </c>
    </row>
    <row r="2587" spans="1:7" x14ac:dyDescent="0.2">
      <c r="A2587" s="2">
        <v>46002</v>
      </c>
      <c r="B2587" t="s">
        <v>3019</v>
      </c>
      <c r="C2587" t="s">
        <v>1</v>
      </c>
      <c r="D2587" t="s">
        <v>3</v>
      </c>
      <c r="E2587">
        <v>1</v>
      </c>
      <c r="F2587" t="s">
        <v>4027</v>
      </c>
      <c r="G2587">
        <v>89</v>
      </c>
    </row>
    <row r="2588" spans="1:7" x14ac:dyDescent="0.2">
      <c r="A2588" s="2">
        <v>46002</v>
      </c>
      <c r="B2588" t="s">
        <v>3659</v>
      </c>
      <c r="C2588" t="s">
        <v>2</v>
      </c>
      <c r="D2588" t="s">
        <v>4</v>
      </c>
      <c r="E2588">
        <v>1</v>
      </c>
      <c r="F2588" t="s">
        <v>600</v>
      </c>
      <c r="G2588">
        <v>22</v>
      </c>
    </row>
    <row r="2589" spans="1:7" x14ac:dyDescent="0.2">
      <c r="A2589" s="2">
        <v>46002</v>
      </c>
      <c r="B2589" t="s">
        <v>3018</v>
      </c>
      <c r="C2589" t="s">
        <v>1</v>
      </c>
      <c r="D2589" t="s">
        <v>3</v>
      </c>
      <c r="E2589">
        <v>1</v>
      </c>
      <c r="F2589" t="s">
        <v>4027</v>
      </c>
      <c r="G2589">
        <v>70</v>
      </c>
    </row>
    <row r="2590" spans="1:7" x14ac:dyDescent="0.2">
      <c r="A2590" s="2">
        <v>46002</v>
      </c>
      <c r="B2590" t="s">
        <v>3021</v>
      </c>
      <c r="C2590" t="s">
        <v>1</v>
      </c>
      <c r="D2590" t="s">
        <v>3</v>
      </c>
      <c r="E2590">
        <v>1</v>
      </c>
      <c r="F2590" t="s">
        <v>4027</v>
      </c>
      <c r="G2590">
        <v>83</v>
      </c>
    </row>
    <row r="2591" spans="1:7" x14ac:dyDescent="0.2">
      <c r="A2591" s="2">
        <v>46002</v>
      </c>
      <c r="B2591" t="s">
        <v>3016</v>
      </c>
      <c r="C2591" t="s">
        <v>1</v>
      </c>
      <c r="D2591" t="s">
        <v>3</v>
      </c>
      <c r="E2591">
        <v>1</v>
      </c>
      <c r="F2591" t="s">
        <v>4027</v>
      </c>
      <c r="G2591">
        <v>64</v>
      </c>
    </row>
    <row r="2592" spans="1:7" x14ac:dyDescent="0.2">
      <c r="A2592" s="2">
        <v>46002</v>
      </c>
      <c r="B2592" t="s">
        <v>3015</v>
      </c>
      <c r="C2592" t="s">
        <v>1</v>
      </c>
      <c r="D2592" t="s">
        <v>3</v>
      </c>
      <c r="E2592">
        <v>1</v>
      </c>
      <c r="F2592" t="s">
        <v>4027</v>
      </c>
      <c r="G2592">
        <v>73</v>
      </c>
    </row>
    <row r="2593" spans="1:7" x14ac:dyDescent="0.2">
      <c r="A2593" s="2">
        <v>46002</v>
      </c>
      <c r="B2593" t="s">
        <v>3014</v>
      </c>
      <c r="C2593" t="s">
        <v>1</v>
      </c>
      <c r="D2593" t="s">
        <v>3</v>
      </c>
      <c r="E2593">
        <v>1</v>
      </c>
      <c r="F2593" t="s">
        <v>4027</v>
      </c>
      <c r="G2593">
        <v>88</v>
      </c>
    </row>
    <row r="2594" spans="1:7" x14ac:dyDescent="0.2">
      <c r="A2594" s="2">
        <v>46002</v>
      </c>
      <c r="B2594" t="s">
        <v>3658</v>
      </c>
      <c r="C2594" t="s">
        <v>2</v>
      </c>
      <c r="D2594" t="s">
        <v>4</v>
      </c>
      <c r="E2594">
        <v>1</v>
      </c>
      <c r="F2594" t="s">
        <v>600</v>
      </c>
      <c r="G2594">
        <v>22</v>
      </c>
    </row>
    <row r="2595" spans="1:7" x14ac:dyDescent="0.2">
      <c r="A2595" s="2">
        <v>46002</v>
      </c>
      <c r="B2595" t="s">
        <v>3657</v>
      </c>
      <c r="C2595" t="s">
        <v>2</v>
      </c>
      <c r="D2595" t="s">
        <v>4</v>
      </c>
      <c r="E2595">
        <v>1</v>
      </c>
      <c r="F2595" t="s">
        <v>600</v>
      </c>
      <c r="G2595">
        <v>22</v>
      </c>
    </row>
    <row r="2596" spans="1:7" x14ac:dyDescent="0.2">
      <c r="A2596" s="2">
        <v>46002</v>
      </c>
      <c r="B2596" t="s">
        <v>3017</v>
      </c>
      <c r="C2596" t="s">
        <v>1</v>
      </c>
      <c r="D2596" t="s">
        <v>3</v>
      </c>
      <c r="E2596">
        <v>1</v>
      </c>
      <c r="F2596" t="s">
        <v>4027</v>
      </c>
      <c r="G2596">
        <v>73</v>
      </c>
    </row>
    <row r="2597" spans="1:7" x14ac:dyDescent="0.2">
      <c r="A2597" s="2">
        <v>46003</v>
      </c>
      <c r="B2597" t="s">
        <v>3026</v>
      </c>
      <c r="C2597" t="s">
        <v>1</v>
      </c>
      <c r="D2597" t="s">
        <v>3</v>
      </c>
      <c r="E2597">
        <v>1</v>
      </c>
      <c r="F2597" t="s">
        <v>4027</v>
      </c>
      <c r="G2597">
        <v>87</v>
      </c>
    </row>
    <row r="2598" spans="1:7" x14ac:dyDescent="0.2">
      <c r="A2598" s="2">
        <v>46003</v>
      </c>
      <c r="B2598" t="s">
        <v>3027</v>
      </c>
      <c r="C2598" t="s">
        <v>1</v>
      </c>
      <c r="D2598" t="s">
        <v>3</v>
      </c>
      <c r="E2598">
        <v>1</v>
      </c>
      <c r="F2598" t="s">
        <v>4027</v>
      </c>
      <c r="G2598">
        <v>74</v>
      </c>
    </row>
    <row r="2599" spans="1:7" x14ac:dyDescent="0.2">
      <c r="A2599" s="2">
        <v>46003</v>
      </c>
      <c r="B2599" t="s">
        <v>3028</v>
      </c>
      <c r="C2599" t="s">
        <v>1</v>
      </c>
      <c r="D2599" t="s">
        <v>3</v>
      </c>
      <c r="E2599">
        <v>1</v>
      </c>
      <c r="F2599" t="s">
        <v>4027</v>
      </c>
      <c r="G2599">
        <v>66</v>
      </c>
    </row>
    <row r="2600" spans="1:7" x14ac:dyDescent="0.2">
      <c r="A2600" s="2">
        <v>46003</v>
      </c>
      <c r="B2600" t="s">
        <v>3029</v>
      </c>
      <c r="C2600" t="s">
        <v>1</v>
      </c>
      <c r="D2600" t="s">
        <v>3</v>
      </c>
      <c r="E2600">
        <v>1</v>
      </c>
      <c r="F2600" t="s">
        <v>4027</v>
      </c>
      <c r="G2600">
        <v>80</v>
      </c>
    </row>
    <row r="2601" spans="1:7" x14ac:dyDescent="0.2">
      <c r="A2601" s="2">
        <v>46003</v>
      </c>
      <c r="B2601" t="s">
        <v>3030</v>
      </c>
      <c r="C2601" t="s">
        <v>1</v>
      </c>
      <c r="D2601" t="s">
        <v>3</v>
      </c>
      <c r="E2601">
        <v>1</v>
      </c>
      <c r="F2601" t="s">
        <v>4027</v>
      </c>
      <c r="G2601">
        <v>83</v>
      </c>
    </row>
    <row r="2602" spans="1:7" x14ac:dyDescent="0.2">
      <c r="A2602" s="2">
        <v>46003</v>
      </c>
      <c r="B2602" t="s">
        <v>3031</v>
      </c>
      <c r="C2602" t="s">
        <v>1</v>
      </c>
      <c r="D2602" t="s">
        <v>3</v>
      </c>
      <c r="E2602">
        <v>1</v>
      </c>
      <c r="F2602" t="s">
        <v>4027</v>
      </c>
      <c r="G2602">
        <v>79</v>
      </c>
    </row>
    <row r="2603" spans="1:7" x14ac:dyDescent="0.2">
      <c r="A2603" s="2">
        <v>46003</v>
      </c>
      <c r="B2603" t="s">
        <v>3024</v>
      </c>
      <c r="C2603" t="s">
        <v>1</v>
      </c>
      <c r="D2603" t="s">
        <v>3</v>
      </c>
      <c r="E2603">
        <v>1</v>
      </c>
      <c r="F2603" t="s">
        <v>4027</v>
      </c>
      <c r="G2603">
        <v>81</v>
      </c>
    </row>
    <row r="2604" spans="1:7" x14ac:dyDescent="0.2">
      <c r="A2604" s="2">
        <v>46003</v>
      </c>
      <c r="B2604" t="s">
        <v>3023</v>
      </c>
      <c r="C2604" t="s">
        <v>1</v>
      </c>
      <c r="D2604" t="s">
        <v>3</v>
      </c>
      <c r="E2604">
        <v>1</v>
      </c>
      <c r="F2604" t="s">
        <v>4027</v>
      </c>
      <c r="G2604">
        <v>62</v>
      </c>
    </row>
    <row r="2605" spans="1:7" x14ac:dyDescent="0.2">
      <c r="A2605" s="2">
        <v>46003</v>
      </c>
      <c r="B2605" t="s">
        <v>3025</v>
      </c>
      <c r="C2605" t="s">
        <v>1</v>
      </c>
      <c r="D2605" t="s">
        <v>3</v>
      </c>
      <c r="E2605">
        <v>1</v>
      </c>
      <c r="F2605" t="s">
        <v>4027</v>
      </c>
      <c r="G2605">
        <v>70</v>
      </c>
    </row>
    <row r="2606" spans="1:7" x14ac:dyDescent="0.2">
      <c r="A2606" s="2">
        <v>46004</v>
      </c>
      <c r="B2606" t="s">
        <v>3033</v>
      </c>
      <c r="C2606" t="s">
        <v>1</v>
      </c>
      <c r="D2606" t="s">
        <v>3</v>
      </c>
      <c r="E2606">
        <v>1</v>
      </c>
      <c r="F2606" t="s">
        <v>4027</v>
      </c>
      <c r="G2606">
        <v>73</v>
      </c>
    </row>
    <row r="2607" spans="1:7" x14ac:dyDescent="0.2">
      <c r="A2607" s="2">
        <v>46004</v>
      </c>
      <c r="B2607" t="s">
        <v>3035</v>
      </c>
      <c r="C2607" t="s">
        <v>1</v>
      </c>
      <c r="D2607" t="s">
        <v>3</v>
      </c>
      <c r="E2607">
        <v>1</v>
      </c>
      <c r="F2607" t="s">
        <v>4027</v>
      </c>
      <c r="G2607">
        <v>84</v>
      </c>
    </row>
    <row r="2608" spans="1:7" x14ac:dyDescent="0.2">
      <c r="A2608" s="2">
        <v>46004</v>
      </c>
      <c r="B2608" t="s">
        <v>3036</v>
      </c>
      <c r="C2608" t="s">
        <v>1</v>
      </c>
      <c r="D2608" t="s">
        <v>3</v>
      </c>
      <c r="E2608">
        <v>1</v>
      </c>
      <c r="F2608" t="s">
        <v>4027</v>
      </c>
      <c r="G2608">
        <v>84</v>
      </c>
    </row>
    <row r="2609" spans="1:7" x14ac:dyDescent="0.2">
      <c r="A2609" s="2">
        <v>46004</v>
      </c>
      <c r="B2609" t="s">
        <v>3037</v>
      </c>
      <c r="C2609" t="s">
        <v>1</v>
      </c>
      <c r="D2609" t="s">
        <v>3</v>
      </c>
      <c r="E2609">
        <v>1</v>
      </c>
      <c r="F2609" t="s">
        <v>4027</v>
      </c>
      <c r="G2609">
        <v>66</v>
      </c>
    </row>
    <row r="2610" spans="1:7" x14ac:dyDescent="0.2">
      <c r="A2610" s="2">
        <v>46004</v>
      </c>
      <c r="B2610" t="s">
        <v>3032</v>
      </c>
      <c r="C2610" t="s">
        <v>1</v>
      </c>
      <c r="D2610" t="s">
        <v>3</v>
      </c>
      <c r="E2610">
        <v>1</v>
      </c>
      <c r="F2610" t="s">
        <v>4027</v>
      </c>
      <c r="G2610">
        <v>75</v>
      </c>
    </row>
    <row r="2611" spans="1:7" x14ac:dyDescent="0.2">
      <c r="A2611" s="2">
        <v>46004</v>
      </c>
      <c r="B2611" t="s">
        <v>3034</v>
      </c>
      <c r="C2611" t="s">
        <v>1</v>
      </c>
      <c r="D2611" t="s">
        <v>3</v>
      </c>
      <c r="E2611">
        <v>1</v>
      </c>
      <c r="F2611" t="s">
        <v>4027</v>
      </c>
      <c r="G2611">
        <v>80</v>
      </c>
    </row>
    <row r="2612" spans="1:7" x14ac:dyDescent="0.2">
      <c r="A2612" s="2">
        <v>46006</v>
      </c>
      <c r="B2612" t="s">
        <v>3043</v>
      </c>
      <c r="C2612" t="s">
        <v>1</v>
      </c>
      <c r="D2612" t="s">
        <v>3</v>
      </c>
      <c r="E2612">
        <v>1</v>
      </c>
      <c r="F2612" t="s">
        <v>4027</v>
      </c>
      <c r="G2612">
        <v>64</v>
      </c>
    </row>
    <row r="2613" spans="1:7" x14ac:dyDescent="0.2">
      <c r="A2613" s="2">
        <v>46006</v>
      </c>
      <c r="B2613" t="s">
        <v>3039</v>
      </c>
      <c r="C2613" t="s">
        <v>1</v>
      </c>
      <c r="D2613" t="s">
        <v>3</v>
      </c>
      <c r="E2613">
        <v>1</v>
      </c>
      <c r="F2613" t="s">
        <v>4027</v>
      </c>
      <c r="G2613">
        <v>66</v>
      </c>
    </row>
    <row r="2614" spans="1:7" x14ac:dyDescent="0.2">
      <c r="A2614" s="2">
        <v>46006</v>
      </c>
      <c r="B2614" t="s">
        <v>3038</v>
      </c>
      <c r="C2614" t="s">
        <v>1</v>
      </c>
      <c r="D2614" t="s">
        <v>3</v>
      </c>
      <c r="E2614">
        <v>1</v>
      </c>
      <c r="F2614" t="s">
        <v>4027</v>
      </c>
      <c r="G2614">
        <v>73</v>
      </c>
    </row>
    <row r="2615" spans="1:7" x14ac:dyDescent="0.2">
      <c r="A2615" s="2">
        <v>46006</v>
      </c>
      <c r="B2615" t="s">
        <v>3047</v>
      </c>
      <c r="C2615" t="s">
        <v>1</v>
      </c>
      <c r="D2615" t="s">
        <v>3</v>
      </c>
      <c r="E2615">
        <v>1</v>
      </c>
      <c r="F2615" t="s">
        <v>4027</v>
      </c>
      <c r="G2615">
        <v>65</v>
      </c>
    </row>
    <row r="2616" spans="1:7" x14ac:dyDescent="0.2">
      <c r="A2616" s="2">
        <v>46006</v>
      </c>
      <c r="B2616" t="s">
        <v>3046</v>
      </c>
      <c r="C2616" t="s">
        <v>1</v>
      </c>
      <c r="D2616" t="s">
        <v>3</v>
      </c>
      <c r="E2616">
        <v>1</v>
      </c>
      <c r="F2616" t="s">
        <v>4027</v>
      </c>
      <c r="G2616">
        <v>81</v>
      </c>
    </row>
    <row r="2617" spans="1:7" x14ac:dyDescent="0.2">
      <c r="A2617" s="2">
        <v>46006</v>
      </c>
      <c r="B2617" t="s">
        <v>3045</v>
      </c>
      <c r="C2617" t="s">
        <v>1</v>
      </c>
      <c r="D2617" t="s">
        <v>3</v>
      </c>
      <c r="E2617">
        <v>1</v>
      </c>
      <c r="F2617" t="s">
        <v>4027</v>
      </c>
      <c r="G2617">
        <v>71</v>
      </c>
    </row>
    <row r="2618" spans="1:7" x14ac:dyDescent="0.2">
      <c r="A2618" s="2">
        <v>46006</v>
      </c>
      <c r="B2618" t="s">
        <v>3048</v>
      </c>
      <c r="C2618" t="s">
        <v>1</v>
      </c>
      <c r="D2618" t="s">
        <v>3</v>
      </c>
      <c r="E2618">
        <v>1</v>
      </c>
      <c r="F2618" t="s">
        <v>4027</v>
      </c>
      <c r="G2618">
        <v>77</v>
      </c>
    </row>
    <row r="2619" spans="1:7" x14ac:dyDescent="0.2">
      <c r="A2619" s="2">
        <v>46006</v>
      </c>
      <c r="B2619" t="s">
        <v>3042</v>
      </c>
      <c r="C2619" t="s">
        <v>1</v>
      </c>
      <c r="D2619" t="s">
        <v>3</v>
      </c>
      <c r="E2619">
        <v>1</v>
      </c>
      <c r="F2619" t="s">
        <v>4027</v>
      </c>
      <c r="G2619">
        <v>84</v>
      </c>
    </row>
    <row r="2620" spans="1:7" x14ac:dyDescent="0.2">
      <c r="A2620" s="2">
        <v>46006</v>
      </c>
      <c r="B2620" t="s">
        <v>3041</v>
      </c>
      <c r="C2620" t="s">
        <v>1</v>
      </c>
      <c r="D2620" t="s">
        <v>3</v>
      </c>
      <c r="E2620">
        <v>1</v>
      </c>
      <c r="F2620" t="s">
        <v>4027</v>
      </c>
      <c r="G2620">
        <v>86</v>
      </c>
    </row>
    <row r="2621" spans="1:7" x14ac:dyDescent="0.2">
      <c r="A2621" s="2">
        <v>46006</v>
      </c>
      <c r="B2621" t="s">
        <v>3040</v>
      </c>
      <c r="C2621" t="s">
        <v>1</v>
      </c>
      <c r="D2621" t="s">
        <v>3</v>
      </c>
      <c r="E2621">
        <v>1</v>
      </c>
      <c r="F2621" t="s">
        <v>4027</v>
      </c>
      <c r="G2621">
        <v>87</v>
      </c>
    </row>
    <row r="2622" spans="1:7" x14ac:dyDescent="0.2">
      <c r="A2622" s="2">
        <v>46006</v>
      </c>
      <c r="B2622" t="s">
        <v>3044</v>
      </c>
      <c r="C2622" t="s">
        <v>1</v>
      </c>
      <c r="D2622" t="s">
        <v>3</v>
      </c>
      <c r="E2622">
        <v>1</v>
      </c>
      <c r="F2622" t="s">
        <v>4027</v>
      </c>
      <c r="G2622">
        <v>78</v>
      </c>
    </row>
    <row r="2623" spans="1:7" x14ac:dyDescent="0.2">
      <c r="A2623" s="2">
        <v>46006</v>
      </c>
      <c r="B2623" t="s">
        <v>3660</v>
      </c>
      <c r="C2623" t="s">
        <v>2</v>
      </c>
      <c r="D2623" t="s">
        <v>4</v>
      </c>
      <c r="E2623">
        <v>1</v>
      </c>
      <c r="F2623" t="s">
        <v>600</v>
      </c>
      <c r="G2623">
        <v>22</v>
      </c>
    </row>
    <row r="2624" spans="1:7" x14ac:dyDescent="0.2">
      <c r="A2624" s="2">
        <v>46007</v>
      </c>
      <c r="B2624" t="s">
        <v>3049</v>
      </c>
      <c r="C2624" t="s">
        <v>1</v>
      </c>
      <c r="D2624" t="s">
        <v>3</v>
      </c>
      <c r="E2624">
        <v>1</v>
      </c>
      <c r="F2624" t="s">
        <v>4027</v>
      </c>
      <c r="G2624">
        <v>73</v>
      </c>
    </row>
    <row r="2625" spans="1:7" x14ac:dyDescent="0.2">
      <c r="A2625" s="2">
        <v>46007</v>
      </c>
      <c r="B2625" t="s">
        <v>3050</v>
      </c>
      <c r="C2625" t="s">
        <v>1</v>
      </c>
      <c r="D2625" t="s">
        <v>3</v>
      </c>
      <c r="E2625">
        <v>1</v>
      </c>
      <c r="F2625" t="s">
        <v>4027</v>
      </c>
      <c r="G2625">
        <v>62</v>
      </c>
    </row>
    <row r="2626" spans="1:7" x14ac:dyDescent="0.2">
      <c r="A2626" s="2">
        <v>46007</v>
      </c>
      <c r="B2626" t="s">
        <v>3051</v>
      </c>
      <c r="C2626" t="s">
        <v>1</v>
      </c>
      <c r="D2626" t="s">
        <v>3</v>
      </c>
      <c r="E2626">
        <v>1</v>
      </c>
      <c r="F2626" t="s">
        <v>4027</v>
      </c>
      <c r="G2626">
        <v>67</v>
      </c>
    </row>
    <row r="2627" spans="1:7" x14ac:dyDescent="0.2">
      <c r="A2627" s="2">
        <v>46007</v>
      </c>
      <c r="B2627" t="s">
        <v>3052</v>
      </c>
      <c r="C2627" t="s">
        <v>1</v>
      </c>
      <c r="D2627" t="s">
        <v>3</v>
      </c>
      <c r="E2627">
        <v>1</v>
      </c>
      <c r="F2627" t="s">
        <v>4027</v>
      </c>
      <c r="G2627">
        <v>71</v>
      </c>
    </row>
    <row r="2628" spans="1:7" x14ac:dyDescent="0.2">
      <c r="A2628" s="2">
        <v>46007</v>
      </c>
      <c r="B2628" t="s">
        <v>3053</v>
      </c>
      <c r="C2628" t="s">
        <v>1</v>
      </c>
      <c r="D2628" t="s">
        <v>3</v>
      </c>
      <c r="E2628">
        <v>1</v>
      </c>
      <c r="F2628" t="s">
        <v>4027</v>
      </c>
      <c r="G2628">
        <v>60</v>
      </c>
    </row>
    <row r="2629" spans="1:7" x14ac:dyDescent="0.2">
      <c r="A2629" s="2">
        <v>46007</v>
      </c>
      <c r="B2629" t="s">
        <v>3054</v>
      </c>
      <c r="C2629" t="s">
        <v>1</v>
      </c>
      <c r="D2629" t="s">
        <v>3</v>
      </c>
      <c r="E2629">
        <v>1</v>
      </c>
      <c r="F2629" t="s">
        <v>4027</v>
      </c>
      <c r="G2629">
        <v>88</v>
      </c>
    </row>
    <row r="2630" spans="1:7" x14ac:dyDescent="0.2">
      <c r="A2630" s="2">
        <v>46008</v>
      </c>
      <c r="B2630" t="s">
        <v>3056</v>
      </c>
      <c r="C2630" t="s">
        <v>1</v>
      </c>
      <c r="D2630" t="s">
        <v>3</v>
      </c>
      <c r="E2630">
        <v>1</v>
      </c>
      <c r="F2630" t="s">
        <v>4027</v>
      </c>
      <c r="G2630">
        <v>86</v>
      </c>
    </row>
    <row r="2631" spans="1:7" x14ac:dyDescent="0.2">
      <c r="A2631" s="2">
        <v>46008</v>
      </c>
      <c r="B2631" t="s">
        <v>3661</v>
      </c>
      <c r="C2631" t="s">
        <v>2</v>
      </c>
      <c r="D2631" t="s">
        <v>4</v>
      </c>
      <c r="E2631">
        <v>1</v>
      </c>
      <c r="F2631" t="s">
        <v>600</v>
      </c>
      <c r="G2631">
        <v>22</v>
      </c>
    </row>
    <row r="2632" spans="1:7" x14ac:dyDescent="0.2">
      <c r="A2632" s="2">
        <v>46008</v>
      </c>
      <c r="B2632" t="s">
        <v>3063</v>
      </c>
      <c r="C2632" t="s">
        <v>1</v>
      </c>
      <c r="D2632" t="s">
        <v>3</v>
      </c>
      <c r="E2632">
        <v>1</v>
      </c>
      <c r="F2632" t="s">
        <v>4027</v>
      </c>
      <c r="G2632">
        <v>80</v>
      </c>
    </row>
    <row r="2633" spans="1:7" x14ac:dyDescent="0.2">
      <c r="A2633" s="2">
        <v>46008</v>
      </c>
      <c r="B2633" t="s">
        <v>3062</v>
      </c>
      <c r="C2633" t="s">
        <v>1</v>
      </c>
      <c r="D2633" t="s">
        <v>3</v>
      </c>
      <c r="E2633">
        <v>1</v>
      </c>
      <c r="F2633" t="s">
        <v>4027</v>
      </c>
      <c r="G2633">
        <v>89</v>
      </c>
    </row>
    <row r="2634" spans="1:7" x14ac:dyDescent="0.2">
      <c r="A2634" s="2">
        <v>46008</v>
      </c>
      <c r="B2634" t="s">
        <v>3061</v>
      </c>
      <c r="C2634" t="s">
        <v>1</v>
      </c>
      <c r="D2634" t="s">
        <v>3</v>
      </c>
      <c r="E2634">
        <v>1</v>
      </c>
      <c r="F2634" t="s">
        <v>4027</v>
      </c>
      <c r="G2634">
        <v>71</v>
      </c>
    </row>
    <row r="2635" spans="1:7" x14ac:dyDescent="0.2">
      <c r="A2635" s="2">
        <v>46008</v>
      </c>
      <c r="B2635" t="s">
        <v>3060</v>
      </c>
      <c r="C2635" t="s">
        <v>1</v>
      </c>
      <c r="D2635" t="s">
        <v>3</v>
      </c>
      <c r="E2635">
        <v>1</v>
      </c>
      <c r="F2635" t="s">
        <v>4027</v>
      </c>
      <c r="G2635">
        <v>62</v>
      </c>
    </row>
    <row r="2636" spans="1:7" x14ac:dyDescent="0.2">
      <c r="A2636" s="2">
        <v>46008</v>
      </c>
      <c r="B2636" t="s">
        <v>3059</v>
      </c>
      <c r="C2636" t="s">
        <v>1</v>
      </c>
      <c r="D2636" t="s">
        <v>3</v>
      </c>
      <c r="E2636">
        <v>1</v>
      </c>
      <c r="F2636" t="s">
        <v>4027</v>
      </c>
      <c r="G2636">
        <v>73</v>
      </c>
    </row>
    <row r="2637" spans="1:7" x14ac:dyDescent="0.2">
      <c r="A2637" s="2">
        <v>46008</v>
      </c>
      <c r="B2637" t="s">
        <v>3064</v>
      </c>
      <c r="C2637" t="s">
        <v>1</v>
      </c>
      <c r="D2637" t="s">
        <v>3</v>
      </c>
      <c r="E2637">
        <v>1</v>
      </c>
      <c r="F2637" t="s">
        <v>4027</v>
      </c>
      <c r="G2637">
        <v>67</v>
      </c>
    </row>
    <row r="2638" spans="1:7" x14ac:dyDescent="0.2">
      <c r="A2638" s="2">
        <v>46008</v>
      </c>
      <c r="B2638" t="s">
        <v>3057</v>
      </c>
      <c r="C2638" t="s">
        <v>1</v>
      </c>
      <c r="D2638" t="s">
        <v>3</v>
      </c>
      <c r="E2638">
        <v>1</v>
      </c>
      <c r="F2638" t="s">
        <v>4027</v>
      </c>
      <c r="G2638">
        <v>65</v>
      </c>
    </row>
    <row r="2639" spans="1:7" x14ac:dyDescent="0.2">
      <c r="A2639" s="2">
        <v>46008</v>
      </c>
      <c r="B2639" t="s">
        <v>3055</v>
      </c>
      <c r="C2639" t="s">
        <v>1</v>
      </c>
      <c r="D2639" t="s">
        <v>3</v>
      </c>
      <c r="E2639">
        <v>1</v>
      </c>
      <c r="F2639" t="s">
        <v>4027</v>
      </c>
      <c r="G2639">
        <v>87</v>
      </c>
    </row>
    <row r="2640" spans="1:7" x14ac:dyDescent="0.2">
      <c r="A2640" s="2">
        <v>46008</v>
      </c>
      <c r="B2640" t="s">
        <v>3058</v>
      </c>
      <c r="C2640" t="s">
        <v>1</v>
      </c>
      <c r="D2640" t="s">
        <v>3</v>
      </c>
      <c r="E2640">
        <v>1</v>
      </c>
      <c r="F2640" t="s">
        <v>4027</v>
      </c>
      <c r="G2640">
        <v>75</v>
      </c>
    </row>
    <row r="2641" spans="1:7" x14ac:dyDescent="0.2">
      <c r="A2641" s="2">
        <v>46009</v>
      </c>
      <c r="B2641" t="s">
        <v>3071</v>
      </c>
      <c r="C2641" t="s">
        <v>1</v>
      </c>
      <c r="D2641" t="s">
        <v>3</v>
      </c>
      <c r="E2641">
        <v>1</v>
      </c>
      <c r="F2641" t="s">
        <v>4027</v>
      </c>
      <c r="G2641">
        <v>64</v>
      </c>
    </row>
    <row r="2642" spans="1:7" x14ac:dyDescent="0.2">
      <c r="A2642" s="2">
        <v>46009</v>
      </c>
      <c r="B2642" t="s">
        <v>3070</v>
      </c>
      <c r="C2642" t="s">
        <v>1</v>
      </c>
      <c r="D2642" t="s">
        <v>3</v>
      </c>
      <c r="E2642">
        <v>1</v>
      </c>
      <c r="F2642" t="s">
        <v>4027</v>
      </c>
      <c r="G2642">
        <v>63</v>
      </c>
    </row>
    <row r="2643" spans="1:7" x14ac:dyDescent="0.2">
      <c r="A2643" s="2">
        <v>46009</v>
      </c>
      <c r="B2643" t="s">
        <v>3069</v>
      </c>
      <c r="C2643" t="s">
        <v>1</v>
      </c>
      <c r="D2643" t="s">
        <v>3</v>
      </c>
      <c r="E2643">
        <v>1</v>
      </c>
      <c r="F2643" t="s">
        <v>4027</v>
      </c>
      <c r="G2643">
        <v>69</v>
      </c>
    </row>
    <row r="2644" spans="1:7" x14ac:dyDescent="0.2">
      <c r="A2644" s="2">
        <v>46009</v>
      </c>
      <c r="B2644" t="s">
        <v>3067</v>
      </c>
      <c r="C2644" t="s">
        <v>1</v>
      </c>
      <c r="D2644" t="s">
        <v>3</v>
      </c>
      <c r="E2644">
        <v>1</v>
      </c>
      <c r="F2644" t="s">
        <v>4027</v>
      </c>
      <c r="G2644">
        <v>61</v>
      </c>
    </row>
    <row r="2645" spans="1:7" x14ac:dyDescent="0.2">
      <c r="A2645" s="2">
        <v>46009</v>
      </c>
      <c r="B2645" t="s">
        <v>3068</v>
      </c>
      <c r="C2645" t="s">
        <v>1</v>
      </c>
      <c r="D2645" t="s">
        <v>3</v>
      </c>
      <c r="E2645">
        <v>1</v>
      </c>
      <c r="F2645" t="s">
        <v>4027</v>
      </c>
      <c r="G2645">
        <v>80</v>
      </c>
    </row>
    <row r="2646" spans="1:7" x14ac:dyDescent="0.2">
      <c r="A2646" s="2">
        <v>46009</v>
      </c>
      <c r="B2646" t="s">
        <v>3065</v>
      </c>
      <c r="C2646" t="s">
        <v>1</v>
      </c>
      <c r="D2646" t="s">
        <v>3</v>
      </c>
      <c r="E2646">
        <v>1</v>
      </c>
      <c r="F2646" t="s">
        <v>4027</v>
      </c>
      <c r="G2646">
        <v>63</v>
      </c>
    </row>
    <row r="2647" spans="1:7" x14ac:dyDescent="0.2">
      <c r="A2647" s="2">
        <v>46009</v>
      </c>
      <c r="B2647" t="s">
        <v>3066</v>
      </c>
      <c r="C2647" t="s">
        <v>1</v>
      </c>
      <c r="D2647" t="s">
        <v>3</v>
      </c>
      <c r="E2647">
        <v>1</v>
      </c>
      <c r="F2647" t="s">
        <v>4027</v>
      </c>
      <c r="G2647">
        <v>82</v>
      </c>
    </row>
    <row r="2648" spans="1:7" x14ac:dyDescent="0.2">
      <c r="A2648" s="2">
        <v>46010</v>
      </c>
      <c r="B2648" t="s">
        <v>3079</v>
      </c>
      <c r="C2648" t="s">
        <v>1</v>
      </c>
      <c r="D2648" t="s">
        <v>3</v>
      </c>
      <c r="E2648">
        <v>1</v>
      </c>
      <c r="F2648" t="s">
        <v>4027</v>
      </c>
      <c r="G2648">
        <v>77</v>
      </c>
    </row>
    <row r="2649" spans="1:7" x14ac:dyDescent="0.2">
      <c r="A2649" s="2">
        <v>46010</v>
      </c>
      <c r="B2649" t="s">
        <v>3084</v>
      </c>
      <c r="C2649" t="s">
        <v>1</v>
      </c>
      <c r="D2649" t="s">
        <v>3</v>
      </c>
      <c r="E2649">
        <v>1</v>
      </c>
      <c r="F2649" t="s">
        <v>4027</v>
      </c>
      <c r="G2649">
        <v>72</v>
      </c>
    </row>
    <row r="2650" spans="1:7" x14ac:dyDescent="0.2">
      <c r="A2650" s="2">
        <v>46010</v>
      </c>
      <c r="B2650" t="s">
        <v>3083</v>
      </c>
      <c r="C2650" t="s">
        <v>1</v>
      </c>
      <c r="D2650" t="s">
        <v>3</v>
      </c>
      <c r="E2650">
        <v>1</v>
      </c>
      <c r="F2650" t="s">
        <v>4027</v>
      </c>
      <c r="G2650">
        <v>66</v>
      </c>
    </row>
    <row r="2651" spans="1:7" x14ac:dyDescent="0.2">
      <c r="A2651" s="2">
        <v>46010</v>
      </c>
      <c r="B2651" t="s">
        <v>3082</v>
      </c>
      <c r="C2651" t="s">
        <v>1</v>
      </c>
      <c r="D2651" t="s">
        <v>3</v>
      </c>
      <c r="E2651">
        <v>1</v>
      </c>
      <c r="F2651" t="s">
        <v>4027</v>
      </c>
      <c r="G2651">
        <v>73</v>
      </c>
    </row>
    <row r="2652" spans="1:7" x14ac:dyDescent="0.2">
      <c r="A2652" s="2">
        <v>46010</v>
      </c>
      <c r="B2652" t="s">
        <v>3081</v>
      </c>
      <c r="C2652" t="s">
        <v>1</v>
      </c>
      <c r="D2652" t="s">
        <v>3</v>
      </c>
      <c r="E2652">
        <v>1</v>
      </c>
      <c r="F2652" t="s">
        <v>4027</v>
      </c>
      <c r="G2652">
        <v>65</v>
      </c>
    </row>
    <row r="2653" spans="1:7" x14ac:dyDescent="0.2">
      <c r="A2653" s="2">
        <v>46010</v>
      </c>
      <c r="B2653" t="s">
        <v>3080</v>
      </c>
      <c r="C2653" t="s">
        <v>1</v>
      </c>
      <c r="D2653" t="s">
        <v>3</v>
      </c>
      <c r="E2653">
        <v>1</v>
      </c>
      <c r="F2653" t="s">
        <v>4027</v>
      </c>
      <c r="G2653">
        <v>80</v>
      </c>
    </row>
    <row r="2654" spans="1:7" x14ac:dyDescent="0.2">
      <c r="A2654" s="2">
        <v>46010</v>
      </c>
      <c r="B2654" t="s">
        <v>3078</v>
      </c>
      <c r="C2654" t="s">
        <v>1</v>
      </c>
      <c r="D2654" t="s">
        <v>3</v>
      </c>
      <c r="E2654">
        <v>1</v>
      </c>
      <c r="F2654" t="s">
        <v>4027</v>
      </c>
      <c r="G2654">
        <v>76</v>
      </c>
    </row>
    <row r="2655" spans="1:7" x14ac:dyDescent="0.2">
      <c r="A2655" s="2">
        <v>46010</v>
      </c>
      <c r="B2655" t="s">
        <v>3662</v>
      </c>
      <c r="C2655" t="s">
        <v>2</v>
      </c>
      <c r="D2655" t="s">
        <v>4</v>
      </c>
      <c r="E2655">
        <v>1</v>
      </c>
      <c r="F2655" t="s">
        <v>600</v>
      </c>
      <c r="G2655">
        <v>22</v>
      </c>
    </row>
    <row r="2656" spans="1:7" x14ac:dyDescent="0.2">
      <c r="A2656" s="2">
        <v>46010</v>
      </c>
      <c r="B2656" t="s">
        <v>3076</v>
      </c>
      <c r="C2656" t="s">
        <v>1</v>
      </c>
      <c r="D2656" t="s">
        <v>3</v>
      </c>
      <c r="E2656">
        <v>1</v>
      </c>
      <c r="F2656" t="s">
        <v>4027</v>
      </c>
      <c r="G2656">
        <v>67</v>
      </c>
    </row>
    <row r="2657" spans="1:7" x14ac:dyDescent="0.2">
      <c r="A2657" s="2">
        <v>46010</v>
      </c>
      <c r="B2657" t="s">
        <v>3075</v>
      </c>
      <c r="C2657" t="s">
        <v>1</v>
      </c>
      <c r="D2657" t="s">
        <v>3</v>
      </c>
      <c r="E2657">
        <v>1</v>
      </c>
      <c r="F2657" t="s">
        <v>4027</v>
      </c>
      <c r="G2657">
        <v>61</v>
      </c>
    </row>
    <row r="2658" spans="1:7" x14ac:dyDescent="0.2">
      <c r="A2658" s="2">
        <v>46010</v>
      </c>
      <c r="B2658" t="s">
        <v>3074</v>
      </c>
      <c r="C2658" t="s">
        <v>1</v>
      </c>
      <c r="D2658" t="s">
        <v>3</v>
      </c>
      <c r="E2658">
        <v>1</v>
      </c>
      <c r="F2658" t="s">
        <v>4027</v>
      </c>
      <c r="G2658">
        <v>83</v>
      </c>
    </row>
    <row r="2659" spans="1:7" x14ac:dyDescent="0.2">
      <c r="A2659" s="2">
        <v>46010</v>
      </c>
      <c r="B2659" t="s">
        <v>3073</v>
      </c>
      <c r="C2659" t="s">
        <v>1</v>
      </c>
      <c r="D2659" t="s">
        <v>3</v>
      </c>
      <c r="E2659">
        <v>1</v>
      </c>
      <c r="F2659" t="s">
        <v>4027</v>
      </c>
      <c r="G2659">
        <v>74</v>
      </c>
    </row>
    <row r="2660" spans="1:7" x14ac:dyDescent="0.2">
      <c r="A2660" s="2">
        <v>46010</v>
      </c>
      <c r="B2660" t="s">
        <v>3072</v>
      </c>
      <c r="C2660" t="s">
        <v>1</v>
      </c>
      <c r="D2660" t="s">
        <v>3</v>
      </c>
      <c r="E2660">
        <v>1</v>
      </c>
      <c r="F2660" t="s">
        <v>4027</v>
      </c>
      <c r="G2660">
        <v>61</v>
      </c>
    </row>
    <row r="2661" spans="1:7" x14ac:dyDescent="0.2">
      <c r="A2661" s="2">
        <v>46010</v>
      </c>
      <c r="B2661" t="s">
        <v>3077</v>
      </c>
      <c r="C2661" t="s">
        <v>1</v>
      </c>
      <c r="D2661" t="s">
        <v>3</v>
      </c>
      <c r="E2661">
        <v>1</v>
      </c>
      <c r="F2661" t="s">
        <v>4027</v>
      </c>
      <c r="G2661">
        <v>82</v>
      </c>
    </row>
    <row r="2662" spans="1:7" x14ac:dyDescent="0.2">
      <c r="A2662" s="2">
        <v>46011</v>
      </c>
      <c r="B2662" t="s">
        <v>3091</v>
      </c>
      <c r="C2662" t="s">
        <v>1</v>
      </c>
      <c r="D2662" t="s">
        <v>3</v>
      </c>
      <c r="E2662">
        <v>1</v>
      </c>
      <c r="F2662" t="s">
        <v>4027</v>
      </c>
      <c r="G2662">
        <v>63</v>
      </c>
    </row>
    <row r="2663" spans="1:7" x14ac:dyDescent="0.2">
      <c r="A2663" s="2">
        <v>46011</v>
      </c>
      <c r="B2663" t="s">
        <v>3090</v>
      </c>
      <c r="C2663" t="s">
        <v>1</v>
      </c>
      <c r="D2663" t="s">
        <v>3</v>
      </c>
      <c r="E2663">
        <v>1</v>
      </c>
      <c r="F2663" t="s">
        <v>4027</v>
      </c>
      <c r="G2663">
        <v>62</v>
      </c>
    </row>
    <row r="2664" spans="1:7" x14ac:dyDescent="0.2">
      <c r="A2664" s="2">
        <v>46011</v>
      </c>
      <c r="B2664" t="s">
        <v>3089</v>
      </c>
      <c r="C2664" t="s">
        <v>1</v>
      </c>
      <c r="D2664" t="s">
        <v>3</v>
      </c>
      <c r="E2664">
        <v>1</v>
      </c>
      <c r="F2664" t="s">
        <v>4027</v>
      </c>
      <c r="G2664">
        <v>78</v>
      </c>
    </row>
    <row r="2665" spans="1:7" x14ac:dyDescent="0.2">
      <c r="A2665" s="2">
        <v>46011</v>
      </c>
      <c r="B2665" t="s">
        <v>3088</v>
      </c>
      <c r="C2665" t="s">
        <v>1</v>
      </c>
      <c r="D2665" t="s">
        <v>3</v>
      </c>
      <c r="E2665">
        <v>1</v>
      </c>
      <c r="F2665" t="s">
        <v>4027</v>
      </c>
      <c r="G2665">
        <v>87</v>
      </c>
    </row>
    <row r="2666" spans="1:7" x14ac:dyDescent="0.2">
      <c r="A2666" s="2">
        <v>46011</v>
      </c>
      <c r="B2666" t="s">
        <v>3086</v>
      </c>
      <c r="C2666" t="s">
        <v>1</v>
      </c>
      <c r="D2666" t="s">
        <v>3</v>
      </c>
      <c r="E2666">
        <v>1</v>
      </c>
      <c r="F2666" t="s">
        <v>4027</v>
      </c>
      <c r="G2666">
        <v>64</v>
      </c>
    </row>
    <row r="2667" spans="1:7" x14ac:dyDescent="0.2">
      <c r="A2667" s="2">
        <v>46011</v>
      </c>
      <c r="B2667" t="s">
        <v>3085</v>
      </c>
      <c r="C2667" t="s">
        <v>1</v>
      </c>
      <c r="D2667" t="s">
        <v>3</v>
      </c>
      <c r="E2667">
        <v>1</v>
      </c>
      <c r="F2667" t="s">
        <v>4027</v>
      </c>
      <c r="G2667">
        <v>71</v>
      </c>
    </row>
    <row r="2668" spans="1:7" x14ac:dyDescent="0.2">
      <c r="A2668" s="2">
        <v>46011</v>
      </c>
      <c r="B2668" t="s">
        <v>3087</v>
      </c>
      <c r="C2668" t="s">
        <v>1</v>
      </c>
      <c r="D2668" t="s">
        <v>3</v>
      </c>
      <c r="E2668">
        <v>1</v>
      </c>
      <c r="F2668" t="s">
        <v>4027</v>
      </c>
      <c r="G2668">
        <v>84</v>
      </c>
    </row>
    <row r="2669" spans="1:7" x14ac:dyDescent="0.2">
      <c r="A2669" s="2">
        <v>46013</v>
      </c>
      <c r="B2669" t="s">
        <v>3101</v>
      </c>
      <c r="C2669" t="s">
        <v>1</v>
      </c>
      <c r="D2669" t="s">
        <v>3</v>
      </c>
      <c r="E2669">
        <v>1</v>
      </c>
      <c r="F2669" t="s">
        <v>4027</v>
      </c>
      <c r="G2669">
        <v>76</v>
      </c>
    </row>
    <row r="2670" spans="1:7" x14ac:dyDescent="0.2">
      <c r="A2670" s="2">
        <v>46013</v>
      </c>
      <c r="B2670" t="s">
        <v>3107</v>
      </c>
      <c r="C2670" t="s">
        <v>1</v>
      </c>
      <c r="D2670" t="s">
        <v>3</v>
      </c>
      <c r="E2670">
        <v>1</v>
      </c>
      <c r="F2670" t="s">
        <v>4027</v>
      </c>
      <c r="G2670">
        <v>73</v>
      </c>
    </row>
    <row r="2671" spans="1:7" x14ac:dyDescent="0.2">
      <c r="A2671" s="2">
        <v>46013</v>
      </c>
      <c r="B2671" t="s">
        <v>3108</v>
      </c>
      <c r="C2671" t="s">
        <v>1</v>
      </c>
      <c r="D2671" t="s">
        <v>3</v>
      </c>
      <c r="E2671">
        <v>1</v>
      </c>
      <c r="F2671" t="s">
        <v>4027</v>
      </c>
      <c r="G2671">
        <v>88</v>
      </c>
    </row>
    <row r="2672" spans="1:7" x14ac:dyDescent="0.2">
      <c r="A2672" s="2">
        <v>46013</v>
      </c>
      <c r="B2672" t="s">
        <v>3105</v>
      </c>
      <c r="C2672" t="s">
        <v>1</v>
      </c>
      <c r="D2672" t="s">
        <v>3</v>
      </c>
      <c r="E2672">
        <v>1</v>
      </c>
      <c r="F2672" t="s">
        <v>4027</v>
      </c>
      <c r="G2672">
        <v>61</v>
      </c>
    </row>
    <row r="2673" spans="1:7" x14ac:dyDescent="0.2">
      <c r="A2673" s="2">
        <v>46013</v>
      </c>
      <c r="B2673" t="s">
        <v>3104</v>
      </c>
      <c r="C2673" t="s">
        <v>1</v>
      </c>
      <c r="D2673" t="s">
        <v>3</v>
      </c>
      <c r="E2673">
        <v>1</v>
      </c>
      <c r="F2673" t="s">
        <v>4027</v>
      </c>
      <c r="G2673">
        <v>84</v>
      </c>
    </row>
    <row r="2674" spans="1:7" x14ac:dyDescent="0.2">
      <c r="A2674" s="2">
        <v>46013</v>
      </c>
      <c r="B2674" t="s">
        <v>3103</v>
      </c>
      <c r="C2674" t="s">
        <v>1</v>
      </c>
      <c r="D2674" t="s">
        <v>3</v>
      </c>
      <c r="E2674">
        <v>1</v>
      </c>
      <c r="F2674" t="s">
        <v>4027</v>
      </c>
      <c r="G2674">
        <v>61</v>
      </c>
    </row>
    <row r="2675" spans="1:7" x14ac:dyDescent="0.2">
      <c r="A2675" s="2">
        <v>46013</v>
      </c>
      <c r="B2675" t="s">
        <v>3102</v>
      </c>
      <c r="C2675" t="s">
        <v>1</v>
      </c>
      <c r="D2675" t="s">
        <v>3</v>
      </c>
      <c r="E2675">
        <v>1</v>
      </c>
      <c r="F2675" t="s">
        <v>4027</v>
      </c>
      <c r="G2675">
        <v>75</v>
      </c>
    </row>
    <row r="2676" spans="1:7" x14ac:dyDescent="0.2">
      <c r="A2676" s="2">
        <v>46013</v>
      </c>
      <c r="B2676" t="s">
        <v>3100</v>
      </c>
      <c r="C2676" t="s">
        <v>1</v>
      </c>
      <c r="D2676" t="s">
        <v>3</v>
      </c>
      <c r="E2676">
        <v>1</v>
      </c>
      <c r="F2676" t="s">
        <v>4027</v>
      </c>
      <c r="G2676">
        <v>63</v>
      </c>
    </row>
    <row r="2677" spans="1:7" x14ac:dyDescent="0.2">
      <c r="A2677" s="2">
        <v>46013</v>
      </c>
      <c r="B2677" t="s">
        <v>3106</v>
      </c>
      <c r="C2677" t="s">
        <v>1</v>
      </c>
      <c r="D2677" t="s">
        <v>3</v>
      </c>
      <c r="E2677">
        <v>1</v>
      </c>
      <c r="F2677" t="s">
        <v>4027</v>
      </c>
      <c r="G2677">
        <v>69</v>
      </c>
    </row>
    <row r="2678" spans="1:7" x14ac:dyDescent="0.2">
      <c r="A2678" s="2">
        <v>46013</v>
      </c>
      <c r="B2678" t="s">
        <v>3098</v>
      </c>
      <c r="C2678" t="s">
        <v>1</v>
      </c>
      <c r="D2678" t="s">
        <v>3</v>
      </c>
      <c r="E2678">
        <v>1</v>
      </c>
      <c r="F2678" t="s">
        <v>4027</v>
      </c>
      <c r="G2678">
        <v>69</v>
      </c>
    </row>
    <row r="2679" spans="1:7" x14ac:dyDescent="0.2">
      <c r="A2679" s="2">
        <v>46013</v>
      </c>
      <c r="B2679" t="s">
        <v>3099</v>
      </c>
      <c r="C2679" t="s">
        <v>1</v>
      </c>
      <c r="D2679" t="s">
        <v>3</v>
      </c>
      <c r="E2679">
        <v>1</v>
      </c>
      <c r="F2679" t="s">
        <v>4027</v>
      </c>
      <c r="G2679">
        <v>89</v>
      </c>
    </row>
    <row r="2680" spans="1:7" x14ac:dyDescent="0.2">
      <c r="A2680" s="2">
        <v>46013</v>
      </c>
      <c r="B2680" t="s">
        <v>3092</v>
      </c>
      <c r="C2680" t="s">
        <v>1</v>
      </c>
      <c r="D2680" t="s">
        <v>3</v>
      </c>
      <c r="E2680">
        <v>1</v>
      </c>
      <c r="F2680" t="s">
        <v>4027</v>
      </c>
      <c r="G2680">
        <v>69</v>
      </c>
    </row>
    <row r="2681" spans="1:7" x14ac:dyDescent="0.2">
      <c r="A2681" s="2">
        <v>46013</v>
      </c>
      <c r="B2681" t="s">
        <v>3093</v>
      </c>
      <c r="C2681" t="s">
        <v>1</v>
      </c>
      <c r="D2681" t="s">
        <v>3</v>
      </c>
      <c r="E2681">
        <v>1</v>
      </c>
      <c r="F2681" t="s">
        <v>4027</v>
      </c>
      <c r="G2681">
        <v>69</v>
      </c>
    </row>
    <row r="2682" spans="1:7" x14ac:dyDescent="0.2">
      <c r="A2682" s="2">
        <v>46013</v>
      </c>
      <c r="B2682" t="s">
        <v>3094</v>
      </c>
      <c r="C2682" t="s">
        <v>1</v>
      </c>
      <c r="D2682" t="s">
        <v>3</v>
      </c>
      <c r="E2682">
        <v>1</v>
      </c>
      <c r="F2682" t="s">
        <v>4027</v>
      </c>
      <c r="G2682">
        <v>84</v>
      </c>
    </row>
    <row r="2683" spans="1:7" x14ac:dyDescent="0.2">
      <c r="A2683" s="2">
        <v>46013</v>
      </c>
      <c r="B2683" t="s">
        <v>3095</v>
      </c>
      <c r="C2683" t="s">
        <v>1</v>
      </c>
      <c r="D2683" t="s">
        <v>3</v>
      </c>
      <c r="E2683">
        <v>1</v>
      </c>
      <c r="F2683" t="s">
        <v>4027</v>
      </c>
      <c r="G2683">
        <v>78</v>
      </c>
    </row>
    <row r="2684" spans="1:7" x14ac:dyDescent="0.2">
      <c r="A2684" s="2">
        <v>46013</v>
      </c>
      <c r="B2684" t="s">
        <v>3096</v>
      </c>
      <c r="C2684" t="s">
        <v>1</v>
      </c>
      <c r="D2684" t="s">
        <v>3</v>
      </c>
      <c r="E2684">
        <v>1</v>
      </c>
      <c r="F2684" t="s">
        <v>4027</v>
      </c>
      <c r="G2684">
        <v>76</v>
      </c>
    </row>
    <row r="2685" spans="1:7" x14ac:dyDescent="0.2">
      <c r="A2685" s="2">
        <v>46013</v>
      </c>
      <c r="B2685" t="s">
        <v>3097</v>
      </c>
      <c r="C2685" t="s">
        <v>1</v>
      </c>
      <c r="D2685" t="s">
        <v>3</v>
      </c>
      <c r="E2685">
        <v>1</v>
      </c>
      <c r="F2685" t="s">
        <v>4027</v>
      </c>
      <c r="G2685">
        <v>77</v>
      </c>
    </row>
    <row r="2686" spans="1:7" x14ac:dyDescent="0.2">
      <c r="A2686" s="2">
        <v>46014</v>
      </c>
      <c r="B2686" t="s">
        <v>3116</v>
      </c>
      <c r="C2686" t="s">
        <v>1</v>
      </c>
      <c r="D2686" t="s">
        <v>3</v>
      </c>
      <c r="E2686">
        <v>1</v>
      </c>
      <c r="F2686" t="s">
        <v>4027</v>
      </c>
      <c r="G2686">
        <v>74</v>
      </c>
    </row>
    <row r="2687" spans="1:7" x14ac:dyDescent="0.2">
      <c r="A2687" s="2">
        <v>46014</v>
      </c>
      <c r="B2687" t="s">
        <v>3115</v>
      </c>
      <c r="C2687" t="s">
        <v>1</v>
      </c>
      <c r="D2687" t="s">
        <v>3</v>
      </c>
      <c r="E2687">
        <v>1</v>
      </c>
      <c r="F2687" t="s">
        <v>4027</v>
      </c>
      <c r="G2687">
        <v>75</v>
      </c>
    </row>
    <row r="2688" spans="1:7" x14ac:dyDescent="0.2">
      <c r="A2688" s="2">
        <v>46014</v>
      </c>
      <c r="B2688" t="s">
        <v>3114</v>
      </c>
      <c r="C2688" t="s">
        <v>1</v>
      </c>
      <c r="D2688" t="s">
        <v>3</v>
      </c>
      <c r="E2688">
        <v>1</v>
      </c>
      <c r="F2688" t="s">
        <v>4027</v>
      </c>
      <c r="G2688">
        <v>69</v>
      </c>
    </row>
    <row r="2689" spans="1:7" x14ac:dyDescent="0.2">
      <c r="A2689" s="2">
        <v>46014</v>
      </c>
      <c r="B2689" t="s">
        <v>3113</v>
      </c>
      <c r="C2689" t="s">
        <v>1</v>
      </c>
      <c r="D2689" t="s">
        <v>3</v>
      </c>
      <c r="E2689">
        <v>1</v>
      </c>
      <c r="F2689" t="s">
        <v>4027</v>
      </c>
      <c r="G2689">
        <v>86</v>
      </c>
    </row>
    <row r="2690" spans="1:7" x14ac:dyDescent="0.2">
      <c r="A2690" s="2">
        <v>46014</v>
      </c>
      <c r="B2690" t="s">
        <v>3117</v>
      </c>
      <c r="C2690" t="s">
        <v>1</v>
      </c>
      <c r="D2690" t="s">
        <v>3</v>
      </c>
      <c r="E2690">
        <v>1</v>
      </c>
      <c r="F2690" t="s">
        <v>4027</v>
      </c>
      <c r="G2690">
        <v>82</v>
      </c>
    </row>
    <row r="2691" spans="1:7" x14ac:dyDescent="0.2">
      <c r="A2691" s="2">
        <v>46014</v>
      </c>
      <c r="B2691" t="s">
        <v>3111</v>
      </c>
      <c r="C2691" t="s">
        <v>1</v>
      </c>
      <c r="D2691" t="s">
        <v>3</v>
      </c>
      <c r="E2691">
        <v>1</v>
      </c>
      <c r="F2691" t="s">
        <v>4027</v>
      </c>
      <c r="G2691">
        <v>89</v>
      </c>
    </row>
    <row r="2692" spans="1:7" x14ac:dyDescent="0.2">
      <c r="A2692" s="2">
        <v>46014</v>
      </c>
      <c r="B2692" t="s">
        <v>3110</v>
      </c>
      <c r="C2692" t="s">
        <v>1</v>
      </c>
      <c r="D2692" t="s">
        <v>3</v>
      </c>
      <c r="E2692">
        <v>1</v>
      </c>
      <c r="F2692" t="s">
        <v>4027</v>
      </c>
      <c r="G2692">
        <v>68</v>
      </c>
    </row>
    <row r="2693" spans="1:7" x14ac:dyDescent="0.2">
      <c r="A2693" s="2">
        <v>46014</v>
      </c>
      <c r="B2693" t="s">
        <v>3109</v>
      </c>
      <c r="C2693" t="s">
        <v>1</v>
      </c>
      <c r="D2693" t="s">
        <v>3</v>
      </c>
      <c r="E2693">
        <v>1</v>
      </c>
      <c r="F2693" t="s">
        <v>4027</v>
      </c>
      <c r="G2693">
        <v>80</v>
      </c>
    </row>
    <row r="2694" spans="1:7" x14ac:dyDescent="0.2">
      <c r="A2694" s="2">
        <v>46014</v>
      </c>
      <c r="B2694" t="s">
        <v>3112</v>
      </c>
      <c r="C2694" t="s">
        <v>1</v>
      </c>
      <c r="D2694" t="s">
        <v>3</v>
      </c>
      <c r="E2694">
        <v>1</v>
      </c>
      <c r="F2694" t="s">
        <v>4027</v>
      </c>
      <c r="G2694">
        <v>75</v>
      </c>
    </row>
    <row r="2695" spans="1:7" x14ac:dyDescent="0.2">
      <c r="A2695" s="2">
        <v>46015</v>
      </c>
      <c r="B2695" t="s">
        <v>3126</v>
      </c>
      <c r="C2695" t="s">
        <v>1</v>
      </c>
      <c r="D2695" t="s">
        <v>3</v>
      </c>
      <c r="E2695">
        <v>1</v>
      </c>
      <c r="F2695" t="s">
        <v>4027</v>
      </c>
      <c r="G2695">
        <v>86</v>
      </c>
    </row>
    <row r="2696" spans="1:7" x14ac:dyDescent="0.2">
      <c r="A2696" s="2">
        <v>46015</v>
      </c>
      <c r="B2696" t="s">
        <v>3125</v>
      </c>
      <c r="C2696" t="s">
        <v>1</v>
      </c>
      <c r="D2696" t="s">
        <v>3</v>
      </c>
      <c r="E2696">
        <v>1</v>
      </c>
      <c r="F2696" t="s">
        <v>4027</v>
      </c>
      <c r="G2696">
        <v>73</v>
      </c>
    </row>
    <row r="2697" spans="1:7" x14ac:dyDescent="0.2">
      <c r="A2697" s="2">
        <v>46015</v>
      </c>
      <c r="B2697" t="s">
        <v>3123</v>
      </c>
      <c r="C2697" t="s">
        <v>1</v>
      </c>
      <c r="D2697" t="s">
        <v>3</v>
      </c>
      <c r="E2697">
        <v>1</v>
      </c>
      <c r="F2697" t="s">
        <v>4027</v>
      </c>
      <c r="G2697">
        <v>74</v>
      </c>
    </row>
    <row r="2698" spans="1:7" x14ac:dyDescent="0.2">
      <c r="A2698" s="2">
        <v>46015</v>
      </c>
      <c r="B2698" t="s">
        <v>3122</v>
      </c>
      <c r="C2698" t="s">
        <v>1</v>
      </c>
      <c r="D2698" t="s">
        <v>3</v>
      </c>
      <c r="E2698">
        <v>1</v>
      </c>
      <c r="F2698" t="s">
        <v>4027</v>
      </c>
      <c r="G2698">
        <v>65</v>
      </c>
    </row>
    <row r="2699" spans="1:7" x14ac:dyDescent="0.2">
      <c r="A2699" s="2">
        <v>46015</v>
      </c>
      <c r="B2699" t="s">
        <v>3124</v>
      </c>
      <c r="C2699" t="s">
        <v>1</v>
      </c>
      <c r="D2699" t="s">
        <v>3</v>
      </c>
      <c r="E2699">
        <v>1</v>
      </c>
      <c r="F2699" t="s">
        <v>4027</v>
      </c>
      <c r="G2699">
        <v>75</v>
      </c>
    </row>
    <row r="2700" spans="1:7" x14ac:dyDescent="0.2">
      <c r="A2700" s="2">
        <v>46015</v>
      </c>
      <c r="B2700" t="s">
        <v>3119</v>
      </c>
      <c r="C2700" t="s">
        <v>1</v>
      </c>
      <c r="D2700" t="s">
        <v>3</v>
      </c>
      <c r="E2700">
        <v>1</v>
      </c>
      <c r="F2700" t="s">
        <v>4027</v>
      </c>
      <c r="G2700">
        <v>71</v>
      </c>
    </row>
    <row r="2701" spans="1:7" x14ac:dyDescent="0.2">
      <c r="A2701" s="2">
        <v>46015</v>
      </c>
      <c r="B2701" t="s">
        <v>3118</v>
      </c>
      <c r="C2701" t="s">
        <v>1</v>
      </c>
      <c r="D2701" t="s">
        <v>3</v>
      </c>
      <c r="E2701">
        <v>1</v>
      </c>
      <c r="F2701" t="s">
        <v>4027</v>
      </c>
      <c r="G2701">
        <v>81</v>
      </c>
    </row>
    <row r="2702" spans="1:7" x14ac:dyDescent="0.2">
      <c r="A2702" s="2">
        <v>46015</v>
      </c>
      <c r="B2702" t="s">
        <v>3663</v>
      </c>
      <c r="C2702" t="s">
        <v>2</v>
      </c>
      <c r="D2702" t="s">
        <v>4</v>
      </c>
      <c r="E2702">
        <v>1</v>
      </c>
      <c r="F2702" t="s">
        <v>600</v>
      </c>
      <c r="G2702">
        <v>22</v>
      </c>
    </row>
    <row r="2703" spans="1:7" x14ac:dyDescent="0.2">
      <c r="A2703" s="2">
        <v>46015</v>
      </c>
      <c r="B2703" t="s">
        <v>3664</v>
      </c>
      <c r="C2703" t="s">
        <v>2</v>
      </c>
      <c r="D2703" t="s">
        <v>4</v>
      </c>
      <c r="E2703">
        <v>1</v>
      </c>
      <c r="F2703" t="s">
        <v>600</v>
      </c>
      <c r="G2703">
        <v>22</v>
      </c>
    </row>
    <row r="2704" spans="1:7" x14ac:dyDescent="0.2">
      <c r="A2704" s="2">
        <v>46015</v>
      </c>
      <c r="B2704" t="s">
        <v>3121</v>
      </c>
      <c r="C2704" t="s">
        <v>1</v>
      </c>
      <c r="D2704" t="s">
        <v>3</v>
      </c>
      <c r="E2704">
        <v>1</v>
      </c>
      <c r="F2704" t="s">
        <v>4027</v>
      </c>
      <c r="G2704">
        <v>77</v>
      </c>
    </row>
    <row r="2705" spans="1:7" x14ac:dyDescent="0.2">
      <c r="A2705" s="2">
        <v>46015</v>
      </c>
      <c r="B2705" t="s">
        <v>3120</v>
      </c>
      <c r="C2705" t="s">
        <v>1</v>
      </c>
      <c r="D2705" t="s">
        <v>3</v>
      </c>
      <c r="E2705">
        <v>1</v>
      </c>
      <c r="F2705" t="s">
        <v>4027</v>
      </c>
      <c r="G2705">
        <v>60</v>
      </c>
    </row>
    <row r="2706" spans="1:7" x14ac:dyDescent="0.2">
      <c r="A2706" s="2">
        <v>46017</v>
      </c>
      <c r="B2706" t="s">
        <v>3127</v>
      </c>
      <c r="C2706" t="s">
        <v>1</v>
      </c>
      <c r="D2706" t="s">
        <v>3</v>
      </c>
      <c r="E2706">
        <v>1</v>
      </c>
      <c r="F2706" t="s">
        <v>4027</v>
      </c>
      <c r="G2706">
        <v>61</v>
      </c>
    </row>
    <row r="2707" spans="1:7" x14ac:dyDescent="0.2">
      <c r="A2707" s="2">
        <v>46017</v>
      </c>
      <c r="B2707" t="s">
        <v>3128</v>
      </c>
      <c r="C2707" t="s">
        <v>1</v>
      </c>
      <c r="D2707" t="s">
        <v>3</v>
      </c>
      <c r="E2707">
        <v>1</v>
      </c>
      <c r="F2707" t="s">
        <v>4027</v>
      </c>
      <c r="G2707">
        <v>66</v>
      </c>
    </row>
    <row r="2708" spans="1:7" x14ac:dyDescent="0.2">
      <c r="A2708" s="2">
        <v>46020</v>
      </c>
      <c r="B2708" t="s">
        <v>3134</v>
      </c>
      <c r="C2708" t="s">
        <v>1</v>
      </c>
      <c r="D2708" t="s">
        <v>3</v>
      </c>
      <c r="E2708">
        <v>1</v>
      </c>
      <c r="F2708" t="s">
        <v>4027</v>
      </c>
      <c r="G2708">
        <v>61</v>
      </c>
    </row>
    <row r="2709" spans="1:7" x14ac:dyDescent="0.2">
      <c r="A2709" s="2">
        <v>46020</v>
      </c>
      <c r="B2709" t="s">
        <v>3129</v>
      </c>
      <c r="C2709" t="s">
        <v>1</v>
      </c>
      <c r="D2709" t="s">
        <v>3</v>
      </c>
      <c r="E2709">
        <v>1</v>
      </c>
      <c r="F2709" t="s">
        <v>4027</v>
      </c>
      <c r="G2709">
        <v>64</v>
      </c>
    </row>
    <row r="2710" spans="1:7" x14ac:dyDescent="0.2">
      <c r="A2710" s="2">
        <v>46020</v>
      </c>
      <c r="B2710" t="s">
        <v>3130</v>
      </c>
      <c r="C2710" t="s">
        <v>1</v>
      </c>
      <c r="D2710" t="s">
        <v>3</v>
      </c>
      <c r="E2710">
        <v>1</v>
      </c>
      <c r="F2710" t="s">
        <v>4027</v>
      </c>
      <c r="G2710">
        <v>79</v>
      </c>
    </row>
    <row r="2711" spans="1:7" x14ac:dyDescent="0.2">
      <c r="A2711" s="2">
        <v>46020</v>
      </c>
      <c r="B2711" t="s">
        <v>3131</v>
      </c>
      <c r="C2711" t="s">
        <v>1</v>
      </c>
      <c r="D2711" t="s">
        <v>3</v>
      </c>
      <c r="E2711">
        <v>1</v>
      </c>
      <c r="F2711" t="s">
        <v>4027</v>
      </c>
      <c r="G2711">
        <v>86</v>
      </c>
    </row>
    <row r="2712" spans="1:7" x14ac:dyDescent="0.2">
      <c r="A2712" s="2">
        <v>46020</v>
      </c>
      <c r="B2712" t="s">
        <v>3132</v>
      </c>
      <c r="C2712" t="s">
        <v>1</v>
      </c>
      <c r="D2712" t="s">
        <v>3</v>
      </c>
      <c r="E2712">
        <v>1</v>
      </c>
      <c r="F2712" t="s">
        <v>4027</v>
      </c>
      <c r="G2712">
        <v>72</v>
      </c>
    </row>
    <row r="2713" spans="1:7" x14ac:dyDescent="0.2">
      <c r="A2713" s="2">
        <v>46020</v>
      </c>
      <c r="B2713" t="s">
        <v>3133</v>
      </c>
      <c r="C2713" t="s">
        <v>1</v>
      </c>
      <c r="D2713" t="s">
        <v>3</v>
      </c>
      <c r="E2713">
        <v>1</v>
      </c>
      <c r="F2713" t="s">
        <v>4027</v>
      </c>
      <c r="G2713">
        <v>77</v>
      </c>
    </row>
    <row r="2714" spans="1:7" x14ac:dyDescent="0.2">
      <c r="A2714" s="2">
        <v>46021</v>
      </c>
      <c r="B2714" t="s">
        <v>3136</v>
      </c>
      <c r="C2714" t="s">
        <v>1</v>
      </c>
      <c r="D2714" t="s">
        <v>3</v>
      </c>
      <c r="E2714">
        <v>1</v>
      </c>
      <c r="F2714" t="s">
        <v>4027</v>
      </c>
      <c r="G2714">
        <v>75</v>
      </c>
    </row>
    <row r="2715" spans="1:7" x14ac:dyDescent="0.2">
      <c r="A2715" s="2">
        <v>46021</v>
      </c>
      <c r="B2715" t="s">
        <v>3137</v>
      </c>
      <c r="C2715" t="s">
        <v>1</v>
      </c>
      <c r="D2715" t="s">
        <v>3</v>
      </c>
      <c r="E2715">
        <v>1</v>
      </c>
      <c r="F2715" t="s">
        <v>4027</v>
      </c>
      <c r="G2715">
        <v>70</v>
      </c>
    </row>
    <row r="2716" spans="1:7" x14ac:dyDescent="0.2">
      <c r="A2716" s="2">
        <v>46021</v>
      </c>
      <c r="B2716" t="s">
        <v>3141</v>
      </c>
      <c r="C2716" t="s">
        <v>1</v>
      </c>
      <c r="D2716" t="s">
        <v>3</v>
      </c>
      <c r="E2716">
        <v>1</v>
      </c>
      <c r="F2716" t="s">
        <v>4027</v>
      </c>
      <c r="G2716">
        <v>74</v>
      </c>
    </row>
    <row r="2717" spans="1:7" x14ac:dyDescent="0.2">
      <c r="A2717" s="2">
        <v>46021</v>
      </c>
      <c r="B2717" t="s">
        <v>3140</v>
      </c>
      <c r="C2717" t="s">
        <v>1</v>
      </c>
      <c r="D2717" t="s">
        <v>3</v>
      </c>
      <c r="E2717">
        <v>1</v>
      </c>
      <c r="F2717" t="s">
        <v>4027</v>
      </c>
      <c r="G2717">
        <v>85</v>
      </c>
    </row>
    <row r="2718" spans="1:7" x14ac:dyDescent="0.2">
      <c r="A2718" s="2">
        <v>46021</v>
      </c>
      <c r="B2718" t="s">
        <v>3135</v>
      </c>
      <c r="C2718" t="s">
        <v>1</v>
      </c>
      <c r="D2718" t="s">
        <v>3</v>
      </c>
      <c r="E2718">
        <v>1</v>
      </c>
      <c r="F2718" t="s">
        <v>4027</v>
      </c>
      <c r="G2718">
        <v>68</v>
      </c>
    </row>
    <row r="2719" spans="1:7" x14ac:dyDescent="0.2">
      <c r="A2719" s="2">
        <v>46021</v>
      </c>
      <c r="B2719" t="s">
        <v>3138</v>
      </c>
      <c r="C2719" t="s">
        <v>1</v>
      </c>
      <c r="D2719" t="s">
        <v>3</v>
      </c>
      <c r="E2719">
        <v>1</v>
      </c>
      <c r="F2719" t="s">
        <v>4027</v>
      </c>
      <c r="G2719">
        <v>62</v>
      </c>
    </row>
    <row r="2720" spans="1:7" x14ac:dyDescent="0.2">
      <c r="A2720" s="2">
        <v>46021</v>
      </c>
      <c r="B2720" t="s">
        <v>3139</v>
      </c>
      <c r="C2720" t="s">
        <v>1</v>
      </c>
      <c r="D2720" t="s">
        <v>3</v>
      </c>
      <c r="E2720">
        <v>1</v>
      </c>
      <c r="F2720" t="s">
        <v>4027</v>
      </c>
      <c r="G2720">
        <v>71</v>
      </c>
    </row>
    <row r="2721" spans="1:7" x14ac:dyDescent="0.2">
      <c r="A2721" s="2">
        <v>46022</v>
      </c>
      <c r="B2721" t="s">
        <v>3142</v>
      </c>
      <c r="C2721" t="s">
        <v>1</v>
      </c>
      <c r="D2721" t="s">
        <v>3</v>
      </c>
      <c r="E2721">
        <v>1</v>
      </c>
      <c r="F2721" t="s">
        <v>4027</v>
      </c>
      <c r="G2721">
        <v>88</v>
      </c>
    </row>
    <row r="2722" spans="1:7" x14ac:dyDescent="0.2">
      <c r="A2722" s="2">
        <v>46022</v>
      </c>
      <c r="B2722" t="s">
        <v>3143</v>
      </c>
      <c r="C2722" t="s">
        <v>1</v>
      </c>
      <c r="D2722" t="s">
        <v>3</v>
      </c>
      <c r="E2722">
        <v>1</v>
      </c>
      <c r="F2722" t="s">
        <v>4027</v>
      </c>
      <c r="G2722">
        <v>77</v>
      </c>
    </row>
    <row r="2723" spans="1:7" x14ac:dyDescent="0.2">
      <c r="A2723" s="2">
        <v>46022</v>
      </c>
      <c r="B2723" t="s">
        <v>3144</v>
      </c>
      <c r="C2723" t="s">
        <v>1</v>
      </c>
      <c r="D2723" t="s">
        <v>3</v>
      </c>
      <c r="E2723">
        <v>1</v>
      </c>
      <c r="F2723" t="s">
        <v>4027</v>
      </c>
      <c r="G2723">
        <v>72</v>
      </c>
    </row>
    <row r="2724" spans="1:7" x14ac:dyDescent="0.2">
      <c r="A2724" s="2">
        <v>46022</v>
      </c>
      <c r="B2724" t="s">
        <v>3145</v>
      </c>
      <c r="C2724" t="s">
        <v>1</v>
      </c>
      <c r="D2724" t="s">
        <v>3</v>
      </c>
      <c r="E2724">
        <v>1</v>
      </c>
      <c r="F2724" t="s">
        <v>4027</v>
      </c>
      <c r="G2724">
        <v>63</v>
      </c>
    </row>
    <row r="2725" spans="1:7" x14ac:dyDescent="0.2">
      <c r="A2725" s="2">
        <v>46027</v>
      </c>
      <c r="B2725" t="s">
        <v>3158</v>
      </c>
      <c r="C2725" t="s">
        <v>1</v>
      </c>
      <c r="D2725" t="s">
        <v>3</v>
      </c>
      <c r="E2725">
        <v>1</v>
      </c>
      <c r="F2725" t="s">
        <v>4027</v>
      </c>
      <c r="G2725">
        <v>72</v>
      </c>
    </row>
    <row r="2726" spans="1:7" x14ac:dyDescent="0.2">
      <c r="A2726" s="2">
        <v>46027</v>
      </c>
      <c r="B2726" t="s">
        <v>3156</v>
      </c>
      <c r="C2726" t="s">
        <v>1</v>
      </c>
      <c r="D2726" t="s">
        <v>3</v>
      </c>
      <c r="E2726">
        <v>1</v>
      </c>
      <c r="F2726" t="s">
        <v>4027</v>
      </c>
      <c r="G2726">
        <v>84</v>
      </c>
    </row>
    <row r="2727" spans="1:7" x14ac:dyDescent="0.2">
      <c r="A2727" s="2">
        <v>46027</v>
      </c>
      <c r="B2727" t="s">
        <v>3155</v>
      </c>
      <c r="C2727" t="s">
        <v>1</v>
      </c>
      <c r="D2727" t="s">
        <v>3</v>
      </c>
      <c r="E2727">
        <v>1</v>
      </c>
      <c r="F2727" t="s">
        <v>4027</v>
      </c>
      <c r="G2727">
        <v>65</v>
      </c>
    </row>
    <row r="2728" spans="1:7" x14ac:dyDescent="0.2">
      <c r="A2728" s="2">
        <v>46027</v>
      </c>
      <c r="B2728" t="s">
        <v>3154</v>
      </c>
      <c r="C2728" t="s">
        <v>1</v>
      </c>
      <c r="D2728" t="s">
        <v>3</v>
      </c>
      <c r="E2728">
        <v>1</v>
      </c>
      <c r="F2728" t="s">
        <v>4027</v>
      </c>
      <c r="G2728">
        <v>61</v>
      </c>
    </row>
    <row r="2729" spans="1:7" x14ac:dyDescent="0.2">
      <c r="A2729" s="2">
        <v>46027</v>
      </c>
      <c r="B2729" t="s">
        <v>3153</v>
      </c>
      <c r="C2729" t="s">
        <v>1</v>
      </c>
      <c r="D2729" t="s">
        <v>3</v>
      </c>
      <c r="E2729">
        <v>1</v>
      </c>
      <c r="F2729" t="s">
        <v>4027</v>
      </c>
      <c r="G2729">
        <v>74</v>
      </c>
    </row>
    <row r="2730" spans="1:7" x14ac:dyDescent="0.2">
      <c r="A2730" s="2">
        <v>46027</v>
      </c>
      <c r="B2730" t="s">
        <v>3159</v>
      </c>
      <c r="C2730" t="s">
        <v>1</v>
      </c>
      <c r="D2730" t="s">
        <v>3</v>
      </c>
      <c r="E2730">
        <v>1</v>
      </c>
      <c r="F2730" t="s">
        <v>4027</v>
      </c>
      <c r="G2730">
        <v>83</v>
      </c>
    </row>
    <row r="2731" spans="1:7" x14ac:dyDescent="0.2">
      <c r="A2731" s="2">
        <v>46027</v>
      </c>
      <c r="B2731" t="s">
        <v>3151</v>
      </c>
      <c r="C2731" t="s">
        <v>1</v>
      </c>
      <c r="D2731" t="s">
        <v>3</v>
      </c>
      <c r="E2731">
        <v>1</v>
      </c>
      <c r="F2731" t="s">
        <v>4027</v>
      </c>
      <c r="G2731">
        <v>87</v>
      </c>
    </row>
    <row r="2732" spans="1:7" x14ac:dyDescent="0.2">
      <c r="A2732" s="2">
        <v>46027</v>
      </c>
      <c r="B2732" t="s">
        <v>3152</v>
      </c>
      <c r="C2732" t="s">
        <v>1</v>
      </c>
      <c r="D2732" t="s">
        <v>3</v>
      </c>
      <c r="E2732">
        <v>1</v>
      </c>
      <c r="F2732" t="s">
        <v>4027</v>
      </c>
      <c r="G2732">
        <v>67</v>
      </c>
    </row>
    <row r="2733" spans="1:7" x14ac:dyDescent="0.2">
      <c r="A2733" s="2">
        <v>46027</v>
      </c>
      <c r="B2733" t="s">
        <v>3146</v>
      </c>
      <c r="C2733" t="s">
        <v>1</v>
      </c>
      <c r="D2733" t="s">
        <v>3</v>
      </c>
      <c r="E2733">
        <v>1</v>
      </c>
      <c r="F2733" t="s">
        <v>4027</v>
      </c>
      <c r="G2733">
        <v>69</v>
      </c>
    </row>
    <row r="2734" spans="1:7" x14ac:dyDescent="0.2">
      <c r="A2734" s="2">
        <v>46027</v>
      </c>
      <c r="B2734" t="s">
        <v>3147</v>
      </c>
      <c r="C2734" t="s">
        <v>1</v>
      </c>
      <c r="D2734" t="s">
        <v>3</v>
      </c>
      <c r="E2734">
        <v>1</v>
      </c>
      <c r="F2734" t="s">
        <v>4027</v>
      </c>
      <c r="G2734">
        <v>62</v>
      </c>
    </row>
    <row r="2735" spans="1:7" x14ac:dyDescent="0.2">
      <c r="A2735" s="2">
        <v>46027</v>
      </c>
      <c r="B2735" t="s">
        <v>3157</v>
      </c>
      <c r="C2735" t="s">
        <v>1</v>
      </c>
      <c r="D2735" t="s">
        <v>3</v>
      </c>
      <c r="E2735">
        <v>1</v>
      </c>
      <c r="F2735" t="s">
        <v>4027</v>
      </c>
      <c r="G2735">
        <v>86</v>
      </c>
    </row>
    <row r="2736" spans="1:7" x14ac:dyDescent="0.2">
      <c r="A2736" s="2">
        <v>46027</v>
      </c>
      <c r="B2736" t="s">
        <v>3148</v>
      </c>
      <c r="C2736" t="s">
        <v>1</v>
      </c>
      <c r="D2736" t="s">
        <v>3</v>
      </c>
      <c r="E2736">
        <v>1</v>
      </c>
      <c r="F2736" t="s">
        <v>4027</v>
      </c>
      <c r="G2736">
        <v>71</v>
      </c>
    </row>
    <row r="2737" spans="1:7" x14ac:dyDescent="0.2">
      <c r="A2737" s="2">
        <v>46027</v>
      </c>
      <c r="B2737" t="s">
        <v>3149</v>
      </c>
      <c r="C2737" t="s">
        <v>1</v>
      </c>
      <c r="D2737" t="s">
        <v>3</v>
      </c>
      <c r="E2737">
        <v>1</v>
      </c>
      <c r="F2737" t="s">
        <v>4027</v>
      </c>
      <c r="G2737">
        <v>85</v>
      </c>
    </row>
    <row r="2738" spans="1:7" x14ac:dyDescent="0.2">
      <c r="A2738" s="2">
        <v>46027</v>
      </c>
      <c r="B2738" t="s">
        <v>3150</v>
      </c>
      <c r="C2738" t="s">
        <v>1</v>
      </c>
      <c r="D2738" t="s">
        <v>3</v>
      </c>
      <c r="E2738">
        <v>1</v>
      </c>
      <c r="F2738" t="s">
        <v>4027</v>
      </c>
      <c r="G2738">
        <v>76</v>
      </c>
    </row>
    <row r="2739" spans="1:7" x14ac:dyDescent="0.2">
      <c r="A2739" s="2">
        <v>46028</v>
      </c>
      <c r="B2739" t="s">
        <v>3169</v>
      </c>
      <c r="C2739" t="s">
        <v>1</v>
      </c>
      <c r="D2739" t="s">
        <v>3</v>
      </c>
      <c r="E2739">
        <v>1</v>
      </c>
      <c r="F2739" t="s">
        <v>4027</v>
      </c>
      <c r="G2739">
        <v>83</v>
      </c>
    </row>
    <row r="2740" spans="1:7" x14ac:dyDescent="0.2">
      <c r="A2740" s="2">
        <v>46028</v>
      </c>
      <c r="B2740" t="s">
        <v>3168</v>
      </c>
      <c r="C2740" t="s">
        <v>1</v>
      </c>
      <c r="D2740" t="s">
        <v>3</v>
      </c>
      <c r="E2740">
        <v>1</v>
      </c>
      <c r="F2740" t="s">
        <v>4027</v>
      </c>
      <c r="G2740">
        <v>89</v>
      </c>
    </row>
    <row r="2741" spans="1:7" x14ac:dyDescent="0.2">
      <c r="A2741" s="2">
        <v>46028</v>
      </c>
      <c r="B2741" t="s">
        <v>3166</v>
      </c>
      <c r="C2741" t="s">
        <v>1</v>
      </c>
      <c r="D2741" t="s">
        <v>3</v>
      </c>
      <c r="E2741">
        <v>1</v>
      </c>
      <c r="F2741" t="s">
        <v>4027</v>
      </c>
      <c r="G2741">
        <v>72</v>
      </c>
    </row>
    <row r="2742" spans="1:7" x14ac:dyDescent="0.2">
      <c r="A2742" s="2">
        <v>46028</v>
      </c>
      <c r="B2742" t="s">
        <v>3167</v>
      </c>
      <c r="C2742" t="s">
        <v>1</v>
      </c>
      <c r="D2742" t="s">
        <v>3</v>
      </c>
      <c r="E2742">
        <v>1</v>
      </c>
      <c r="F2742" t="s">
        <v>4027</v>
      </c>
      <c r="G2742">
        <v>81</v>
      </c>
    </row>
    <row r="2743" spans="1:7" x14ac:dyDescent="0.2">
      <c r="A2743" s="2">
        <v>46028</v>
      </c>
      <c r="B2743" t="s">
        <v>3163</v>
      </c>
      <c r="C2743" t="s">
        <v>1</v>
      </c>
      <c r="D2743" t="s">
        <v>3</v>
      </c>
      <c r="E2743">
        <v>1</v>
      </c>
      <c r="F2743" t="s">
        <v>4027</v>
      </c>
      <c r="G2743">
        <v>70</v>
      </c>
    </row>
    <row r="2744" spans="1:7" x14ac:dyDescent="0.2">
      <c r="A2744" s="2">
        <v>46028</v>
      </c>
      <c r="B2744" t="s">
        <v>3162</v>
      </c>
      <c r="C2744" t="s">
        <v>1</v>
      </c>
      <c r="D2744" t="s">
        <v>3</v>
      </c>
      <c r="E2744">
        <v>1</v>
      </c>
      <c r="F2744" t="s">
        <v>4027</v>
      </c>
      <c r="G2744">
        <v>61</v>
      </c>
    </row>
    <row r="2745" spans="1:7" x14ac:dyDescent="0.2">
      <c r="A2745" s="2">
        <v>46028</v>
      </c>
      <c r="B2745" t="s">
        <v>3161</v>
      </c>
      <c r="C2745" t="s">
        <v>1</v>
      </c>
      <c r="D2745" t="s">
        <v>3</v>
      </c>
      <c r="E2745">
        <v>1</v>
      </c>
      <c r="F2745" t="s">
        <v>4027</v>
      </c>
      <c r="G2745">
        <v>65</v>
      </c>
    </row>
    <row r="2746" spans="1:7" x14ac:dyDescent="0.2">
      <c r="A2746" s="2">
        <v>46028</v>
      </c>
      <c r="B2746" t="s">
        <v>3160</v>
      </c>
      <c r="C2746" t="s">
        <v>1</v>
      </c>
      <c r="D2746" t="s">
        <v>3</v>
      </c>
      <c r="E2746">
        <v>1</v>
      </c>
      <c r="F2746" t="s">
        <v>4027</v>
      </c>
      <c r="G2746">
        <v>86</v>
      </c>
    </row>
    <row r="2747" spans="1:7" x14ac:dyDescent="0.2">
      <c r="A2747" s="2">
        <v>46028</v>
      </c>
      <c r="B2747" t="s">
        <v>3164</v>
      </c>
      <c r="C2747" t="s">
        <v>1</v>
      </c>
      <c r="D2747" t="s">
        <v>3</v>
      </c>
      <c r="E2747">
        <v>1</v>
      </c>
      <c r="F2747" t="s">
        <v>4027</v>
      </c>
      <c r="G2747">
        <v>78</v>
      </c>
    </row>
    <row r="2748" spans="1:7" x14ac:dyDescent="0.2">
      <c r="A2748" s="2">
        <v>46028</v>
      </c>
      <c r="B2748" t="s">
        <v>3165</v>
      </c>
      <c r="C2748" t="s">
        <v>1</v>
      </c>
      <c r="D2748" t="s">
        <v>3</v>
      </c>
      <c r="E2748">
        <v>1</v>
      </c>
      <c r="F2748" t="s">
        <v>4027</v>
      </c>
      <c r="G2748">
        <v>78</v>
      </c>
    </row>
    <row r="2749" spans="1:7" x14ac:dyDescent="0.2">
      <c r="A2749" s="2">
        <v>46029</v>
      </c>
      <c r="B2749" t="s">
        <v>3179</v>
      </c>
      <c r="C2749" t="s">
        <v>1</v>
      </c>
      <c r="D2749" t="s">
        <v>3</v>
      </c>
      <c r="E2749">
        <v>1</v>
      </c>
      <c r="F2749" t="s">
        <v>4027</v>
      </c>
      <c r="G2749">
        <v>86</v>
      </c>
    </row>
    <row r="2750" spans="1:7" x14ac:dyDescent="0.2">
      <c r="A2750" s="2">
        <v>46029</v>
      </c>
      <c r="B2750" t="s">
        <v>3665</v>
      </c>
      <c r="C2750" t="s">
        <v>2</v>
      </c>
      <c r="D2750" t="s">
        <v>4</v>
      </c>
      <c r="E2750">
        <v>1</v>
      </c>
      <c r="F2750" t="s">
        <v>600</v>
      </c>
      <c r="G2750">
        <v>22</v>
      </c>
    </row>
    <row r="2751" spans="1:7" x14ac:dyDescent="0.2">
      <c r="A2751" s="2">
        <v>46029</v>
      </c>
      <c r="B2751" t="s">
        <v>3666</v>
      </c>
      <c r="C2751" t="s">
        <v>2</v>
      </c>
      <c r="D2751" t="s">
        <v>4</v>
      </c>
      <c r="E2751">
        <v>1</v>
      </c>
      <c r="F2751" t="s">
        <v>600</v>
      </c>
      <c r="G2751">
        <v>22</v>
      </c>
    </row>
    <row r="2752" spans="1:7" x14ac:dyDescent="0.2">
      <c r="A2752" s="2">
        <v>46029</v>
      </c>
      <c r="B2752" t="s">
        <v>3667</v>
      </c>
      <c r="C2752" t="s">
        <v>2</v>
      </c>
      <c r="D2752" t="s">
        <v>4</v>
      </c>
      <c r="E2752">
        <v>1</v>
      </c>
      <c r="F2752" t="s">
        <v>600</v>
      </c>
      <c r="G2752">
        <v>22</v>
      </c>
    </row>
    <row r="2753" spans="1:7" x14ac:dyDescent="0.2">
      <c r="A2753" s="2">
        <v>46029</v>
      </c>
      <c r="B2753" t="s">
        <v>3668</v>
      </c>
      <c r="C2753" t="s">
        <v>2</v>
      </c>
      <c r="D2753" t="s">
        <v>4</v>
      </c>
      <c r="E2753">
        <v>1</v>
      </c>
      <c r="F2753" t="s">
        <v>600</v>
      </c>
      <c r="G2753">
        <v>22</v>
      </c>
    </row>
    <row r="2754" spans="1:7" x14ac:dyDescent="0.2">
      <c r="A2754" s="2">
        <v>46029</v>
      </c>
      <c r="B2754" t="s">
        <v>3181</v>
      </c>
      <c r="C2754" t="s">
        <v>1</v>
      </c>
      <c r="D2754" t="s">
        <v>3</v>
      </c>
      <c r="E2754">
        <v>1</v>
      </c>
      <c r="F2754" t="s">
        <v>4027</v>
      </c>
      <c r="G2754">
        <v>75</v>
      </c>
    </row>
    <row r="2755" spans="1:7" x14ac:dyDescent="0.2">
      <c r="A2755" s="2">
        <v>46029</v>
      </c>
      <c r="B2755" t="s">
        <v>3180</v>
      </c>
      <c r="C2755" t="s">
        <v>1</v>
      </c>
      <c r="D2755" t="s">
        <v>3</v>
      </c>
      <c r="E2755">
        <v>1</v>
      </c>
      <c r="F2755" t="s">
        <v>4027</v>
      </c>
      <c r="G2755">
        <v>72</v>
      </c>
    </row>
    <row r="2756" spans="1:7" x14ac:dyDescent="0.2">
      <c r="A2756" s="2">
        <v>46029</v>
      </c>
      <c r="B2756" t="s">
        <v>3177</v>
      </c>
      <c r="C2756" t="s">
        <v>1</v>
      </c>
      <c r="D2756" t="s">
        <v>3</v>
      </c>
      <c r="E2756">
        <v>1</v>
      </c>
      <c r="F2756" t="s">
        <v>4027</v>
      </c>
      <c r="G2756">
        <v>77</v>
      </c>
    </row>
    <row r="2757" spans="1:7" x14ac:dyDescent="0.2">
      <c r="A2757" s="2">
        <v>46029</v>
      </c>
      <c r="B2757" t="s">
        <v>3176</v>
      </c>
      <c r="C2757" t="s">
        <v>1</v>
      </c>
      <c r="D2757" t="s">
        <v>3</v>
      </c>
      <c r="E2757">
        <v>1</v>
      </c>
      <c r="F2757" t="s">
        <v>4027</v>
      </c>
      <c r="G2757">
        <v>80</v>
      </c>
    </row>
    <row r="2758" spans="1:7" x14ac:dyDescent="0.2">
      <c r="A2758" s="2">
        <v>46029</v>
      </c>
      <c r="B2758" t="s">
        <v>3175</v>
      </c>
      <c r="C2758" t="s">
        <v>1</v>
      </c>
      <c r="D2758" t="s">
        <v>3</v>
      </c>
      <c r="E2758">
        <v>1</v>
      </c>
      <c r="F2758" t="s">
        <v>4027</v>
      </c>
      <c r="G2758">
        <v>88</v>
      </c>
    </row>
    <row r="2759" spans="1:7" x14ac:dyDescent="0.2">
      <c r="A2759" s="2">
        <v>46029</v>
      </c>
      <c r="B2759" t="s">
        <v>3174</v>
      </c>
      <c r="C2759" t="s">
        <v>1</v>
      </c>
      <c r="D2759" t="s">
        <v>3</v>
      </c>
      <c r="E2759">
        <v>1</v>
      </c>
      <c r="F2759" t="s">
        <v>4027</v>
      </c>
      <c r="G2759">
        <v>71</v>
      </c>
    </row>
    <row r="2760" spans="1:7" x14ac:dyDescent="0.2">
      <c r="A2760" s="2">
        <v>46029</v>
      </c>
      <c r="B2760" t="s">
        <v>3170</v>
      </c>
      <c r="C2760" t="s">
        <v>1</v>
      </c>
      <c r="D2760" t="s">
        <v>3</v>
      </c>
      <c r="E2760">
        <v>1</v>
      </c>
      <c r="F2760" t="s">
        <v>4027</v>
      </c>
      <c r="G2760">
        <v>86</v>
      </c>
    </row>
    <row r="2761" spans="1:7" x14ac:dyDescent="0.2">
      <c r="A2761" s="2">
        <v>46029</v>
      </c>
      <c r="B2761" t="s">
        <v>3171</v>
      </c>
      <c r="C2761" t="s">
        <v>1</v>
      </c>
      <c r="D2761" t="s">
        <v>3</v>
      </c>
      <c r="E2761">
        <v>1</v>
      </c>
      <c r="F2761" t="s">
        <v>4027</v>
      </c>
      <c r="G2761">
        <v>67</v>
      </c>
    </row>
    <row r="2762" spans="1:7" x14ac:dyDescent="0.2">
      <c r="A2762" s="2">
        <v>46029</v>
      </c>
      <c r="B2762" t="s">
        <v>3172</v>
      </c>
      <c r="C2762" t="s">
        <v>1</v>
      </c>
      <c r="D2762" t="s">
        <v>3</v>
      </c>
      <c r="E2762">
        <v>1</v>
      </c>
      <c r="F2762" t="s">
        <v>4027</v>
      </c>
      <c r="G2762">
        <v>81</v>
      </c>
    </row>
    <row r="2763" spans="1:7" x14ac:dyDescent="0.2">
      <c r="A2763" s="2">
        <v>46029</v>
      </c>
      <c r="B2763" t="s">
        <v>3173</v>
      </c>
      <c r="C2763" t="s">
        <v>1</v>
      </c>
      <c r="D2763" t="s">
        <v>3</v>
      </c>
      <c r="E2763">
        <v>1</v>
      </c>
      <c r="F2763" t="s">
        <v>4027</v>
      </c>
      <c r="G2763">
        <v>71</v>
      </c>
    </row>
    <row r="2764" spans="1:7" x14ac:dyDescent="0.2">
      <c r="A2764" s="2">
        <v>46029</v>
      </c>
      <c r="B2764" t="s">
        <v>3178</v>
      </c>
      <c r="C2764" t="s">
        <v>1</v>
      </c>
      <c r="D2764" t="s">
        <v>3</v>
      </c>
      <c r="E2764">
        <v>1</v>
      </c>
      <c r="F2764" t="s">
        <v>4027</v>
      </c>
      <c r="G2764">
        <v>88</v>
      </c>
    </row>
    <row r="2765" spans="1:7" x14ac:dyDescent="0.2">
      <c r="A2765" s="2">
        <v>46030</v>
      </c>
      <c r="B2765" t="s">
        <v>3192</v>
      </c>
      <c r="C2765" t="s">
        <v>1</v>
      </c>
      <c r="D2765" t="s">
        <v>3</v>
      </c>
      <c r="E2765">
        <v>1</v>
      </c>
      <c r="F2765" t="s">
        <v>4027</v>
      </c>
      <c r="G2765">
        <v>72</v>
      </c>
    </row>
    <row r="2766" spans="1:7" x14ac:dyDescent="0.2">
      <c r="A2766" s="2">
        <v>46030</v>
      </c>
      <c r="B2766" t="s">
        <v>3191</v>
      </c>
      <c r="C2766" t="s">
        <v>1</v>
      </c>
      <c r="D2766" t="s">
        <v>3</v>
      </c>
      <c r="E2766">
        <v>1</v>
      </c>
      <c r="F2766" t="s">
        <v>4027</v>
      </c>
      <c r="G2766">
        <v>78</v>
      </c>
    </row>
    <row r="2767" spans="1:7" x14ac:dyDescent="0.2">
      <c r="A2767" s="2">
        <v>46030</v>
      </c>
      <c r="B2767" t="s">
        <v>3187</v>
      </c>
      <c r="C2767" t="s">
        <v>1</v>
      </c>
      <c r="D2767" t="s">
        <v>3</v>
      </c>
      <c r="E2767">
        <v>1</v>
      </c>
      <c r="F2767" t="s">
        <v>4027</v>
      </c>
      <c r="G2767">
        <v>75</v>
      </c>
    </row>
    <row r="2768" spans="1:7" x14ac:dyDescent="0.2">
      <c r="A2768" s="2">
        <v>46030</v>
      </c>
      <c r="B2768" t="s">
        <v>3189</v>
      </c>
      <c r="C2768" t="s">
        <v>1</v>
      </c>
      <c r="D2768" t="s">
        <v>3</v>
      </c>
      <c r="E2768">
        <v>1</v>
      </c>
      <c r="F2768" t="s">
        <v>4027</v>
      </c>
      <c r="G2768">
        <v>80</v>
      </c>
    </row>
    <row r="2769" spans="1:7" x14ac:dyDescent="0.2">
      <c r="A2769" s="2">
        <v>46030</v>
      </c>
      <c r="B2769" t="s">
        <v>3190</v>
      </c>
      <c r="C2769" t="s">
        <v>1</v>
      </c>
      <c r="D2769" t="s">
        <v>3</v>
      </c>
      <c r="E2769">
        <v>1</v>
      </c>
      <c r="F2769" t="s">
        <v>4027</v>
      </c>
      <c r="G2769">
        <v>70</v>
      </c>
    </row>
    <row r="2770" spans="1:7" x14ac:dyDescent="0.2">
      <c r="A2770" s="2">
        <v>46030</v>
      </c>
      <c r="B2770" t="s">
        <v>3185</v>
      </c>
      <c r="C2770" t="s">
        <v>1</v>
      </c>
      <c r="D2770" t="s">
        <v>3</v>
      </c>
      <c r="E2770">
        <v>1</v>
      </c>
      <c r="F2770" t="s">
        <v>4027</v>
      </c>
      <c r="G2770">
        <v>75</v>
      </c>
    </row>
    <row r="2771" spans="1:7" x14ac:dyDescent="0.2">
      <c r="A2771" s="2">
        <v>46030</v>
      </c>
      <c r="B2771" t="s">
        <v>3184</v>
      </c>
      <c r="C2771" t="s">
        <v>1</v>
      </c>
      <c r="D2771" t="s">
        <v>3</v>
      </c>
      <c r="E2771">
        <v>1</v>
      </c>
      <c r="F2771" t="s">
        <v>4027</v>
      </c>
      <c r="G2771">
        <v>63</v>
      </c>
    </row>
    <row r="2772" spans="1:7" x14ac:dyDescent="0.2">
      <c r="A2772" s="2">
        <v>46030</v>
      </c>
      <c r="B2772" t="s">
        <v>3183</v>
      </c>
      <c r="C2772" t="s">
        <v>1</v>
      </c>
      <c r="D2772" t="s">
        <v>3</v>
      </c>
      <c r="E2772">
        <v>1</v>
      </c>
      <c r="F2772" t="s">
        <v>4027</v>
      </c>
      <c r="G2772">
        <v>60</v>
      </c>
    </row>
    <row r="2773" spans="1:7" x14ac:dyDescent="0.2">
      <c r="A2773" s="2">
        <v>46030</v>
      </c>
      <c r="B2773" t="s">
        <v>3182</v>
      </c>
      <c r="C2773" t="s">
        <v>1</v>
      </c>
      <c r="D2773" t="s">
        <v>3</v>
      </c>
      <c r="E2773">
        <v>1</v>
      </c>
      <c r="F2773" t="s">
        <v>4027</v>
      </c>
      <c r="G2773">
        <v>61</v>
      </c>
    </row>
    <row r="2774" spans="1:7" x14ac:dyDescent="0.2">
      <c r="A2774" s="2">
        <v>46030</v>
      </c>
      <c r="B2774" t="s">
        <v>3186</v>
      </c>
      <c r="C2774" t="s">
        <v>1</v>
      </c>
      <c r="D2774" t="s">
        <v>3</v>
      </c>
      <c r="E2774">
        <v>1</v>
      </c>
      <c r="F2774" t="s">
        <v>4027</v>
      </c>
      <c r="G2774">
        <v>74</v>
      </c>
    </row>
    <row r="2775" spans="1:7" x14ac:dyDescent="0.2">
      <c r="A2775" s="2">
        <v>46030</v>
      </c>
      <c r="B2775" t="s">
        <v>3188</v>
      </c>
      <c r="C2775" t="s">
        <v>1</v>
      </c>
      <c r="D2775" t="s">
        <v>3</v>
      </c>
      <c r="E2775">
        <v>1</v>
      </c>
      <c r="F2775" t="s">
        <v>4027</v>
      </c>
      <c r="G2775">
        <v>66</v>
      </c>
    </row>
    <row r="2776" spans="1:7" x14ac:dyDescent="0.2">
      <c r="A2776" s="2">
        <v>46031</v>
      </c>
      <c r="B2776" t="s">
        <v>3196</v>
      </c>
      <c r="C2776" t="s">
        <v>1</v>
      </c>
      <c r="D2776" t="s">
        <v>3</v>
      </c>
      <c r="E2776">
        <v>1</v>
      </c>
      <c r="F2776" t="s">
        <v>4027</v>
      </c>
      <c r="G2776">
        <v>76</v>
      </c>
    </row>
    <row r="2777" spans="1:7" x14ac:dyDescent="0.2">
      <c r="A2777" s="2">
        <v>46031</v>
      </c>
      <c r="B2777" t="s">
        <v>3671</v>
      </c>
      <c r="C2777" t="s">
        <v>2</v>
      </c>
      <c r="D2777" t="s">
        <v>4</v>
      </c>
      <c r="E2777">
        <v>1</v>
      </c>
      <c r="F2777" t="s">
        <v>600</v>
      </c>
      <c r="G2777">
        <v>22</v>
      </c>
    </row>
    <row r="2778" spans="1:7" x14ac:dyDescent="0.2">
      <c r="A2778" s="2">
        <v>46031</v>
      </c>
      <c r="B2778" t="s">
        <v>3195</v>
      </c>
      <c r="C2778" t="s">
        <v>1</v>
      </c>
      <c r="D2778" t="s">
        <v>3</v>
      </c>
      <c r="E2778">
        <v>1</v>
      </c>
      <c r="F2778" t="s">
        <v>4027</v>
      </c>
      <c r="G2778">
        <v>66</v>
      </c>
    </row>
    <row r="2779" spans="1:7" x14ac:dyDescent="0.2">
      <c r="A2779" s="2">
        <v>46031</v>
      </c>
      <c r="B2779" t="s">
        <v>3194</v>
      </c>
      <c r="C2779" t="s">
        <v>1</v>
      </c>
      <c r="D2779" t="s">
        <v>3</v>
      </c>
      <c r="E2779">
        <v>1</v>
      </c>
      <c r="F2779" t="s">
        <v>4027</v>
      </c>
      <c r="G2779">
        <v>81</v>
      </c>
    </row>
    <row r="2780" spans="1:7" x14ac:dyDescent="0.2">
      <c r="A2780" s="2">
        <v>46031</v>
      </c>
      <c r="B2780" t="s">
        <v>3193</v>
      </c>
      <c r="C2780" t="s">
        <v>1</v>
      </c>
      <c r="D2780" t="s">
        <v>3</v>
      </c>
      <c r="E2780">
        <v>1</v>
      </c>
      <c r="F2780" t="s">
        <v>4027</v>
      </c>
      <c r="G2780">
        <v>65</v>
      </c>
    </row>
    <row r="2781" spans="1:7" x14ac:dyDescent="0.2">
      <c r="A2781" s="2">
        <v>46031</v>
      </c>
      <c r="B2781" t="s">
        <v>3669</v>
      </c>
      <c r="C2781" t="s">
        <v>2</v>
      </c>
      <c r="D2781" t="s">
        <v>4</v>
      </c>
      <c r="E2781">
        <v>1</v>
      </c>
      <c r="F2781" t="s">
        <v>600</v>
      </c>
      <c r="G2781">
        <v>22</v>
      </c>
    </row>
    <row r="2782" spans="1:7" x14ac:dyDescent="0.2">
      <c r="A2782" s="2">
        <v>46031</v>
      </c>
      <c r="B2782" t="s">
        <v>3670</v>
      </c>
      <c r="C2782" t="s">
        <v>2</v>
      </c>
      <c r="D2782" t="s">
        <v>4</v>
      </c>
      <c r="E2782">
        <v>1</v>
      </c>
      <c r="F2782" t="s">
        <v>600</v>
      </c>
      <c r="G2782">
        <v>22</v>
      </c>
    </row>
    <row r="2783" spans="1:7" x14ac:dyDescent="0.2">
      <c r="A2783" s="2">
        <v>46031</v>
      </c>
      <c r="B2783" t="s">
        <v>3197</v>
      </c>
      <c r="C2783" t="s">
        <v>1</v>
      </c>
      <c r="D2783" t="s">
        <v>3</v>
      </c>
      <c r="E2783">
        <v>1</v>
      </c>
      <c r="F2783" t="s">
        <v>4027</v>
      </c>
      <c r="G2783">
        <v>72</v>
      </c>
    </row>
    <row r="2784" spans="1:7" x14ac:dyDescent="0.2">
      <c r="A2784" s="2">
        <v>46034</v>
      </c>
      <c r="B2784" t="s">
        <v>3672</v>
      </c>
      <c r="C2784" t="s">
        <v>2</v>
      </c>
      <c r="D2784" t="s">
        <v>4</v>
      </c>
      <c r="E2784">
        <v>1</v>
      </c>
      <c r="F2784" t="s">
        <v>600</v>
      </c>
      <c r="G2784">
        <v>22</v>
      </c>
    </row>
    <row r="2785" spans="1:7" x14ac:dyDescent="0.2">
      <c r="A2785" s="2">
        <v>46034</v>
      </c>
      <c r="B2785" t="s">
        <v>3204</v>
      </c>
      <c r="C2785" t="s">
        <v>1</v>
      </c>
      <c r="D2785" t="s">
        <v>3</v>
      </c>
      <c r="E2785">
        <v>1</v>
      </c>
      <c r="F2785" t="s">
        <v>4027</v>
      </c>
      <c r="G2785">
        <v>81</v>
      </c>
    </row>
    <row r="2786" spans="1:7" x14ac:dyDescent="0.2">
      <c r="A2786" s="2">
        <v>46034</v>
      </c>
      <c r="B2786" t="s">
        <v>3207</v>
      </c>
      <c r="C2786" t="s">
        <v>1</v>
      </c>
      <c r="D2786" t="s">
        <v>3</v>
      </c>
      <c r="E2786">
        <v>1</v>
      </c>
      <c r="F2786" t="s">
        <v>4027</v>
      </c>
      <c r="G2786">
        <v>60</v>
      </c>
    </row>
    <row r="2787" spans="1:7" x14ac:dyDescent="0.2">
      <c r="A2787" s="2">
        <v>46034</v>
      </c>
      <c r="B2787" t="s">
        <v>3206</v>
      </c>
      <c r="C2787" t="s">
        <v>1</v>
      </c>
      <c r="D2787" t="s">
        <v>3</v>
      </c>
      <c r="E2787">
        <v>1</v>
      </c>
      <c r="F2787" t="s">
        <v>4027</v>
      </c>
      <c r="G2787">
        <v>80</v>
      </c>
    </row>
    <row r="2788" spans="1:7" x14ac:dyDescent="0.2">
      <c r="A2788" s="2">
        <v>46034</v>
      </c>
      <c r="B2788" t="s">
        <v>3205</v>
      </c>
      <c r="C2788" t="s">
        <v>1</v>
      </c>
      <c r="D2788" t="s">
        <v>3</v>
      </c>
      <c r="E2788">
        <v>1</v>
      </c>
      <c r="F2788" t="s">
        <v>4027</v>
      </c>
      <c r="G2788">
        <v>75</v>
      </c>
    </row>
    <row r="2789" spans="1:7" x14ac:dyDescent="0.2">
      <c r="A2789" s="2">
        <v>46034</v>
      </c>
      <c r="B2789" t="s">
        <v>3203</v>
      </c>
      <c r="C2789" t="s">
        <v>1</v>
      </c>
      <c r="D2789" t="s">
        <v>3</v>
      </c>
      <c r="E2789">
        <v>1</v>
      </c>
      <c r="F2789" t="s">
        <v>4027</v>
      </c>
      <c r="G2789">
        <v>87</v>
      </c>
    </row>
    <row r="2790" spans="1:7" x14ac:dyDescent="0.2">
      <c r="A2790" s="2">
        <v>46034</v>
      </c>
      <c r="B2790" t="s">
        <v>3202</v>
      </c>
      <c r="C2790" t="s">
        <v>1</v>
      </c>
      <c r="D2790" t="s">
        <v>3</v>
      </c>
      <c r="E2790">
        <v>1</v>
      </c>
      <c r="F2790" t="s">
        <v>4027</v>
      </c>
      <c r="G2790">
        <v>88</v>
      </c>
    </row>
    <row r="2791" spans="1:7" x14ac:dyDescent="0.2">
      <c r="A2791" s="2">
        <v>46034</v>
      </c>
      <c r="B2791" t="s">
        <v>3201</v>
      </c>
      <c r="C2791" t="s">
        <v>1</v>
      </c>
      <c r="D2791" t="s">
        <v>3</v>
      </c>
      <c r="E2791">
        <v>1</v>
      </c>
      <c r="F2791" t="s">
        <v>4027</v>
      </c>
      <c r="G2791">
        <v>89</v>
      </c>
    </row>
    <row r="2792" spans="1:7" x14ac:dyDescent="0.2">
      <c r="A2792" s="2">
        <v>46034</v>
      </c>
      <c r="B2792" t="s">
        <v>3200</v>
      </c>
      <c r="C2792" t="s">
        <v>1</v>
      </c>
      <c r="D2792" t="s">
        <v>3</v>
      </c>
      <c r="E2792">
        <v>1</v>
      </c>
      <c r="F2792" t="s">
        <v>4027</v>
      </c>
      <c r="G2792">
        <v>70</v>
      </c>
    </row>
    <row r="2793" spans="1:7" x14ac:dyDescent="0.2">
      <c r="A2793" s="2">
        <v>46034</v>
      </c>
      <c r="B2793" t="s">
        <v>3198</v>
      </c>
      <c r="C2793" t="s">
        <v>1</v>
      </c>
      <c r="D2793" t="s">
        <v>3</v>
      </c>
      <c r="E2793">
        <v>1</v>
      </c>
      <c r="F2793" t="s">
        <v>4027</v>
      </c>
      <c r="G2793">
        <v>80</v>
      </c>
    </row>
    <row r="2794" spans="1:7" x14ac:dyDescent="0.2">
      <c r="A2794" s="2">
        <v>46034</v>
      </c>
      <c r="B2794" t="s">
        <v>3208</v>
      </c>
      <c r="C2794" t="s">
        <v>1</v>
      </c>
      <c r="D2794" t="s">
        <v>3</v>
      </c>
      <c r="E2794">
        <v>1</v>
      </c>
      <c r="F2794" t="s">
        <v>4027</v>
      </c>
      <c r="G2794">
        <v>86</v>
      </c>
    </row>
    <row r="2795" spans="1:7" x14ac:dyDescent="0.2">
      <c r="A2795" s="2">
        <v>46034</v>
      </c>
      <c r="B2795" t="s">
        <v>3199</v>
      </c>
      <c r="C2795" t="s">
        <v>1</v>
      </c>
      <c r="D2795" t="s">
        <v>3</v>
      </c>
      <c r="E2795">
        <v>1</v>
      </c>
      <c r="F2795" t="s">
        <v>4027</v>
      </c>
      <c r="G2795">
        <v>70</v>
      </c>
    </row>
    <row r="2796" spans="1:7" x14ac:dyDescent="0.2">
      <c r="A2796" s="2">
        <v>46036</v>
      </c>
      <c r="B2796" t="s">
        <v>3209</v>
      </c>
      <c r="C2796" t="s">
        <v>1</v>
      </c>
      <c r="D2796" t="s">
        <v>3</v>
      </c>
      <c r="E2796">
        <v>1</v>
      </c>
      <c r="F2796" t="s">
        <v>4027</v>
      </c>
      <c r="G2796">
        <v>65</v>
      </c>
    </row>
    <row r="2797" spans="1:7" x14ac:dyDescent="0.2">
      <c r="A2797" s="2">
        <v>46036</v>
      </c>
      <c r="B2797" t="s">
        <v>3218</v>
      </c>
      <c r="C2797" t="s">
        <v>1</v>
      </c>
      <c r="D2797" t="s">
        <v>3</v>
      </c>
      <c r="E2797">
        <v>1</v>
      </c>
      <c r="F2797" t="s">
        <v>4027</v>
      </c>
      <c r="G2797">
        <v>61</v>
      </c>
    </row>
    <row r="2798" spans="1:7" x14ac:dyDescent="0.2">
      <c r="A2798" s="2">
        <v>46036</v>
      </c>
      <c r="B2798" t="s">
        <v>3216</v>
      </c>
      <c r="C2798" t="s">
        <v>1</v>
      </c>
      <c r="D2798" t="s">
        <v>3</v>
      </c>
      <c r="E2798">
        <v>1</v>
      </c>
      <c r="F2798" t="s">
        <v>4027</v>
      </c>
      <c r="G2798">
        <v>79</v>
      </c>
    </row>
    <row r="2799" spans="1:7" x14ac:dyDescent="0.2">
      <c r="A2799" s="2">
        <v>46036</v>
      </c>
      <c r="B2799" t="s">
        <v>3215</v>
      </c>
      <c r="C2799" t="s">
        <v>1</v>
      </c>
      <c r="D2799" t="s">
        <v>3</v>
      </c>
      <c r="E2799">
        <v>1</v>
      </c>
      <c r="F2799" t="s">
        <v>4027</v>
      </c>
      <c r="G2799">
        <v>63</v>
      </c>
    </row>
    <row r="2800" spans="1:7" x14ac:dyDescent="0.2">
      <c r="A2800" s="2">
        <v>46036</v>
      </c>
      <c r="B2800" t="s">
        <v>3214</v>
      </c>
      <c r="C2800" t="s">
        <v>1</v>
      </c>
      <c r="D2800" t="s">
        <v>3</v>
      </c>
      <c r="E2800">
        <v>1</v>
      </c>
      <c r="F2800" t="s">
        <v>4027</v>
      </c>
      <c r="G2800">
        <v>72</v>
      </c>
    </row>
    <row r="2801" spans="1:7" x14ac:dyDescent="0.2">
      <c r="A2801" s="2">
        <v>46036</v>
      </c>
      <c r="B2801" t="s">
        <v>3213</v>
      </c>
      <c r="C2801" t="s">
        <v>1</v>
      </c>
      <c r="D2801" t="s">
        <v>3</v>
      </c>
      <c r="E2801">
        <v>1</v>
      </c>
      <c r="F2801" t="s">
        <v>4027</v>
      </c>
      <c r="G2801">
        <v>76</v>
      </c>
    </row>
    <row r="2802" spans="1:7" x14ac:dyDescent="0.2">
      <c r="A2802" s="2">
        <v>46036</v>
      </c>
      <c r="B2802" t="s">
        <v>3212</v>
      </c>
      <c r="C2802" t="s">
        <v>1</v>
      </c>
      <c r="D2802" t="s">
        <v>3</v>
      </c>
      <c r="E2802">
        <v>1</v>
      </c>
      <c r="F2802" t="s">
        <v>4027</v>
      </c>
      <c r="G2802">
        <v>72</v>
      </c>
    </row>
    <row r="2803" spans="1:7" x14ac:dyDescent="0.2">
      <c r="A2803" s="2">
        <v>46036</v>
      </c>
      <c r="B2803" t="s">
        <v>3211</v>
      </c>
      <c r="C2803" t="s">
        <v>1</v>
      </c>
      <c r="D2803" t="s">
        <v>3</v>
      </c>
      <c r="E2803">
        <v>1</v>
      </c>
      <c r="F2803" t="s">
        <v>4027</v>
      </c>
      <c r="G2803">
        <v>76</v>
      </c>
    </row>
    <row r="2804" spans="1:7" x14ac:dyDescent="0.2">
      <c r="A2804" s="2">
        <v>46036</v>
      </c>
      <c r="B2804" t="s">
        <v>3210</v>
      </c>
      <c r="C2804" t="s">
        <v>1</v>
      </c>
      <c r="D2804" t="s">
        <v>3</v>
      </c>
      <c r="E2804">
        <v>1</v>
      </c>
      <c r="F2804" t="s">
        <v>4027</v>
      </c>
      <c r="G2804">
        <v>62</v>
      </c>
    </row>
    <row r="2805" spans="1:7" x14ac:dyDescent="0.2">
      <c r="A2805" s="2">
        <v>46036</v>
      </c>
      <c r="B2805" t="s">
        <v>3217</v>
      </c>
      <c r="C2805" t="s">
        <v>1</v>
      </c>
      <c r="D2805" t="s">
        <v>3</v>
      </c>
      <c r="E2805">
        <v>1</v>
      </c>
      <c r="F2805" t="s">
        <v>4027</v>
      </c>
      <c r="G2805">
        <v>70</v>
      </c>
    </row>
    <row r="2806" spans="1:7" x14ac:dyDescent="0.2">
      <c r="A2806" s="2">
        <v>46037</v>
      </c>
      <c r="B2806" t="s">
        <v>3220</v>
      </c>
      <c r="C2806" t="s">
        <v>1</v>
      </c>
      <c r="D2806" t="s">
        <v>3</v>
      </c>
      <c r="E2806">
        <v>1</v>
      </c>
      <c r="F2806" t="s">
        <v>4027</v>
      </c>
      <c r="G2806">
        <v>80</v>
      </c>
    </row>
    <row r="2807" spans="1:7" x14ac:dyDescent="0.2">
      <c r="A2807" s="2">
        <v>46037</v>
      </c>
      <c r="B2807" t="s">
        <v>3221</v>
      </c>
      <c r="C2807" t="s">
        <v>1</v>
      </c>
      <c r="D2807" t="s">
        <v>3</v>
      </c>
      <c r="E2807">
        <v>1</v>
      </c>
      <c r="F2807" t="s">
        <v>4027</v>
      </c>
      <c r="G2807">
        <v>64</v>
      </c>
    </row>
    <row r="2808" spans="1:7" x14ac:dyDescent="0.2">
      <c r="A2808" s="2">
        <v>46037</v>
      </c>
      <c r="B2808" t="s">
        <v>3224</v>
      </c>
      <c r="C2808" t="s">
        <v>1</v>
      </c>
      <c r="D2808" t="s">
        <v>3</v>
      </c>
      <c r="E2808">
        <v>1</v>
      </c>
      <c r="F2808" t="s">
        <v>4027</v>
      </c>
      <c r="G2808">
        <v>71</v>
      </c>
    </row>
    <row r="2809" spans="1:7" x14ac:dyDescent="0.2">
      <c r="A2809" s="2">
        <v>46037</v>
      </c>
      <c r="B2809" t="s">
        <v>3225</v>
      </c>
      <c r="C2809" t="s">
        <v>1</v>
      </c>
      <c r="D2809" t="s">
        <v>3</v>
      </c>
      <c r="E2809">
        <v>1</v>
      </c>
      <c r="F2809" t="s">
        <v>4027</v>
      </c>
      <c r="G2809">
        <v>66</v>
      </c>
    </row>
    <row r="2810" spans="1:7" x14ac:dyDescent="0.2">
      <c r="A2810" s="2">
        <v>46037</v>
      </c>
      <c r="B2810" t="s">
        <v>3227</v>
      </c>
      <c r="C2810" t="s">
        <v>1</v>
      </c>
      <c r="D2810" t="s">
        <v>3</v>
      </c>
      <c r="E2810">
        <v>1</v>
      </c>
      <c r="F2810" t="s">
        <v>4027</v>
      </c>
      <c r="G2810">
        <v>71</v>
      </c>
    </row>
    <row r="2811" spans="1:7" x14ac:dyDescent="0.2">
      <c r="A2811" s="2">
        <v>46037</v>
      </c>
      <c r="B2811" t="s">
        <v>3228</v>
      </c>
      <c r="C2811" t="s">
        <v>1</v>
      </c>
      <c r="D2811" t="s">
        <v>3</v>
      </c>
      <c r="E2811">
        <v>1</v>
      </c>
      <c r="F2811" t="s">
        <v>4027</v>
      </c>
      <c r="G2811">
        <v>80</v>
      </c>
    </row>
    <row r="2812" spans="1:7" x14ac:dyDescent="0.2">
      <c r="A2812" s="2">
        <v>46037</v>
      </c>
      <c r="B2812" t="s">
        <v>3229</v>
      </c>
      <c r="C2812" t="s">
        <v>1</v>
      </c>
      <c r="D2812" t="s">
        <v>3</v>
      </c>
      <c r="E2812">
        <v>1</v>
      </c>
      <c r="F2812" t="s">
        <v>4027</v>
      </c>
      <c r="G2812">
        <v>66</v>
      </c>
    </row>
    <row r="2813" spans="1:7" x14ac:dyDescent="0.2">
      <c r="A2813" s="2">
        <v>46037</v>
      </c>
      <c r="B2813" t="s">
        <v>3230</v>
      </c>
      <c r="C2813" t="s">
        <v>1</v>
      </c>
      <c r="D2813" t="s">
        <v>3</v>
      </c>
      <c r="E2813">
        <v>1</v>
      </c>
      <c r="F2813" t="s">
        <v>4027</v>
      </c>
      <c r="G2813">
        <v>78</v>
      </c>
    </row>
    <row r="2814" spans="1:7" x14ac:dyDescent="0.2">
      <c r="A2814" s="2">
        <v>46037</v>
      </c>
      <c r="B2814" t="s">
        <v>3231</v>
      </c>
      <c r="C2814" t="s">
        <v>1</v>
      </c>
      <c r="D2814" t="s">
        <v>3</v>
      </c>
      <c r="E2814">
        <v>1</v>
      </c>
      <c r="F2814" t="s">
        <v>4027</v>
      </c>
      <c r="G2814">
        <v>60</v>
      </c>
    </row>
    <row r="2815" spans="1:7" x14ac:dyDescent="0.2">
      <c r="A2815" s="2">
        <v>46037</v>
      </c>
      <c r="B2815" t="s">
        <v>3223</v>
      </c>
      <c r="C2815" t="s">
        <v>1</v>
      </c>
      <c r="D2815" t="s">
        <v>3</v>
      </c>
      <c r="E2815">
        <v>1</v>
      </c>
      <c r="F2815" t="s">
        <v>4027</v>
      </c>
      <c r="G2815">
        <v>82</v>
      </c>
    </row>
    <row r="2816" spans="1:7" x14ac:dyDescent="0.2">
      <c r="A2816" s="2">
        <v>46037</v>
      </c>
      <c r="B2816" t="s">
        <v>3226</v>
      </c>
      <c r="C2816" t="s">
        <v>1</v>
      </c>
      <c r="D2816" t="s">
        <v>3</v>
      </c>
      <c r="E2816">
        <v>1</v>
      </c>
      <c r="F2816" t="s">
        <v>4027</v>
      </c>
      <c r="G2816">
        <v>83</v>
      </c>
    </row>
    <row r="2817" spans="1:7" x14ac:dyDescent="0.2">
      <c r="A2817" s="2">
        <v>46037</v>
      </c>
      <c r="B2817" t="s">
        <v>3222</v>
      </c>
      <c r="C2817" t="s">
        <v>1</v>
      </c>
      <c r="D2817" t="s">
        <v>3</v>
      </c>
      <c r="E2817">
        <v>1</v>
      </c>
      <c r="F2817" t="s">
        <v>4027</v>
      </c>
      <c r="G2817">
        <v>84</v>
      </c>
    </row>
    <row r="2818" spans="1:7" x14ac:dyDescent="0.2">
      <c r="A2818" s="2">
        <v>46037</v>
      </c>
      <c r="B2818" t="s">
        <v>3219</v>
      </c>
      <c r="C2818" t="s">
        <v>1</v>
      </c>
      <c r="D2818" t="s">
        <v>3</v>
      </c>
      <c r="E2818">
        <v>1</v>
      </c>
      <c r="F2818" t="s">
        <v>4027</v>
      </c>
      <c r="G2818">
        <v>81</v>
      </c>
    </row>
    <row r="2819" spans="1:7" x14ac:dyDescent="0.2">
      <c r="A2819" s="2">
        <v>46038</v>
      </c>
      <c r="B2819" t="s">
        <v>3673</v>
      </c>
      <c r="C2819" t="s">
        <v>2</v>
      </c>
      <c r="D2819" t="s">
        <v>4</v>
      </c>
      <c r="E2819">
        <v>1</v>
      </c>
      <c r="F2819" t="s">
        <v>600</v>
      </c>
      <c r="G2819">
        <v>22</v>
      </c>
    </row>
    <row r="2820" spans="1:7" x14ac:dyDescent="0.2">
      <c r="A2820" s="2">
        <v>46038</v>
      </c>
      <c r="B2820" t="s">
        <v>3238</v>
      </c>
      <c r="C2820" t="s">
        <v>1</v>
      </c>
      <c r="D2820" t="s">
        <v>3</v>
      </c>
      <c r="E2820">
        <v>1</v>
      </c>
      <c r="F2820" t="s">
        <v>4027</v>
      </c>
      <c r="G2820">
        <v>68</v>
      </c>
    </row>
    <row r="2821" spans="1:7" x14ac:dyDescent="0.2">
      <c r="A2821" s="2">
        <v>46038</v>
      </c>
      <c r="B2821" t="s">
        <v>3237</v>
      </c>
      <c r="C2821" t="s">
        <v>1</v>
      </c>
      <c r="D2821" t="s">
        <v>3</v>
      </c>
      <c r="E2821">
        <v>1</v>
      </c>
      <c r="F2821" t="s">
        <v>4027</v>
      </c>
      <c r="G2821">
        <v>75</v>
      </c>
    </row>
    <row r="2822" spans="1:7" x14ac:dyDescent="0.2">
      <c r="A2822" s="2">
        <v>46038</v>
      </c>
      <c r="B2822" t="s">
        <v>3236</v>
      </c>
      <c r="C2822" t="s">
        <v>1</v>
      </c>
      <c r="D2822" t="s">
        <v>3</v>
      </c>
      <c r="E2822">
        <v>1</v>
      </c>
      <c r="F2822" t="s">
        <v>4027</v>
      </c>
      <c r="G2822">
        <v>80</v>
      </c>
    </row>
    <row r="2823" spans="1:7" x14ac:dyDescent="0.2">
      <c r="A2823" s="2">
        <v>46038</v>
      </c>
      <c r="B2823" t="s">
        <v>3235</v>
      </c>
      <c r="C2823" t="s">
        <v>1</v>
      </c>
      <c r="D2823" t="s">
        <v>3</v>
      </c>
      <c r="E2823">
        <v>1</v>
      </c>
      <c r="F2823" t="s">
        <v>4027</v>
      </c>
      <c r="G2823">
        <v>83</v>
      </c>
    </row>
    <row r="2824" spans="1:7" x14ac:dyDescent="0.2">
      <c r="A2824" s="2">
        <v>46038</v>
      </c>
      <c r="B2824" t="s">
        <v>3234</v>
      </c>
      <c r="C2824" t="s">
        <v>1</v>
      </c>
      <c r="D2824" t="s">
        <v>3</v>
      </c>
      <c r="E2824">
        <v>1</v>
      </c>
      <c r="F2824" t="s">
        <v>4027</v>
      </c>
      <c r="G2824">
        <v>82</v>
      </c>
    </row>
    <row r="2825" spans="1:7" x14ac:dyDescent="0.2">
      <c r="A2825" s="2">
        <v>46038</v>
      </c>
      <c r="B2825" t="s">
        <v>3232</v>
      </c>
      <c r="C2825" t="s">
        <v>1</v>
      </c>
      <c r="D2825" t="s">
        <v>3</v>
      </c>
      <c r="E2825">
        <v>1</v>
      </c>
      <c r="F2825" t="s">
        <v>4027</v>
      </c>
      <c r="G2825">
        <v>79</v>
      </c>
    </row>
    <row r="2826" spans="1:7" x14ac:dyDescent="0.2">
      <c r="A2826" s="2">
        <v>46038</v>
      </c>
      <c r="B2826" t="s">
        <v>3233</v>
      </c>
      <c r="C2826" t="s">
        <v>1</v>
      </c>
      <c r="D2826" t="s">
        <v>3</v>
      </c>
      <c r="E2826">
        <v>1</v>
      </c>
      <c r="F2826" t="s">
        <v>4027</v>
      </c>
      <c r="G2826">
        <v>89</v>
      </c>
    </row>
    <row r="2827" spans="1:7" x14ac:dyDescent="0.2">
      <c r="A2827" s="2">
        <v>46038</v>
      </c>
      <c r="B2827" t="s">
        <v>3677</v>
      </c>
      <c r="C2827" t="s">
        <v>2</v>
      </c>
      <c r="D2827" t="s">
        <v>4</v>
      </c>
      <c r="E2827">
        <v>1</v>
      </c>
      <c r="F2827" t="s">
        <v>600</v>
      </c>
      <c r="G2827">
        <v>22</v>
      </c>
    </row>
    <row r="2828" spans="1:7" x14ac:dyDescent="0.2">
      <c r="A2828" s="2">
        <v>46038</v>
      </c>
      <c r="B2828" t="s">
        <v>3676</v>
      </c>
      <c r="C2828" t="s">
        <v>2</v>
      </c>
      <c r="D2828" t="s">
        <v>4</v>
      </c>
      <c r="E2828">
        <v>1</v>
      </c>
      <c r="F2828" t="s">
        <v>600</v>
      </c>
      <c r="G2828">
        <v>22</v>
      </c>
    </row>
    <row r="2829" spans="1:7" x14ac:dyDescent="0.2">
      <c r="A2829" s="2">
        <v>46038</v>
      </c>
      <c r="B2829" t="s">
        <v>3675</v>
      </c>
      <c r="C2829" t="s">
        <v>2</v>
      </c>
      <c r="D2829" t="s">
        <v>4</v>
      </c>
      <c r="E2829">
        <v>1</v>
      </c>
      <c r="F2829" t="s">
        <v>600</v>
      </c>
      <c r="G2829">
        <v>22</v>
      </c>
    </row>
    <row r="2830" spans="1:7" x14ac:dyDescent="0.2">
      <c r="A2830" s="2">
        <v>46038</v>
      </c>
      <c r="B2830" t="s">
        <v>3674</v>
      </c>
      <c r="C2830" t="s">
        <v>2</v>
      </c>
      <c r="D2830" t="s">
        <v>4</v>
      </c>
      <c r="E2830">
        <v>1</v>
      </c>
      <c r="F2830" t="s">
        <v>600</v>
      </c>
      <c r="G2830">
        <v>22</v>
      </c>
    </row>
    <row r="2831" spans="1:7" x14ac:dyDescent="0.2">
      <c r="A2831" s="2">
        <v>46041</v>
      </c>
      <c r="B2831" t="s">
        <v>3245</v>
      </c>
      <c r="C2831" t="s">
        <v>1</v>
      </c>
      <c r="D2831" t="s">
        <v>3</v>
      </c>
      <c r="E2831">
        <v>1</v>
      </c>
      <c r="F2831" t="s">
        <v>4027</v>
      </c>
      <c r="G2831">
        <v>68</v>
      </c>
    </row>
    <row r="2832" spans="1:7" x14ac:dyDescent="0.2">
      <c r="A2832" s="2">
        <v>46041</v>
      </c>
      <c r="B2832" t="s">
        <v>3244</v>
      </c>
      <c r="C2832" t="s">
        <v>1</v>
      </c>
      <c r="D2832" t="s">
        <v>3</v>
      </c>
      <c r="E2832">
        <v>1</v>
      </c>
      <c r="F2832" t="s">
        <v>4027</v>
      </c>
      <c r="G2832">
        <v>83</v>
      </c>
    </row>
    <row r="2833" spans="1:7" x14ac:dyDescent="0.2">
      <c r="A2833" s="2">
        <v>46041</v>
      </c>
      <c r="B2833" t="s">
        <v>3243</v>
      </c>
      <c r="C2833" t="s">
        <v>1</v>
      </c>
      <c r="D2833" t="s">
        <v>3</v>
      </c>
      <c r="E2833">
        <v>1</v>
      </c>
      <c r="F2833" t="s">
        <v>4027</v>
      </c>
      <c r="G2833">
        <v>72</v>
      </c>
    </row>
    <row r="2834" spans="1:7" x14ac:dyDescent="0.2">
      <c r="A2834" s="2">
        <v>46041</v>
      </c>
      <c r="B2834" t="s">
        <v>3242</v>
      </c>
      <c r="C2834" t="s">
        <v>1</v>
      </c>
      <c r="D2834" t="s">
        <v>3</v>
      </c>
      <c r="E2834">
        <v>1</v>
      </c>
      <c r="F2834" t="s">
        <v>4027</v>
      </c>
      <c r="G2834">
        <v>66</v>
      </c>
    </row>
    <row r="2835" spans="1:7" x14ac:dyDescent="0.2">
      <c r="A2835" s="2">
        <v>46041</v>
      </c>
      <c r="B2835" t="s">
        <v>3241</v>
      </c>
      <c r="C2835" t="s">
        <v>1</v>
      </c>
      <c r="D2835" t="s">
        <v>3</v>
      </c>
      <c r="E2835">
        <v>1</v>
      </c>
      <c r="F2835" t="s">
        <v>4027</v>
      </c>
      <c r="G2835">
        <v>80</v>
      </c>
    </row>
    <row r="2836" spans="1:7" x14ac:dyDescent="0.2">
      <c r="A2836" s="2">
        <v>46041</v>
      </c>
      <c r="B2836" t="s">
        <v>3240</v>
      </c>
      <c r="C2836" t="s">
        <v>1</v>
      </c>
      <c r="D2836" t="s">
        <v>3</v>
      </c>
      <c r="E2836">
        <v>1</v>
      </c>
      <c r="F2836" t="s">
        <v>4027</v>
      </c>
      <c r="G2836">
        <v>69</v>
      </c>
    </row>
    <row r="2837" spans="1:7" x14ac:dyDescent="0.2">
      <c r="A2837" s="2">
        <v>46041</v>
      </c>
      <c r="B2837" t="s">
        <v>3246</v>
      </c>
      <c r="C2837" t="s">
        <v>1</v>
      </c>
      <c r="D2837" t="s">
        <v>3</v>
      </c>
      <c r="E2837">
        <v>1</v>
      </c>
      <c r="F2837" t="s">
        <v>4027</v>
      </c>
      <c r="G2837">
        <v>82</v>
      </c>
    </row>
    <row r="2838" spans="1:7" x14ac:dyDescent="0.2">
      <c r="A2838" s="2">
        <v>46041</v>
      </c>
      <c r="B2838" t="s">
        <v>3247</v>
      </c>
      <c r="C2838" t="s">
        <v>1</v>
      </c>
      <c r="D2838" t="s">
        <v>3</v>
      </c>
      <c r="E2838">
        <v>1</v>
      </c>
      <c r="F2838" t="s">
        <v>4027</v>
      </c>
      <c r="G2838">
        <v>88</v>
      </c>
    </row>
    <row r="2839" spans="1:7" x14ac:dyDescent="0.2">
      <c r="A2839" s="2">
        <v>46041</v>
      </c>
      <c r="B2839" t="s">
        <v>3239</v>
      </c>
      <c r="C2839" t="s">
        <v>1</v>
      </c>
      <c r="D2839" t="s">
        <v>3</v>
      </c>
      <c r="E2839">
        <v>1</v>
      </c>
      <c r="F2839" t="s">
        <v>4027</v>
      </c>
      <c r="G2839">
        <v>65</v>
      </c>
    </row>
    <row r="2840" spans="1:7" x14ac:dyDescent="0.2">
      <c r="A2840" s="2">
        <v>46042</v>
      </c>
      <c r="B2840" t="s">
        <v>3249</v>
      </c>
      <c r="C2840" t="s">
        <v>1</v>
      </c>
      <c r="D2840" t="s">
        <v>3</v>
      </c>
      <c r="E2840">
        <v>1</v>
      </c>
      <c r="F2840" t="s">
        <v>4027</v>
      </c>
      <c r="G2840">
        <v>65</v>
      </c>
    </row>
    <row r="2841" spans="1:7" x14ac:dyDescent="0.2">
      <c r="A2841" s="2">
        <v>46042</v>
      </c>
      <c r="B2841" t="s">
        <v>3248</v>
      </c>
      <c r="C2841" t="s">
        <v>1</v>
      </c>
      <c r="D2841" t="s">
        <v>3</v>
      </c>
      <c r="E2841">
        <v>1</v>
      </c>
      <c r="F2841" t="s">
        <v>4027</v>
      </c>
      <c r="G2841">
        <v>67</v>
      </c>
    </row>
    <row r="2842" spans="1:7" x14ac:dyDescent="0.2">
      <c r="A2842" s="2">
        <v>46042</v>
      </c>
      <c r="B2842" t="s">
        <v>3252</v>
      </c>
      <c r="C2842" t="s">
        <v>1</v>
      </c>
      <c r="D2842" t="s">
        <v>3</v>
      </c>
      <c r="E2842">
        <v>1</v>
      </c>
      <c r="F2842" t="s">
        <v>4027</v>
      </c>
      <c r="G2842">
        <v>84</v>
      </c>
    </row>
    <row r="2843" spans="1:7" x14ac:dyDescent="0.2">
      <c r="A2843" s="2">
        <v>46042</v>
      </c>
      <c r="B2843" t="s">
        <v>3251</v>
      </c>
      <c r="C2843" t="s">
        <v>1</v>
      </c>
      <c r="D2843" t="s">
        <v>3</v>
      </c>
      <c r="E2843">
        <v>1</v>
      </c>
      <c r="F2843" t="s">
        <v>4027</v>
      </c>
      <c r="G2843">
        <v>85</v>
      </c>
    </row>
    <row r="2844" spans="1:7" x14ac:dyDescent="0.2">
      <c r="A2844" s="2">
        <v>46042</v>
      </c>
      <c r="B2844" t="s">
        <v>3255</v>
      </c>
      <c r="C2844" t="s">
        <v>1</v>
      </c>
      <c r="D2844" t="s">
        <v>3</v>
      </c>
      <c r="E2844">
        <v>1</v>
      </c>
      <c r="F2844" t="s">
        <v>4027</v>
      </c>
      <c r="G2844">
        <v>62</v>
      </c>
    </row>
    <row r="2845" spans="1:7" x14ac:dyDescent="0.2">
      <c r="A2845" s="2">
        <v>46042</v>
      </c>
      <c r="B2845" t="s">
        <v>3250</v>
      </c>
      <c r="C2845" t="s">
        <v>1</v>
      </c>
      <c r="D2845" t="s">
        <v>3</v>
      </c>
      <c r="E2845">
        <v>1</v>
      </c>
      <c r="F2845" t="s">
        <v>4027</v>
      </c>
      <c r="G2845">
        <v>88</v>
      </c>
    </row>
    <row r="2846" spans="1:7" x14ac:dyDescent="0.2">
      <c r="A2846" s="2">
        <v>46042</v>
      </c>
      <c r="B2846" t="s">
        <v>3256</v>
      </c>
      <c r="C2846" t="s">
        <v>1</v>
      </c>
      <c r="D2846" t="s">
        <v>3</v>
      </c>
      <c r="E2846">
        <v>1</v>
      </c>
      <c r="F2846" t="s">
        <v>4027</v>
      </c>
      <c r="G2846">
        <v>64</v>
      </c>
    </row>
    <row r="2847" spans="1:7" x14ac:dyDescent="0.2">
      <c r="A2847" s="2">
        <v>46042</v>
      </c>
      <c r="B2847" t="s">
        <v>3257</v>
      </c>
      <c r="C2847" t="s">
        <v>1</v>
      </c>
      <c r="D2847" t="s">
        <v>3</v>
      </c>
      <c r="E2847">
        <v>1</v>
      </c>
      <c r="F2847" t="s">
        <v>4027</v>
      </c>
      <c r="G2847">
        <v>63</v>
      </c>
    </row>
    <row r="2848" spans="1:7" x14ac:dyDescent="0.2">
      <c r="A2848" s="2">
        <v>46042</v>
      </c>
      <c r="B2848" t="s">
        <v>3253</v>
      </c>
      <c r="C2848" t="s">
        <v>1</v>
      </c>
      <c r="D2848" t="s">
        <v>3</v>
      </c>
      <c r="E2848">
        <v>1</v>
      </c>
      <c r="F2848" t="s">
        <v>4027</v>
      </c>
      <c r="G2848">
        <v>71</v>
      </c>
    </row>
    <row r="2849" spans="1:7" x14ac:dyDescent="0.2">
      <c r="A2849" s="2">
        <v>46042</v>
      </c>
      <c r="B2849" t="s">
        <v>3254</v>
      </c>
      <c r="C2849" t="s">
        <v>1</v>
      </c>
      <c r="D2849" t="s">
        <v>3</v>
      </c>
      <c r="E2849">
        <v>1</v>
      </c>
      <c r="F2849" t="s">
        <v>4027</v>
      </c>
      <c r="G2849">
        <v>85</v>
      </c>
    </row>
    <row r="2850" spans="1:7" x14ac:dyDescent="0.2">
      <c r="A2850" s="2">
        <v>46043</v>
      </c>
      <c r="B2850" t="s">
        <v>3258</v>
      </c>
      <c r="C2850" t="s">
        <v>1</v>
      </c>
      <c r="D2850" t="s">
        <v>3</v>
      </c>
      <c r="E2850">
        <v>1</v>
      </c>
      <c r="F2850" t="s">
        <v>4027</v>
      </c>
      <c r="G2850">
        <v>75</v>
      </c>
    </row>
    <row r="2851" spans="1:7" x14ac:dyDescent="0.2">
      <c r="A2851" s="2">
        <v>46043</v>
      </c>
      <c r="B2851" t="s">
        <v>3259</v>
      </c>
      <c r="C2851" t="s">
        <v>1</v>
      </c>
      <c r="D2851" t="s">
        <v>3</v>
      </c>
      <c r="E2851">
        <v>1</v>
      </c>
      <c r="F2851" t="s">
        <v>4027</v>
      </c>
      <c r="G2851">
        <v>82</v>
      </c>
    </row>
    <row r="2852" spans="1:7" x14ac:dyDescent="0.2">
      <c r="A2852" s="2">
        <v>46043</v>
      </c>
      <c r="B2852" t="s">
        <v>3261</v>
      </c>
      <c r="C2852" t="s">
        <v>1</v>
      </c>
      <c r="D2852" t="s">
        <v>3</v>
      </c>
      <c r="E2852">
        <v>1</v>
      </c>
      <c r="F2852" t="s">
        <v>4027</v>
      </c>
      <c r="G2852">
        <v>77</v>
      </c>
    </row>
    <row r="2853" spans="1:7" x14ac:dyDescent="0.2">
      <c r="A2853" s="2">
        <v>46043</v>
      </c>
      <c r="B2853" t="s">
        <v>3260</v>
      </c>
      <c r="C2853" t="s">
        <v>1</v>
      </c>
      <c r="D2853" t="s">
        <v>3</v>
      </c>
      <c r="E2853">
        <v>1</v>
      </c>
      <c r="F2853" t="s">
        <v>4027</v>
      </c>
      <c r="G2853">
        <v>73</v>
      </c>
    </row>
    <row r="2854" spans="1:7" x14ac:dyDescent="0.2">
      <c r="A2854" s="2">
        <v>46043</v>
      </c>
      <c r="B2854" t="s">
        <v>3678</v>
      </c>
      <c r="C2854" t="s">
        <v>2</v>
      </c>
      <c r="D2854" t="s">
        <v>4</v>
      </c>
      <c r="E2854">
        <v>1</v>
      </c>
      <c r="F2854" t="s">
        <v>600</v>
      </c>
      <c r="G2854">
        <v>22</v>
      </c>
    </row>
    <row r="2855" spans="1:7" x14ac:dyDescent="0.2">
      <c r="A2855" s="2">
        <v>46044</v>
      </c>
      <c r="B2855" t="s">
        <v>3271</v>
      </c>
      <c r="C2855" t="s">
        <v>1</v>
      </c>
      <c r="D2855" t="s">
        <v>3</v>
      </c>
      <c r="E2855">
        <v>1</v>
      </c>
      <c r="F2855" t="s">
        <v>4027</v>
      </c>
      <c r="G2855">
        <v>86</v>
      </c>
    </row>
    <row r="2856" spans="1:7" x14ac:dyDescent="0.2">
      <c r="A2856" s="2">
        <v>46044</v>
      </c>
      <c r="B2856" t="s">
        <v>3270</v>
      </c>
      <c r="C2856" t="s">
        <v>1</v>
      </c>
      <c r="D2856" t="s">
        <v>3</v>
      </c>
      <c r="E2856">
        <v>1</v>
      </c>
      <c r="F2856" t="s">
        <v>4027</v>
      </c>
      <c r="G2856">
        <v>68</v>
      </c>
    </row>
    <row r="2857" spans="1:7" x14ac:dyDescent="0.2">
      <c r="A2857" s="2">
        <v>46044</v>
      </c>
      <c r="B2857" t="s">
        <v>3269</v>
      </c>
      <c r="C2857" t="s">
        <v>1</v>
      </c>
      <c r="D2857" t="s">
        <v>3</v>
      </c>
      <c r="E2857">
        <v>1</v>
      </c>
      <c r="F2857" t="s">
        <v>4027</v>
      </c>
      <c r="G2857">
        <v>65</v>
      </c>
    </row>
    <row r="2858" spans="1:7" x14ac:dyDescent="0.2">
      <c r="A2858" s="2">
        <v>46044</v>
      </c>
      <c r="B2858" t="s">
        <v>3268</v>
      </c>
      <c r="C2858" t="s">
        <v>1</v>
      </c>
      <c r="D2858" t="s">
        <v>3</v>
      </c>
      <c r="E2858">
        <v>1</v>
      </c>
      <c r="F2858" t="s">
        <v>4027</v>
      </c>
      <c r="G2858">
        <v>68</v>
      </c>
    </row>
    <row r="2859" spans="1:7" x14ac:dyDescent="0.2">
      <c r="A2859" s="2">
        <v>46044</v>
      </c>
      <c r="B2859" t="s">
        <v>3267</v>
      </c>
      <c r="C2859" t="s">
        <v>1</v>
      </c>
      <c r="D2859" t="s">
        <v>3</v>
      </c>
      <c r="E2859">
        <v>1</v>
      </c>
      <c r="F2859" t="s">
        <v>4027</v>
      </c>
      <c r="G2859">
        <v>76</v>
      </c>
    </row>
    <row r="2860" spans="1:7" x14ac:dyDescent="0.2">
      <c r="A2860" s="2">
        <v>46044</v>
      </c>
      <c r="B2860" t="s">
        <v>3266</v>
      </c>
      <c r="C2860" t="s">
        <v>1</v>
      </c>
      <c r="D2860" t="s">
        <v>3</v>
      </c>
      <c r="E2860">
        <v>1</v>
      </c>
      <c r="F2860" t="s">
        <v>4027</v>
      </c>
      <c r="G2860">
        <v>82</v>
      </c>
    </row>
    <row r="2861" spans="1:7" x14ac:dyDescent="0.2">
      <c r="A2861" s="2">
        <v>46044</v>
      </c>
      <c r="B2861" t="s">
        <v>3265</v>
      </c>
      <c r="C2861" t="s">
        <v>1</v>
      </c>
      <c r="D2861" t="s">
        <v>3</v>
      </c>
      <c r="E2861">
        <v>1</v>
      </c>
      <c r="F2861" t="s">
        <v>4027</v>
      </c>
      <c r="G2861">
        <v>70</v>
      </c>
    </row>
    <row r="2862" spans="1:7" x14ac:dyDescent="0.2">
      <c r="A2862" s="2">
        <v>46044</v>
      </c>
      <c r="B2862" t="s">
        <v>3264</v>
      </c>
      <c r="C2862" t="s">
        <v>1</v>
      </c>
      <c r="D2862" t="s">
        <v>3</v>
      </c>
      <c r="E2862">
        <v>1</v>
      </c>
      <c r="F2862" t="s">
        <v>4027</v>
      </c>
      <c r="G2862">
        <v>83</v>
      </c>
    </row>
    <row r="2863" spans="1:7" x14ac:dyDescent="0.2">
      <c r="A2863" s="2">
        <v>46044</v>
      </c>
      <c r="B2863" t="s">
        <v>3263</v>
      </c>
      <c r="C2863" t="s">
        <v>1</v>
      </c>
      <c r="D2863" t="s">
        <v>3</v>
      </c>
      <c r="E2863">
        <v>1</v>
      </c>
      <c r="F2863" t="s">
        <v>4027</v>
      </c>
      <c r="G2863">
        <v>65</v>
      </c>
    </row>
    <row r="2864" spans="1:7" x14ac:dyDescent="0.2">
      <c r="A2864" s="2">
        <v>46044</v>
      </c>
      <c r="B2864" t="s">
        <v>3262</v>
      </c>
      <c r="C2864" t="s">
        <v>1</v>
      </c>
      <c r="D2864" t="s">
        <v>3</v>
      </c>
      <c r="E2864">
        <v>1</v>
      </c>
      <c r="F2864" t="s">
        <v>4027</v>
      </c>
      <c r="G2864">
        <v>85</v>
      </c>
    </row>
    <row r="2865" spans="1:7" x14ac:dyDescent="0.2">
      <c r="A2865" s="2">
        <v>46044</v>
      </c>
      <c r="B2865" t="s">
        <v>3272</v>
      </c>
      <c r="C2865" t="s">
        <v>1</v>
      </c>
      <c r="D2865" t="s">
        <v>3</v>
      </c>
      <c r="E2865">
        <v>1</v>
      </c>
      <c r="F2865" t="s">
        <v>4027</v>
      </c>
      <c r="G2865">
        <v>67</v>
      </c>
    </row>
    <row r="2866" spans="1:7" x14ac:dyDescent="0.2">
      <c r="A2866" s="2">
        <v>46045</v>
      </c>
      <c r="B2866" t="s">
        <v>3275</v>
      </c>
      <c r="C2866" t="s">
        <v>1</v>
      </c>
      <c r="D2866" t="s">
        <v>3</v>
      </c>
      <c r="E2866">
        <v>1</v>
      </c>
      <c r="F2866" t="s">
        <v>4027</v>
      </c>
      <c r="G2866">
        <v>82</v>
      </c>
    </row>
    <row r="2867" spans="1:7" x14ac:dyDescent="0.2">
      <c r="A2867" s="2">
        <v>46045</v>
      </c>
      <c r="B2867" t="s">
        <v>3276</v>
      </c>
      <c r="C2867" t="s">
        <v>1</v>
      </c>
      <c r="D2867" t="s">
        <v>3</v>
      </c>
      <c r="E2867">
        <v>1</v>
      </c>
      <c r="F2867" t="s">
        <v>4027</v>
      </c>
      <c r="G2867">
        <v>73</v>
      </c>
    </row>
    <row r="2868" spans="1:7" x14ac:dyDescent="0.2">
      <c r="A2868" s="2">
        <v>46045</v>
      </c>
      <c r="B2868" t="s">
        <v>3277</v>
      </c>
      <c r="C2868" t="s">
        <v>1</v>
      </c>
      <c r="D2868" t="s">
        <v>3</v>
      </c>
      <c r="E2868">
        <v>1</v>
      </c>
      <c r="F2868" t="s">
        <v>4027</v>
      </c>
      <c r="G2868">
        <v>78</v>
      </c>
    </row>
    <row r="2869" spans="1:7" x14ac:dyDescent="0.2">
      <c r="A2869" s="2">
        <v>46045</v>
      </c>
      <c r="B2869" t="s">
        <v>3278</v>
      </c>
      <c r="C2869" t="s">
        <v>1</v>
      </c>
      <c r="D2869" t="s">
        <v>3</v>
      </c>
      <c r="E2869">
        <v>1</v>
      </c>
      <c r="F2869" t="s">
        <v>4027</v>
      </c>
      <c r="G2869">
        <v>88</v>
      </c>
    </row>
    <row r="2870" spans="1:7" x14ac:dyDescent="0.2">
      <c r="A2870" s="2">
        <v>46045</v>
      </c>
      <c r="B2870" t="s">
        <v>3280</v>
      </c>
      <c r="C2870" t="s">
        <v>1</v>
      </c>
      <c r="D2870" t="s">
        <v>3</v>
      </c>
      <c r="E2870">
        <v>1</v>
      </c>
      <c r="F2870" t="s">
        <v>4027</v>
      </c>
      <c r="G2870">
        <v>66</v>
      </c>
    </row>
    <row r="2871" spans="1:7" x14ac:dyDescent="0.2">
      <c r="A2871" s="2">
        <v>46045</v>
      </c>
      <c r="B2871" t="s">
        <v>3274</v>
      </c>
      <c r="C2871" t="s">
        <v>1</v>
      </c>
      <c r="D2871" t="s">
        <v>3</v>
      </c>
      <c r="E2871">
        <v>1</v>
      </c>
      <c r="F2871" t="s">
        <v>4027</v>
      </c>
      <c r="G2871">
        <v>60</v>
      </c>
    </row>
    <row r="2872" spans="1:7" x14ac:dyDescent="0.2">
      <c r="A2872" s="2">
        <v>46045</v>
      </c>
      <c r="B2872" t="s">
        <v>3279</v>
      </c>
      <c r="C2872" t="s">
        <v>1</v>
      </c>
      <c r="D2872" t="s">
        <v>3</v>
      </c>
      <c r="E2872">
        <v>1</v>
      </c>
      <c r="F2872" t="s">
        <v>4027</v>
      </c>
      <c r="G2872">
        <v>81</v>
      </c>
    </row>
    <row r="2873" spans="1:7" x14ac:dyDescent="0.2">
      <c r="A2873" s="2">
        <v>46045</v>
      </c>
      <c r="B2873" t="s">
        <v>3273</v>
      </c>
      <c r="C2873" t="s">
        <v>1</v>
      </c>
      <c r="D2873" t="s">
        <v>3</v>
      </c>
      <c r="E2873">
        <v>1</v>
      </c>
      <c r="F2873" t="s">
        <v>4027</v>
      </c>
      <c r="G2873">
        <v>60</v>
      </c>
    </row>
    <row r="2874" spans="1:7" x14ac:dyDescent="0.2">
      <c r="A2874" s="2">
        <v>46048</v>
      </c>
      <c r="B2874" t="s">
        <v>3288</v>
      </c>
      <c r="C2874" t="s">
        <v>1</v>
      </c>
      <c r="D2874" t="s">
        <v>3</v>
      </c>
      <c r="E2874">
        <v>1</v>
      </c>
      <c r="F2874" t="s">
        <v>4027</v>
      </c>
      <c r="G2874">
        <v>63</v>
      </c>
    </row>
    <row r="2875" spans="1:7" x14ac:dyDescent="0.2">
      <c r="A2875" s="2">
        <v>46048</v>
      </c>
      <c r="B2875" t="s">
        <v>3290</v>
      </c>
      <c r="C2875" t="s">
        <v>1</v>
      </c>
      <c r="D2875" t="s">
        <v>3</v>
      </c>
      <c r="E2875">
        <v>1</v>
      </c>
      <c r="F2875" t="s">
        <v>4027</v>
      </c>
      <c r="G2875">
        <v>81</v>
      </c>
    </row>
    <row r="2876" spans="1:7" x14ac:dyDescent="0.2">
      <c r="A2876" s="2">
        <v>46048</v>
      </c>
      <c r="B2876" t="s">
        <v>3289</v>
      </c>
      <c r="C2876" t="s">
        <v>1</v>
      </c>
      <c r="D2876" t="s">
        <v>3</v>
      </c>
      <c r="E2876">
        <v>1</v>
      </c>
      <c r="F2876" t="s">
        <v>4027</v>
      </c>
      <c r="G2876">
        <v>67</v>
      </c>
    </row>
    <row r="2877" spans="1:7" x14ac:dyDescent="0.2">
      <c r="A2877" s="2">
        <v>46048</v>
      </c>
      <c r="B2877" t="s">
        <v>3287</v>
      </c>
      <c r="C2877" t="s">
        <v>1</v>
      </c>
      <c r="D2877" t="s">
        <v>3</v>
      </c>
      <c r="E2877">
        <v>1</v>
      </c>
      <c r="F2877" t="s">
        <v>4027</v>
      </c>
      <c r="G2877">
        <v>77</v>
      </c>
    </row>
    <row r="2878" spans="1:7" x14ac:dyDescent="0.2">
      <c r="A2878" s="2">
        <v>46048</v>
      </c>
      <c r="B2878" t="s">
        <v>3286</v>
      </c>
      <c r="C2878" t="s">
        <v>1</v>
      </c>
      <c r="D2878" t="s">
        <v>3</v>
      </c>
      <c r="E2878">
        <v>1</v>
      </c>
      <c r="F2878" t="s">
        <v>4027</v>
      </c>
      <c r="G2878">
        <v>75</v>
      </c>
    </row>
    <row r="2879" spans="1:7" x14ac:dyDescent="0.2">
      <c r="A2879" s="2">
        <v>46048</v>
      </c>
      <c r="B2879" t="s">
        <v>3285</v>
      </c>
      <c r="C2879" t="s">
        <v>1</v>
      </c>
      <c r="D2879" t="s">
        <v>3</v>
      </c>
      <c r="E2879">
        <v>1</v>
      </c>
      <c r="F2879" t="s">
        <v>4027</v>
      </c>
      <c r="G2879">
        <v>87</v>
      </c>
    </row>
    <row r="2880" spans="1:7" x14ac:dyDescent="0.2">
      <c r="A2880" s="2">
        <v>46048</v>
      </c>
      <c r="B2880" t="s">
        <v>3283</v>
      </c>
      <c r="C2880" t="s">
        <v>1</v>
      </c>
      <c r="D2880" t="s">
        <v>3</v>
      </c>
      <c r="E2880">
        <v>1</v>
      </c>
      <c r="F2880" t="s">
        <v>4027</v>
      </c>
      <c r="G2880">
        <v>82</v>
      </c>
    </row>
    <row r="2881" spans="1:7" x14ac:dyDescent="0.2">
      <c r="A2881" s="2">
        <v>46048</v>
      </c>
      <c r="B2881" t="s">
        <v>3284</v>
      </c>
      <c r="C2881" t="s">
        <v>1</v>
      </c>
      <c r="D2881" t="s">
        <v>3</v>
      </c>
      <c r="E2881">
        <v>1</v>
      </c>
      <c r="F2881" t="s">
        <v>4027</v>
      </c>
      <c r="G2881">
        <v>78</v>
      </c>
    </row>
    <row r="2882" spans="1:7" x14ac:dyDescent="0.2">
      <c r="A2882" s="2">
        <v>46048</v>
      </c>
      <c r="B2882" t="s">
        <v>3281</v>
      </c>
      <c r="C2882" t="s">
        <v>1</v>
      </c>
      <c r="D2882" t="s">
        <v>3</v>
      </c>
      <c r="E2882">
        <v>1</v>
      </c>
      <c r="F2882" t="s">
        <v>4027</v>
      </c>
      <c r="G2882">
        <v>68</v>
      </c>
    </row>
    <row r="2883" spans="1:7" x14ac:dyDescent="0.2">
      <c r="A2883" s="2">
        <v>46048</v>
      </c>
      <c r="B2883" t="s">
        <v>3679</v>
      </c>
      <c r="C2883" t="s">
        <v>2</v>
      </c>
      <c r="D2883" t="s">
        <v>4</v>
      </c>
      <c r="E2883">
        <v>1</v>
      </c>
      <c r="F2883" t="s">
        <v>600</v>
      </c>
      <c r="G2883">
        <v>22</v>
      </c>
    </row>
    <row r="2884" spans="1:7" x14ac:dyDescent="0.2">
      <c r="A2884" s="2">
        <v>46048</v>
      </c>
      <c r="B2884" t="s">
        <v>3282</v>
      </c>
      <c r="C2884" t="s">
        <v>1</v>
      </c>
      <c r="D2884" t="s">
        <v>3</v>
      </c>
      <c r="E2884">
        <v>1</v>
      </c>
      <c r="F2884" t="s">
        <v>4027</v>
      </c>
      <c r="G2884">
        <v>73</v>
      </c>
    </row>
    <row r="2885" spans="1:7" x14ac:dyDescent="0.2">
      <c r="A2885" s="2">
        <v>46049</v>
      </c>
      <c r="B2885" t="s">
        <v>3295</v>
      </c>
      <c r="C2885" t="s">
        <v>1</v>
      </c>
      <c r="D2885" t="s">
        <v>3</v>
      </c>
      <c r="E2885">
        <v>1</v>
      </c>
      <c r="F2885" t="s">
        <v>4027</v>
      </c>
      <c r="G2885">
        <v>74</v>
      </c>
    </row>
    <row r="2886" spans="1:7" x14ac:dyDescent="0.2">
      <c r="A2886" s="2">
        <v>46049</v>
      </c>
      <c r="B2886" t="s">
        <v>3297</v>
      </c>
      <c r="C2886" t="s">
        <v>1</v>
      </c>
      <c r="D2886" t="s">
        <v>3</v>
      </c>
      <c r="E2886">
        <v>1</v>
      </c>
      <c r="F2886" t="s">
        <v>4027</v>
      </c>
      <c r="G2886">
        <v>63</v>
      </c>
    </row>
    <row r="2887" spans="1:7" x14ac:dyDescent="0.2">
      <c r="A2887" s="2">
        <v>46049</v>
      </c>
      <c r="B2887" t="s">
        <v>3298</v>
      </c>
      <c r="C2887" t="s">
        <v>1</v>
      </c>
      <c r="D2887" t="s">
        <v>3</v>
      </c>
      <c r="E2887">
        <v>1</v>
      </c>
      <c r="F2887" t="s">
        <v>4027</v>
      </c>
      <c r="G2887">
        <v>75</v>
      </c>
    </row>
    <row r="2888" spans="1:7" x14ac:dyDescent="0.2">
      <c r="A2888" s="2">
        <v>46049</v>
      </c>
      <c r="B2888" t="s">
        <v>3299</v>
      </c>
      <c r="C2888" t="s">
        <v>1</v>
      </c>
      <c r="D2888" t="s">
        <v>3</v>
      </c>
      <c r="E2888">
        <v>1</v>
      </c>
      <c r="F2888" t="s">
        <v>4027</v>
      </c>
      <c r="G2888">
        <v>73</v>
      </c>
    </row>
    <row r="2889" spans="1:7" x14ac:dyDescent="0.2">
      <c r="A2889" s="2">
        <v>46049</v>
      </c>
      <c r="B2889" t="s">
        <v>3300</v>
      </c>
      <c r="C2889" t="s">
        <v>1</v>
      </c>
      <c r="D2889" t="s">
        <v>3</v>
      </c>
      <c r="E2889">
        <v>1</v>
      </c>
      <c r="F2889" t="s">
        <v>4027</v>
      </c>
      <c r="G2889">
        <v>62</v>
      </c>
    </row>
    <row r="2890" spans="1:7" x14ac:dyDescent="0.2">
      <c r="A2890" s="2">
        <v>46049</v>
      </c>
      <c r="B2890" t="s">
        <v>3296</v>
      </c>
      <c r="C2890" t="s">
        <v>1</v>
      </c>
      <c r="D2890" t="s">
        <v>3</v>
      </c>
      <c r="E2890">
        <v>1</v>
      </c>
      <c r="F2890" t="s">
        <v>4027</v>
      </c>
      <c r="G2890">
        <v>84</v>
      </c>
    </row>
    <row r="2891" spans="1:7" x14ac:dyDescent="0.2">
      <c r="A2891" s="2">
        <v>46049</v>
      </c>
      <c r="B2891" t="s">
        <v>3294</v>
      </c>
      <c r="C2891" t="s">
        <v>1</v>
      </c>
      <c r="D2891" t="s">
        <v>3</v>
      </c>
      <c r="E2891">
        <v>1</v>
      </c>
      <c r="F2891" t="s">
        <v>4027</v>
      </c>
      <c r="G2891">
        <v>84</v>
      </c>
    </row>
    <row r="2892" spans="1:7" x14ac:dyDescent="0.2">
      <c r="A2892" s="2">
        <v>46049</v>
      </c>
      <c r="B2892" t="s">
        <v>3682</v>
      </c>
      <c r="C2892" t="s">
        <v>2</v>
      </c>
      <c r="D2892" t="s">
        <v>4</v>
      </c>
      <c r="E2892">
        <v>1</v>
      </c>
      <c r="F2892" t="s">
        <v>600</v>
      </c>
      <c r="G2892">
        <v>22</v>
      </c>
    </row>
    <row r="2893" spans="1:7" x14ac:dyDescent="0.2">
      <c r="A2893" s="2">
        <v>46049</v>
      </c>
      <c r="B2893" t="s">
        <v>3292</v>
      </c>
      <c r="C2893" t="s">
        <v>1</v>
      </c>
      <c r="D2893" t="s">
        <v>3</v>
      </c>
      <c r="E2893">
        <v>1</v>
      </c>
      <c r="F2893" t="s">
        <v>4027</v>
      </c>
      <c r="G2893">
        <v>78</v>
      </c>
    </row>
    <row r="2894" spans="1:7" x14ac:dyDescent="0.2">
      <c r="A2894" s="2">
        <v>46049</v>
      </c>
      <c r="B2894" t="s">
        <v>3291</v>
      </c>
      <c r="C2894" t="s">
        <v>1</v>
      </c>
      <c r="D2894" t="s">
        <v>3</v>
      </c>
      <c r="E2894">
        <v>1</v>
      </c>
      <c r="F2894" t="s">
        <v>4027</v>
      </c>
      <c r="G2894">
        <v>61</v>
      </c>
    </row>
    <row r="2895" spans="1:7" x14ac:dyDescent="0.2">
      <c r="A2895" s="2">
        <v>46049</v>
      </c>
      <c r="B2895" t="s">
        <v>3680</v>
      </c>
      <c r="C2895" t="s">
        <v>2</v>
      </c>
      <c r="D2895" t="s">
        <v>4</v>
      </c>
      <c r="E2895">
        <v>1</v>
      </c>
      <c r="F2895" t="s">
        <v>600</v>
      </c>
      <c r="G2895">
        <v>22</v>
      </c>
    </row>
    <row r="2896" spans="1:7" x14ac:dyDescent="0.2">
      <c r="A2896" s="2">
        <v>46049</v>
      </c>
      <c r="B2896" t="s">
        <v>3681</v>
      </c>
      <c r="C2896" t="s">
        <v>2</v>
      </c>
      <c r="D2896" t="s">
        <v>4</v>
      </c>
      <c r="E2896">
        <v>1</v>
      </c>
      <c r="F2896" t="s">
        <v>600</v>
      </c>
      <c r="G2896">
        <v>22</v>
      </c>
    </row>
    <row r="2897" spans="1:7" x14ac:dyDescent="0.2">
      <c r="A2897" s="2">
        <v>46049</v>
      </c>
      <c r="B2897" t="s">
        <v>3293</v>
      </c>
      <c r="C2897" t="s">
        <v>1</v>
      </c>
      <c r="D2897" t="s">
        <v>3</v>
      </c>
      <c r="E2897">
        <v>1</v>
      </c>
      <c r="F2897" t="s">
        <v>4027</v>
      </c>
      <c r="G2897">
        <v>85</v>
      </c>
    </row>
    <row r="2898" spans="1:7" x14ac:dyDescent="0.2">
      <c r="A2898" s="2">
        <v>46050</v>
      </c>
      <c r="B2898" t="s">
        <v>3304</v>
      </c>
      <c r="C2898" t="s">
        <v>1</v>
      </c>
      <c r="D2898" t="s">
        <v>3</v>
      </c>
      <c r="E2898">
        <v>1</v>
      </c>
      <c r="F2898" t="s">
        <v>4027</v>
      </c>
      <c r="G2898">
        <v>84</v>
      </c>
    </row>
    <row r="2899" spans="1:7" x14ac:dyDescent="0.2">
      <c r="A2899" s="2">
        <v>46050</v>
      </c>
      <c r="B2899" t="s">
        <v>3305</v>
      </c>
      <c r="C2899" t="s">
        <v>1</v>
      </c>
      <c r="D2899" t="s">
        <v>3</v>
      </c>
      <c r="E2899">
        <v>1</v>
      </c>
      <c r="F2899" t="s">
        <v>4027</v>
      </c>
      <c r="G2899">
        <v>76</v>
      </c>
    </row>
    <row r="2900" spans="1:7" x14ac:dyDescent="0.2">
      <c r="A2900" s="2">
        <v>46050</v>
      </c>
      <c r="B2900" t="s">
        <v>3303</v>
      </c>
      <c r="C2900" t="s">
        <v>1</v>
      </c>
      <c r="D2900" t="s">
        <v>3</v>
      </c>
      <c r="E2900">
        <v>1</v>
      </c>
      <c r="F2900" t="s">
        <v>4027</v>
      </c>
      <c r="G2900">
        <v>66</v>
      </c>
    </row>
    <row r="2901" spans="1:7" x14ac:dyDescent="0.2">
      <c r="A2901" s="2">
        <v>46050</v>
      </c>
      <c r="B2901" t="s">
        <v>3306</v>
      </c>
      <c r="C2901" t="s">
        <v>1</v>
      </c>
      <c r="D2901" t="s">
        <v>3</v>
      </c>
      <c r="E2901">
        <v>1</v>
      </c>
      <c r="F2901" t="s">
        <v>4027</v>
      </c>
      <c r="G2901">
        <v>69</v>
      </c>
    </row>
    <row r="2902" spans="1:7" x14ac:dyDescent="0.2">
      <c r="A2902" s="2">
        <v>46050</v>
      </c>
      <c r="B2902" t="s">
        <v>3301</v>
      </c>
      <c r="C2902" t="s">
        <v>1</v>
      </c>
      <c r="D2902" t="s">
        <v>3</v>
      </c>
      <c r="E2902">
        <v>1</v>
      </c>
      <c r="F2902" t="s">
        <v>4027</v>
      </c>
      <c r="G2902">
        <v>75</v>
      </c>
    </row>
    <row r="2903" spans="1:7" x14ac:dyDescent="0.2">
      <c r="A2903" s="2">
        <v>46050</v>
      </c>
      <c r="B2903" t="s">
        <v>3302</v>
      </c>
      <c r="C2903" t="s">
        <v>1</v>
      </c>
      <c r="D2903" t="s">
        <v>3</v>
      </c>
      <c r="E2903">
        <v>1</v>
      </c>
      <c r="F2903" t="s">
        <v>4027</v>
      </c>
      <c r="G2903">
        <v>68</v>
      </c>
    </row>
    <row r="2904" spans="1:7" x14ac:dyDescent="0.2">
      <c r="A2904" s="2">
        <v>46051</v>
      </c>
      <c r="B2904" t="s">
        <v>3316</v>
      </c>
      <c r="C2904" t="s">
        <v>1</v>
      </c>
      <c r="D2904" t="s">
        <v>3</v>
      </c>
      <c r="E2904">
        <v>1</v>
      </c>
      <c r="F2904" t="s">
        <v>4027</v>
      </c>
      <c r="G2904">
        <v>80</v>
      </c>
    </row>
    <row r="2905" spans="1:7" x14ac:dyDescent="0.2">
      <c r="A2905" s="2">
        <v>46051</v>
      </c>
      <c r="B2905" t="s">
        <v>3315</v>
      </c>
      <c r="C2905" t="s">
        <v>1</v>
      </c>
      <c r="D2905" t="s">
        <v>3</v>
      </c>
      <c r="E2905">
        <v>1</v>
      </c>
      <c r="F2905" t="s">
        <v>4027</v>
      </c>
      <c r="G2905">
        <v>60</v>
      </c>
    </row>
    <row r="2906" spans="1:7" x14ac:dyDescent="0.2">
      <c r="A2906" s="2">
        <v>46051</v>
      </c>
      <c r="B2906" t="s">
        <v>3314</v>
      </c>
      <c r="C2906" t="s">
        <v>1</v>
      </c>
      <c r="D2906" t="s">
        <v>3</v>
      </c>
      <c r="E2906">
        <v>1</v>
      </c>
      <c r="F2906" t="s">
        <v>4027</v>
      </c>
      <c r="G2906">
        <v>61</v>
      </c>
    </row>
    <row r="2907" spans="1:7" x14ac:dyDescent="0.2">
      <c r="A2907" s="2">
        <v>46051</v>
      </c>
      <c r="B2907" t="s">
        <v>3312</v>
      </c>
      <c r="C2907" t="s">
        <v>1</v>
      </c>
      <c r="D2907" t="s">
        <v>3</v>
      </c>
      <c r="E2907">
        <v>1</v>
      </c>
      <c r="F2907" t="s">
        <v>4027</v>
      </c>
      <c r="G2907">
        <v>64</v>
      </c>
    </row>
    <row r="2908" spans="1:7" x14ac:dyDescent="0.2">
      <c r="A2908" s="2">
        <v>46051</v>
      </c>
      <c r="B2908" t="s">
        <v>3313</v>
      </c>
      <c r="C2908" t="s">
        <v>1</v>
      </c>
      <c r="D2908" t="s">
        <v>3</v>
      </c>
      <c r="E2908">
        <v>1</v>
      </c>
      <c r="F2908" t="s">
        <v>4027</v>
      </c>
      <c r="G2908">
        <v>68</v>
      </c>
    </row>
    <row r="2909" spans="1:7" x14ac:dyDescent="0.2">
      <c r="A2909" s="2">
        <v>46051</v>
      </c>
      <c r="B2909" t="s">
        <v>3310</v>
      </c>
      <c r="C2909" t="s">
        <v>1</v>
      </c>
      <c r="D2909" t="s">
        <v>3</v>
      </c>
      <c r="E2909">
        <v>1</v>
      </c>
      <c r="F2909" t="s">
        <v>4027</v>
      </c>
      <c r="G2909">
        <v>78</v>
      </c>
    </row>
    <row r="2910" spans="1:7" x14ac:dyDescent="0.2">
      <c r="A2910" s="2">
        <v>46051</v>
      </c>
      <c r="B2910" t="s">
        <v>3309</v>
      </c>
      <c r="C2910" t="s">
        <v>1</v>
      </c>
      <c r="D2910" t="s">
        <v>3</v>
      </c>
      <c r="E2910">
        <v>1</v>
      </c>
      <c r="F2910" t="s">
        <v>4027</v>
      </c>
      <c r="G2910">
        <v>69</v>
      </c>
    </row>
    <row r="2911" spans="1:7" x14ac:dyDescent="0.2">
      <c r="A2911" s="2">
        <v>46051</v>
      </c>
      <c r="B2911" t="s">
        <v>3308</v>
      </c>
      <c r="C2911" t="s">
        <v>1</v>
      </c>
      <c r="D2911" t="s">
        <v>3</v>
      </c>
      <c r="E2911">
        <v>1</v>
      </c>
      <c r="F2911" t="s">
        <v>4027</v>
      </c>
      <c r="G2911">
        <v>62</v>
      </c>
    </row>
    <row r="2912" spans="1:7" x14ac:dyDescent="0.2">
      <c r="A2912" s="2">
        <v>46051</v>
      </c>
      <c r="B2912" t="s">
        <v>3307</v>
      </c>
      <c r="C2912" t="s">
        <v>1</v>
      </c>
      <c r="D2912" t="s">
        <v>3</v>
      </c>
      <c r="E2912">
        <v>1</v>
      </c>
      <c r="F2912" t="s">
        <v>4027</v>
      </c>
      <c r="G2912">
        <v>70</v>
      </c>
    </row>
    <row r="2913" spans="1:7" x14ac:dyDescent="0.2">
      <c r="A2913" s="2">
        <v>46051</v>
      </c>
      <c r="B2913" t="s">
        <v>3311</v>
      </c>
      <c r="C2913" t="s">
        <v>1</v>
      </c>
      <c r="D2913" t="s">
        <v>3</v>
      </c>
      <c r="E2913">
        <v>1</v>
      </c>
      <c r="F2913" t="s">
        <v>4027</v>
      </c>
      <c r="G2913">
        <v>67</v>
      </c>
    </row>
    <row r="2914" spans="1:7" x14ac:dyDescent="0.2">
      <c r="A2914" s="2">
        <v>46052</v>
      </c>
      <c r="B2914" t="s">
        <v>3322</v>
      </c>
      <c r="C2914" t="s">
        <v>1</v>
      </c>
      <c r="D2914" t="s">
        <v>3</v>
      </c>
      <c r="E2914">
        <v>1</v>
      </c>
      <c r="F2914" t="s">
        <v>4027</v>
      </c>
      <c r="G2914">
        <v>78</v>
      </c>
    </row>
    <row r="2915" spans="1:7" x14ac:dyDescent="0.2">
      <c r="A2915" s="2">
        <v>46052</v>
      </c>
      <c r="B2915" t="s">
        <v>3317</v>
      </c>
      <c r="C2915" t="s">
        <v>1</v>
      </c>
      <c r="D2915" t="s">
        <v>3</v>
      </c>
      <c r="E2915">
        <v>1</v>
      </c>
      <c r="F2915" t="s">
        <v>4027</v>
      </c>
      <c r="G2915">
        <v>69</v>
      </c>
    </row>
    <row r="2916" spans="1:7" x14ac:dyDescent="0.2">
      <c r="A2916" s="2">
        <v>46052</v>
      </c>
      <c r="B2916" t="s">
        <v>3318</v>
      </c>
      <c r="C2916" t="s">
        <v>1</v>
      </c>
      <c r="D2916" t="s">
        <v>3</v>
      </c>
      <c r="E2916">
        <v>1</v>
      </c>
      <c r="F2916" t="s">
        <v>4027</v>
      </c>
      <c r="G2916">
        <v>85</v>
      </c>
    </row>
    <row r="2917" spans="1:7" x14ac:dyDescent="0.2">
      <c r="A2917" s="2">
        <v>46052</v>
      </c>
      <c r="B2917" t="s">
        <v>3320</v>
      </c>
      <c r="C2917" t="s">
        <v>1</v>
      </c>
      <c r="D2917" t="s">
        <v>3</v>
      </c>
      <c r="E2917">
        <v>1</v>
      </c>
      <c r="F2917" t="s">
        <v>4027</v>
      </c>
      <c r="G2917">
        <v>88</v>
      </c>
    </row>
    <row r="2918" spans="1:7" x14ac:dyDescent="0.2">
      <c r="A2918" s="2">
        <v>46052</v>
      </c>
      <c r="B2918" t="s">
        <v>3321</v>
      </c>
      <c r="C2918" t="s">
        <v>1</v>
      </c>
      <c r="D2918" t="s">
        <v>3</v>
      </c>
      <c r="E2918">
        <v>1</v>
      </c>
      <c r="F2918" t="s">
        <v>4027</v>
      </c>
      <c r="G2918">
        <v>75</v>
      </c>
    </row>
    <row r="2919" spans="1:7" x14ac:dyDescent="0.2">
      <c r="A2919" s="2">
        <v>46052</v>
      </c>
      <c r="B2919" t="s">
        <v>3323</v>
      </c>
      <c r="C2919" t="s">
        <v>1</v>
      </c>
      <c r="D2919" t="s">
        <v>3</v>
      </c>
      <c r="E2919">
        <v>1</v>
      </c>
      <c r="F2919" t="s">
        <v>4027</v>
      </c>
      <c r="G2919">
        <v>65</v>
      </c>
    </row>
    <row r="2920" spans="1:7" x14ac:dyDescent="0.2">
      <c r="A2920" s="2">
        <v>46052</v>
      </c>
      <c r="B2920" t="s">
        <v>3319</v>
      </c>
      <c r="C2920" t="s">
        <v>1</v>
      </c>
      <c r="D2920" t="s">
        <v>3</v>
      </c>
      <c r="E2920">
        <v>1</v>
      </c>
      <c r="F2920" t="s">
        <v>4027</v>
      </c>
      <c r="G2920">
        <v>63</v>
      </c>
    </row>
    <row r="2921" spans="1:7" x14ac:dyDescent="0.2">
      <c r="A2921" s="2">
        <v>46055</v>
      </c>
      <c r="B2921" t="s">
        <v>3683</v>
      </c>
      <c r="C2921" t="s">
        <v>2</v>
      </c>
      <c r="D2921" t="s">
        <v>4</v>
      </c>
      <c r="E2921">
        <v>1</v>
      </c>
      <c r="F2921" t="s">
        <v>600</v>
      </c>
      <c r="G2921">
        <v>22</v>
      </c>
    </row>
    <row r="2922" spans="1:7" x14ac:dyDescent="0.2">
      <c r="A2922" s="2">
        <v>46055</v>
      </c>
      <c r="B2922" t="s">
        <v>3331</v>
      </c>
      <c r="C2922" t="s">
        <v>1</v>
      </c>
      <c r="D2922" t="s">
        <v>3</v>
      </c>
      <c r="E2922">
        <v>1</v>
      </c>
      <c r="F2922" t="s">
        <v>4027</v>
      </c>
      <c r="G2922">
        <v>77</v>
      </c>
    </row>
    <row r="2923" spans="1:7" x14ac:dyDescent="0.2">
      <c r="A2923" s="2">
        <v>46055</v>
      </c>
      <c r="B2923" t="s">
        <v>3330</v>
      </c>
      <c r="C2923" t="s">
        <v>1</v>
      </c>
      <c r="D2923" t="s">
        <v>3</v>
      </c>
      <c r="E2923">
        <v>1</v>
      </c>
      <c r="F2923" t="s">
        <v>4027</v>
      </c>
      <c r="G2923">
        <v>88</v>
      </c>
    </row>
    <row r="2924" spans="1:7" x14ac:dyDescent="0.2">
      <c r="A2924" s="2">
        <v>46055</v>
      </c>
      <c r="B2924" t="s">
        <v>3329</v>
      </c>
      <c r="C2924" t="s">
        <v>1</v>
      </c>
      <c r="D2924" t="s">
        <v>3</v>
      </c>
      <c r="E2924">
        <v>1</v>
      </c>
      <c r="F2924" t="s">
        <v>4027</v>
      </c>
      <c r="G2924">
        <v>64</v>
      </c>
    </row>
    <row r="2925" spans="1:7" x14ac:dyDescent="0.2">
      <c r="A2925" s="2">
        <v>46055</v>
      </c>
      <c r="B2925" t="s">
        <v>3328</v>
      </c>
      <c r="C2925" t="s">
        <v>1</v>
      </c>
      <c r="D2925" t="s">
        <v>3</v>
      </c>
      <c r="E2925">
        <v>1</v>
      </c>
      <c r="F2925" t="s">
        <v>4027</v>
      </c>
      <c r="G2925">
        <v>81</v>
      </c>
    </row>
    <row r="2926" spans="1:7" x14ac:dyDescent="0.2">
      <c r="A2926" s="2">
        <v>46055</v>
      </c>
      <c r="B2926" t="s">
        <v>3327</v>
      </c>
      <c r="C2926" t="s">
        <v>1</v>
      </c>
      <c r="D2926" t="s">
        <v>3</v>
      </c>
      <c r="E2926">
        <v>1</v>
      </c>
      <c r="F2926" t="s">
        <v>4027</v>
      </c>
      <c r="G2926">
        <v>78</v>
      </c>
    </row>
    <row r="2927" spans="1:7" x14ac:dyDescent="0.2">
      <c r="A2927" s="2">
        <v>46055</v>
      </c>
      <c r="B2927" t="s">
        <v>3326</v>
      </c>
      <c r="C2927" t="s">
        <v>1</v>
      </c>
      <c r="D2927" t="s">
        <v>3</v>
      </c>
      <c r="E2927">
        <v>1</v>
      </c>
      <c r="F2927" t="s">
        <v>4027</v>
      </c>
      <c r="G2927">
        <v>61</v>
      </c>
    </row>
    <row r="2928" spans="1:7" x14ac:dyDescent="0.2">
      <c r="A2928" s="2">
        <v>46055</v>
      </c>
      <c r="B2928" t="s">
        <v>3325</v>
      </c>
      <c r="C2928" t="s">
        <v>1</v>
      </c>
      <c r="D2928" t="s">
        <v>3</v>
      </c>
      <c r="E2928">
        <v>1</v>
      </c>
      <c r="F2928" t="s">
        <v>4027</v>
      </c>
      <c r="G2928">
        <v>79</v>
      </c>
    </row>
    <row r="2929" spans="1:7" x14ac:dyDescent="0.2">
      <c r="A2929" s="2">
        <v>46055</v>
      </c>
      <c r="B2929" t="s">
        <v>3324</v>
      </c>
      <c r="C2929" t="s">
        <v>1</v>
      </c>
      <c r="D2929" t="s">
        <v>3</v>
      </c>
      <c r="E2929">
        <v>1</v>
      </c>
      <c r="F2929" t="s">
        <v>4027</v>
      </c>
      <c r="G2929">
        <v>61</v>
      </c>
    </row>
    <row r="2930" spans="1:7" x14ac:dyDescent="0.2">
      <c r="A2930" s="2">
        <v>46055</v>
      </c>
      <c r="B2930" t="s">
        <v>3684</v>
      </c>
      <c r="C2930" t="s">
        <v>2</v>
      </c>
      <c r="D2930" t="s">
        <v>4</v>
      </c>
      <c r="E2930">
        <v>1</v>
      </c>
      <c r="F2930" t="s">
        <v>600</v>
      </c>
      <c r="G2930">
        <v>22</v>
      </c>
    </row>
    <row r="2931" spans="1:7" x14ac:dyDescent="0.2">
      <c r="A2931" s="2">
        <v>46056</v>
      </c>
      <c r="B2931" t="s">
        <v>3685</v>
      </c>
      <c r="C2931" t="s">
        <v>2</v>
      </c>
      <c r="D2931" t="s">
        <v>4</v>
      </c>
      <c r="E2931">
        <v>1</v>
      </c>
      <c r="F2931" t="s">
        <v>600</v>
      </c>
      <c r="G2931">
        <v>22</v>
      </c>
    </row>
    <row r="2932" spans="1:7" x14ac:dyDescent="0.2">
      <c r="A2932" s="2">
        <v>46056</v>
      </c>
      <c r="B2932" t="s">
        <v>3686</v>
      </c>
      <c r="C2932" t="s">
        <v>2</v>
      </c>
      <c r="D2932" t="s">
        <v>4</v>
      </c>
      <c r="E2932">
        <v>1</v>
      </c>
      <c r="F2932" t="s">
        <v>600</v>
      </c>
      <c r="G2932">
        <v>22</v>
      </c>
    </row>
    <row r="2933" spans="1:7" x14ac:dyDescent="0.2">
      <c r="A2933" s="2">
        <v>46056</v>
      </c>
      <c r="B2933" t="s">
        <v>3335</v>
      </c>
      <c r="C2933" t="s">
        <v>1</v>
      </c>
      <c r="D2933" t="s">
        <v>3</v>
      </c>
      <c r="E2933">
        <v>1</v>
      </c>
      <c r="F2933" t="s">
        <v>4027</v>
      </c>
      <c r="G2933">
        <v>71</v>
      </c>
    </row>
    <row r="2934" spans="1:7" x14ac:dyDescent="0.2">
      <c r="A2934" s="2">
        <v>46056</v>
      </c>
      <c r="B2934" t="s">
        <v>3334</v>
      </c>
      <c r="C2934" t="s">
        <v>1</v>
      </c>
      <c r="D2934" t="s">
        <v>3</v>
      </c>
      <c r="E2934">
        <v>1</v>
      </c>
      <c r="F2934" t="s">
        <v>4027</v>
      </c>
      <c r="G2934">
        <v>88</v>
      </c>
    </row>
    <row r="2935" spans="1:7" x14ac:dyDescent="0.2">
      <c r="A2935" s="2">
        <v>46056</v>
      </c>
      <c r="B2935" t="s">
        <v>3333</v>
      </c>
      <c r="C2935" t="s">
        <v>1</v>
      </c>
      <c r="D2935" t="s">
        <v>3</v>
      </c>
      <c r="E2935">
        <v>1</v>
      </c>
      <c r="F2935" t="s">
        <v>4027</v>
      </c>
      <c r="G2935">
        <v>62</v>
      </c>
    </row>
    <row r="2936" spans="1:7" x14ac:dyDescent="0.2">
      <c r="A2936" s="2">
        <v>46056</v>
      </c>
      <c r="B2936" t="s">
        <v>3337</v>
      </c>
      <c r="C2936" t="s">
        <v>1</v>
      </c>
      <c r="D2936" t="s">
        <v>3</v>
      </c>
      <c r="E2936">
        <v>1</v>
      </c>
      <c r="F2936" t="s">
        <v>4027</v>
      </c>
      <c r="G2936">
        <v>65</v>
      </c>
    </row>
    <row r="2937" spans="1:7" x14ac:dyDescent="0.2">
      <c r="A2937" s="2">
        <v>46056</v>
      </c>
      <c r="B2937" t="s">
        <v>3336</v>
      </c>
      <c r="C2937" t="s">
        <v>1</v>
      </c>
      <c r="D2937" t="s">
        <v>3</v>
      </c>
      <c r="E2937">
        <v>1</v>
      </c>
      <c r="F2937" t="s">
        <v>4027</v>
      </c>
      <c r="G2937">
        <v>62</v>
      </c>
    </row>
    <row r="2938" spans="1:7" x14ac:dyDescent="0.2">
      <c r="A2938" s="2">
        <v>46056</v>
      </c>
      <c r="B2938" t="s">
        <v>3332</v>
      </c>
      <c r="C2938" t="s">
        <v>1</v>
      </c>
      <c r="D2938" t="s">
        <v>3</v>
      </c>
      <c r="E2938">
        <v>1</v>
      </c>
      <c r="F2938" t="s">
        <v>4027</v>
      </c>
      <c r="G2938">
        <v>74</v>
      </c>
    </row>
    <row r="2939" spans="1:7" x14ac:dyDescent="0.2">
      <c r="A2939" s="2">
        <v>46057</v>
      </c>
      <c r="B2939" t="s">
        <v>3339</v>
      </c>
      <c r="C2939" t="s">
        <v>1</v>
      </c>
      <c r="D2939" t="s">
        <v>3</v>
      </c>
      <c r="E2939">
        <v>1</v>
      </c>
      <c r="F2939" t="s">
        <v>4027</v>
      </c>
      <c r="G2939">
        <v>84</v>
      </c>
    </row>
    <row r="2940" spans="1:7" x14ac:dyDescent="0.2">
      <c r="A2940" s="2">
        <v>46057</v>
      </c>
      <c r="B2940" t="s">
        <v>3340</v>
      </c>
      <c r="C2940" t="s">
        <v>1</v>
      </c>
      <c r="D2940" t="s">
        <v>3</v>
      </c>
      <c r="E2940">
        <v>1</v>
      </c>
      <c r="F2940" t="s">
        <v>4027</v>
      </c>
      <c r="G2940">
        <v>77</v>
      </c>
    </row>
    <row r="2941" spans="1:7" x14ac:dyDescent="0.2">
      <c r="A2941" s="2">
        <v>46057</v>
      </c>
      <c r="B2941" t="s">
        <v>3341</v>
      </c>
      <c r="C2941" t="s">
        <v>1</v>
      </c>
      <c r="D2941" t="s">
        <v>3</v>
      </c>
      <c r="E2941">
        <v>1</v>
      </c>
      <c r="F2941" t="s">
        <v>4027</v>
      </c>
      <c r="G2941">
        <v>83</v>
      </c>
    </row>
    <row r="2942" spans="1:7" x14ac:dyDescent="0.2">
      <c r="A2942" s="2">
        <v>46057</v>
      </c>
      <c r="B2942" t="s">
        <v>3342</v>
      </c>
      <c r="C2942" t="s">
        <v>1</v>
      </c>
      <c r="D2942" t="s">
        <v>3</v>
      </c>
      <c r="E2942">
        <v>1</v>
      </c>
      <c r="F2942" t="s">
        <v>4027</v>
      </c>
      <c r="G2942">
        <v>88</v>
      </c>
    </row>
    <row r="2943" spans="1:7" x14ac:dyDescent="0.2">
      <c r="A2943" s="2">
        <v>46057</v>
      </c>
      <c r="B2943" t="s">
        <v>3343</v>
      </c>
      <c r="C2943" t="s">
        <v>1</v>
      </c>
      <c r="D2943" t="s">
        <v>3</v>
      </c>
      <c r="E2943">
        <v>1</v>
      </c>
      <c r="F2943" t="s">
        <v>4027</v>
      </c>
      <c r="G2943">
        <v>64</v>
      </c>
    </row>
    <row r="2944" spans="1:7" x14ac:dyDescent="0.2">
      <c r="A2944" s="2">
        <v>46057</v>
      </c>
      <c r="B2944" t="s">
        <v>3344</v>
      </c>
      <c r="C2944" t="s">
        <v>1</v>
      </c>
      <c r="D2944" t="s">
        <v>3</v>
      </c>
      <c r="E2944">
        <v>1</v>
      </c>
      <c r="F2944" t="s">
        <v>4027</v>
      </c>
      <c r="G2944">
        <v>75</v>
      </c>
    </row>
    <row r="2945" spans="1:7" x14ac:dyDescent="0.2">
      <c r="A2945" s="2">
        <v>46057</v>
      </c>
      <c r="B2945" t="s">
        <v>3338</v>
      </c>
      <c r="C2945" t="s">
        <v>1</v>
      </c>
      <c r="D2945" t="s">
        <v>3</v>
      </c>
      <c r="E2945">
        <v>1</v>
      </c>
      <c r="F2945" t="s">
        <v>4027</v>
      </c>
      <c r="G2945">
        <v>74</v>
      </c>
    </row>
    <row r="2946" spans="1:7" x14ac:dyDescent="0.2">
      <c r="A2946" s="2">
        <v>46058</v>
      </c>
      <c r="B2946" t="s">
        <v>3345</v>
      </c>
      <c r="C2946" t="s">
        <v>1</v>
      </c>
      <c r="D2946" t="s">
        <v>3</v>
      </c>
      <c r="E2946">
        <v>1</v>
      </c>
      <c r="F2946" t="s">
        <v>4027</v>
      </c>
      <c r="G2946">
        <v>89</v>
      </c>
    </row>
    <row r="2947" spans="1:7" x14ac:dyDescent="0.2">
      <c r="A2947" s="2">
        <v>46058</v>
      </c>
      <c r="B2947" t="s">
        <v>3346</v>
      </c>
      <c r="C2947" t="s">
        <v>1</v>
      </c>
      <c r="D2947" t="s">
        <v>3</v>
      </c>
      <c r="E2947">
        <v>1</v>
      </c>
      <c r="F2947" t="s">
        <v>4027</v>
      </c>
      <c r="G2947">
        <v>87</v>
      </c>
    </row>
    <row r="2948" spans="1:7" x14ac:dyDescent="0.2">
      <c r="A2948" s="2">
        <v>46058</v>
      </c>
      <c r="B2948" t="s">
        <v>3347</v>
      </c>
      <c r="C2948" t="s">
        <v>1</v>
      </c>
      <c r="D2948" t="s">
        <v>3</v>
      </c>
      <c r="E2948">
        <v>1</v>
      </c>
      <c r="F2948" t="s">
        <v>4027</v>
      </c>
      <c r="G2948">
        <v>88</v>
      </c>
    </row>
    <row r="2949" spans="1:7" x14ac:dyDescent="0.2">
      <c r="A2949" s="2">
        <v>46058</v>
      </c>
      <c r="B2949" t="s">
        <v>3348</v>
      </c>
      <c r="C2949" t="s">
        <v>1</v>
      </c>
      <c r="D2949" t="s">
        <v>3</v>
      </c>
      <c r="E2949">
        <v>1</v>
      </c>
      <c r="F2949" t="s">
        <v>4027</v>
      </c>
      <c r="G2949">
        <v>63</v>
      </c>
    </row>
    <row r="2950" spans="1:7" x14ac:dyDescent="0.2">
      <c r="A2950" s="2">
        <v>46058</v>
      </c>
      <c r="B2950" t="s">
        <v>3687</v>
      </c>
      <c r="C2950" t="s">
        <v>2</v>
      </c>
      <c r="D2950" t="s">
        <v>4</v>
      </c>
      <c r="E2950">
        <v>1</v>
      </c>
      <c r="F2950" t="s">
        <v>600</v>
      </c>
      <c r="G2950">
        <v>22</v>
      </c>
    </row>
    <row r="2951" spans="1:7" x14ac:dyDescent="0.2">
      <c r="A2951" s="2">
        <v>46059</v>
      </c>
      <c r="B2951" t="s">
        <v>3349</v>
      </c>
      <c r="C2951" t="s">
        <v>1</v>
      </c>
      <c r="D2951" t="s">
        <v>3</v>
      </c>
      <c r="E2951">
        <v>1</v>
      </c>
      <c r="F2951" t="s">
        <v>4027</v>
      </c>
      <c r="G2951">
        <v>69</v>
      </c>
    </row>
    <row r="2952" spans="1:7" x14ac:dyDescent="0.2">
      <c r="A2952" s="2">
        <v>46059</v>
      </c>
      <c r="B2952" t="s">
        <v>3352</v>
      </c>
      <c r="C2952" t="s">
        <v>1</v>
      </c>
      <c r="D2952" t="s">
        <v>3</v>
      </c>
      <c r="E2952">
        <v>1</v>
      </c>
      <c r="F2952" t="s">
        <v>4027</v>
      </c>
      <c r="G2952">
        <v>62</v>
      </c>
    </row>
    <row r="2953" spans="1:7" x14ac:dyDescent="0.2">
      <c r="A2953" s="2">
        <v>46059</v>
      </c>
      <c r="B2953" t="s">
        <v>3351</v>
      </c>
      <c r="C2953" t="s">
        <v>1</v>
      </c>
      <c r="D2953" t="s">
        <v>3</v>
      </c>
      <c r="E2953">
        <v>1</v>
      </c>
      <c r="F2953" t="s">
        <v>4027</v>
      </c>
      <c r="G2953">
        <v>81</v>
      </c>
    </row>
    <row r="2954" spans="1:7" x14ac:dyDescent="0.2">
      <c r="A2954" s="2">
        <v>46059</v>
      </c>
      <c r="B2954" t="s">
        <v>3350</v>
      </c>
      <c r="C2954" t="s">
        <v>1</v>
      </c>
      <c r="D2954" t="s">
        <v>3</v>
      </c>
      <c r="E2954">
        <v>1</v>
      </c>
      <c r="F2954" t="s">
        <v>4027</v>
      </c>
      <c r="G2954">
        <v>66</v>
      </c>
    </row>
    <row r="2955" spans="1:7" x14ac:dyDescent="0.2">
      <c r="A2955" s="2">
        <v>46059</v>
      </c>
      <c r="B2955" t="s">
        <v>3353</v>
      </c>
      <c r="C2955" t="s">
        <v>1</v>
      </c>
      <c r="D2955" t="s">
        <v>3</v>
      </c>
      <c r="E2955">
        <v>1</v>
      </c>
      <c r="F2955" t="s">
        <v>4027</v>
      </c>
      <c r="G2955">
        <v>60</v>
      </c>
    </row>
    <row r="2956" spans="1:7" x14ac:dyDescent="0.2">
      <c r="A2956" s="2">
        <v>46062</v>
      </c>
      <c r="B2956" t="s">
        <v>3362</v>
      </c>
      <c r="C2956" t="s">
        <v>1</v>
      </c>
      <c r="D2956" t="s">
        <v>3</v>
      </c>
      <c r="E2956">
        <v>1</v>
      </c>
      <c r="F2956" t="s">
        <v>4027</v>
      </c>
      <c r="G2956">
        <v>62</v>
      </c>
    </row>
    <row r="2957" spans="1:7" x14ac:dyDescent="0.2">
      <c r="A2957" s="2">
        <v>46062</v>
      </c>
      <c r="B2957" t="s">
        <v>3363</v>
      </c>
      <c r="C2957" t="s">
        <v>1</v>
      </c>
      <c r="D2957" t="s">
        <v>3</v>
      </c>
      <c r="E2957">
        <v>1</v>
      </c>
      <c r="F2957" t="s">
        <v>4027</v>
      </c>
      <c r="G2957">
        <v>69</v>
      </c>
    </row>
    <row r="2958" spans="1:7" x14ac:dyDescent="0.2">
      <c r="A2958" s="2">
        <v>46062</v>
      </c>
      <c r="B2958" t="s">
        <v>3361</v>
      </c>
      <c r="C2958" t="s">
        <v>1</v>
      </c>
      <c r="D2958" t="s">
        <v>3</v>
      </c>
      <c r="E2958">
        <v>1</v>
      </c>
      <c r="F2958" t="s">
        <v>4027</v>
      </c>
      <c r="G2958">
        <v>64</v>
      </c>
    </row>
    <row r="2959" spans="1:7" x14ac:dyDescent="0.2">
      <c r="A2959" s="2">
        <v>46062</v>
      </c>
      <c r="B2959" t="s">
        <v>3364</v>
      </c>
      <c r="C2959" t="s">
        <v>1</v>
      </c>
      <c r="D2959" t="s">
        <v>3</v>
      </c>
      <c r="E2959">
        <v>1</v>
      </c>
      <c r="F2959" t="s">
        <v>4027</v>
      </c>
      <c r="G2959">
        <v>89</v>
      </c>
    </row>
    <row r="2960" spans="1:7" x14ac:dyDescent="0.2">
      <c r="A2960" s="2">
        <v>46062</v>
      </c>
      <c r="B2960" t="s">
        <v>3359</v>
      </c>
      <c r="C2960" t="s">
        <v>1</v>
      </c>
      <c r="D2960" t="s">
        <v>3</v>
      </c>
      <c r="E2960">
        <v>1</v>
      </c>
      <c r="F2960" t="s">
        <v>4027</v>
      </c>
      <c r="G2960">
        <v>68</v>
      </c>
    </row>
    <row r="2961" spans="1:7" x14ac:dyDescent="0.2">
      <c r="A2961" s="2">
        <v>46062</v>
      </c>
      <c r="B2961" t="s">
        <v>3358</v>
      </c>
      <c r="C2961" t="s">
        <v>1</v>
      </c>
      <c r="D2961" t="s">
        <v>3</v>
      </c>
      <c r="E2961">
        <v>1</v>
      </c>
      <c r="F2961" t="s">
        <v>4027</v>
      </c>
      <c r="G2961">
        <v>75</v>
      </c>
    </row>
    <row r="2962" spans="1:7" x14ac:dyDescent="0.2">
      <c r="A2962" s="2">
        <v>46062</v>
      </c>
      <c r="B2962" t="s">
        <v>3357</v>
      </c>
      <c r="C2962" t="s">
        <v>1</v>
      </c>
      <c r="D2962" t="s">
        <v>3</v>
      </c>
      <c r="E2962">
        <v>1</v>
      </c>
      <c r="F2962" t="s">
        <v>4027</v>
      </c>
      <c r="G2962">
        <v>63</v>
      </c>
    </row>
    <row r="2963" spans="1:7" x14ac:dyDescent="0.2">
      <c r="A2963" s="2">
        <v>46062</v>
      </c>
      <c r="B2963" t="s">
        <v>3354</v>
      </c>
      <c r="C2963" t="s">
        <v>1</v>
      </c>
      <c r="D2963" t="s">
        <v>3</v>
      </c>
      <c r="E2963">
        <v>1</v>
      </c>
      <c r="F2963" t="s">
        <v>4027</v>
      </c>
      <c r="G2963">
        <v>82</v>
      </c>
    </row>
    <row r="2964" spans="1:7" x14ac:dyDescent="0.2">
      <c r="A2964" s="2">
        <v>46062</v>
      </c>
      <c r="B2964" t="s">
        <v>3355</v>
      </c>
      <c r="C2964" t="s">
        <v>1</v>
      </c>
      <c r="D2964" t="s">
        <v>3</v>
      </c>
      <c r="E2964">
        <v>1</v>
      </c>
      <c r="F2964" t="s">
        <v>4027</v>
      </c>
      <c r="G2964">
        <v>62</v>
      </c>
    </row>
    <row r="2965" spans="1:7" x14ac:dyDescent="0.2">
      <c r="A2965" s="2">
        <v>46062</v>
      </c>
      <c r="B2965" t="s">
        <v>3356</v>
      </c>
      <c r="C2965" t="s">
        <v>1</v>
      </c>
      <c r="D2965" t="s">
        <v>3</v>
      </c>
      <c r="E2965">
        <v>1</v>
      </c>
      <c r="F2965" t="s">
        <v>4027</v>
      </c>
      <c r="G2965">
        <v>63</v>
      </c>
    </row>
    <row r="2966" spans="1:7" x14ac:dyDescent="0.2">
      <c r="A2966" s="2">
        <v>46062</v>
      </c>
      <c r="B2966" t="s">
        <v>3360</v>
      </c>
      <c r="C2966" t="s">
        <v>1</v>
      </c>
      <c r="D2966" t="s">
        <v>3</v>
      </c>
      <c r="E2966">
        <v>1</v>
      </c>
      <c r="F2966" t="s">
        <v>4027</v>
      </c>
      <c r="G2966">
        <v>65</v>
      </c>
    </row>
    <row r="2967" spans="1:7" x14ac:dyDescent="0.2">
      <c r="A2967" s="2">
        <v>46063</v>
      </c>
      <c r="B2967" t="s">
        <v>3693</v>
      </c>
      <c r="C2967" t="s">
        <v>2</v>
      </c>
      <c r="D2967" t="s">
        <v>4</v>
      </c>
      <c r="E2967">
        <v>1</v>
      </c>
      <c r="F2967" t="s">
        <v>600</v>
      </c>
      <c r="G2967">
        <v>22</v>
      </c>
    </row>
    <row r="2968" spans="1:7" x14ac:dyDescent="0.2">
      <c r="A2968" s="2">
        <v>46063</v>
      </c>
      <c r="B2968" t="s">
        <v>3692</v>
      </c>
      <c r="C2968" t="s">
        <v>2</v>
      </c>
      <c r="D2968" t="s">
        <v>4</v>
      </c>
      <c r="E2968">
        <v>1</v>
      </c>
      <c r="F2968" t="s">
        <v>600</v>
      </c>
      <c r="G2968">
        <v>22</v>
      </c>
    </row>
    <row r="2969" spans="1:7" x14ac:dyDescent="0.2">
      <c r="A2969" s="2">
        <v>46063</v>
      </c>
      <c r="B2969" t="s">
        <v>3688</v>
      </c>
      <c r="C2969" t="s">
        <v>2</v>
      </c>
      <c r="D2969" t="s">
        <v>4</v>
      </c>
      <c r="E2969">
        <v>1</v>
      </c>
      <c r="F2969" t="s">
        <v>600</v>
      </c>
      <c r="G2969">
        <v>22</v>
      </c>
    </row>
    <row r="2970" spans="1:7" x14ac:dyDescent="0.2">
      <c r="A2970" s="2">
        <v>46063</v>
      </c>
      <c r="B2970" t="s">
        <v>3689</v>
      </c>
      <c r="C2970" t="s">
        <v>2</v>
      </c>
      <c r="D2970" t="s">
        <v>4</v>
      </c>
      <c r="E2970">
        <v>1</v>
      </c>
      <c r="F2970" t="s">
        <v>600</v>
      </c>
      <c r="G2970">
        <v>22</v>
      </c>
    </row>
    <row r="2971" spans="1:7" x14ac:dyDescent="0.2">
      <c r="A2971" s="2">
        <v>46063</v>
      </c>
      <c r="B2971" t="s">
        <v>3690</v>
      </c>
      <c r="C2971" t="s">
        <v>2</v>
      </c>
      <c r="D2971" t="s">
        <v>4</v>
      </c>
      <c r="E2971">
        <v>1</v>
      </c>
      <c r="F2971" t="s">
        <v>600</v>
      </c>
      <c r="G2971">
        <v>22</v>
      </c>
    </row>
    <row r="2972" spans="1:7" x14ac:dyDescent="0.2">
      <c r="A2972" s="2">
        <v>46063</v>
      </c>
      <c r="B2972" t="s">
        <v>3691</v>
      </c>
      <c r="C2972" t="s">
        <v>2</v>
      </c>
      <c r="D2972" t="s">
        <v>4</v>
      </c>
      <c r="E2972">
        <v>1</v>
      </c>
      <c r="F2972" t="s">
        <v>600</v>
      </c>
      <c r="G2972">
        <v>22</v>
      </c>
    </row>
    <row r="2973" spans="1:7" x14ac:dyDescent="0.2">
      <c r="A2973" s="2">
        <v>46063</v>
      </c>
      <c r="B2973" t="s">
        <v>3371</v>
      </c>
      <c r="C2973" t="s">
        <v>1</v>
      </c>
      <c r="D2973" t="s">
        <v>3</v>
      </c>
      <c r="E2973">
        <v>1</v>
      </c>
      <c r="F2973" t="s">
        <v>4027</v>
      </c>
      <c r="G2973">
        <v>85</v>
      </c>
    </row>
    <row r="2974" spans="1:7" x14ac:dyDescent="0.2">
      <c r="A2974" s="2">
        <v>46063</v>
      </c>
      <c r="B2974" t="s">
        <v>3365</v>
      </c>
      <c r="C2974" t="s">
        <v>1</v>
      </c>
      <c r="D2974" t="s">
        <v>3</v>
      </c>
      <c r="E2974">
        <v>1</v>
      </c>
      <c r="F2974" t="s">
        <v>4027</v>
      </c>
      <c r="G2974">
        <v>60</v>
      </c>
    </row>
    <row r="2975" spans="1:7" x14ac:dyDescent="0.2">
      <c r="A2975" s="2">
        <v>46063</v>
      </c>
      <c r="B2975" t="s">
        <v>3370</v>
      </c>
      <c r="C2975" t="s">
        <v>1</v>
      </c>
      <c r="D2975" t="s">
        <v>3</v>
      </c>
      <c r="E2975">
        <v>1</v>
      </c>
      <c r="F2975" t="s">
        <v>4027</v>
      </c>
      <c r="G2975">
        <v>72</v>
      </c>
    </row>
    <row r="2976" spans="1:7" x14ac:dyDescent="0.2">
      <c r="A2976" s="2">
        <v>46063</v>
      </c>
      <c r="B2976" t="s">
        <v>3369</v>
      </c>
      <c r="C2976" t="s">
        <v>1</v>
      </c>
      <c r="D2976" t="s">
        <v>3</v>
      </c>
      <c r="E2976">
        <v>1</v>
      </c>
      <c r="F2976" t="s">
        <v>4027</v>
      </c>
      <c r="G2976">
        <v>83</v>
      </c>
    </row>
    <row r="2977" spans="1:7" x14ac:dyDescent="0.2">
      <c r="A2977" s="2">
        <v>46063</v>
      </c>
      <c r="B2977" t="s">
        <v>3368</v>
      </c>
      <c r="C2977" t="s">
        <v>1</v>
      </c>
      <c r="D2977" t="s">
        <v>3</v>
      </c>
      <c r="E2977">
        <v>1</v>
      </c>
      <c r="F2977" t="s">
        <v>4027</v>
      </c>
      <c r="G2977">
        <v>67</v>
      </c>
    </row>
    <row r="2978" spans="1:7" x14ac:dyDescent="0.2">
      <c r="A2978" s="2">
        <v>46063</v>
      </c>
      <c r="B2978" t="s">
        <v>3367</v>
      </c>
      <c r="C2978" t="s">
        <v>1</v>
      </c>
      <c r="D2978" t="s">
        <v>3</v>
      </c>
      <c r="E2978">
        <v>1</v>
      </c>
      <c r="F2978" t="s">
        <v>4027</v>
      </c>
      <c r="G2978">
        <v>82</v>
      </c>
    </row>
    <row r="2979" spans="1:7" x14ac:dyDescent="0.2">
      <c r="A2979" s="2">
        <v>46063</v>
      </c>
      <c r="B2979" t="s">
        <v>3366</v>
      </c>
      <c r="C2979" t="s">
        <v>1</v>
      </c>
      <c r="D2979" t="s">
        <v>3</v>
      </c>
      <c r="E2979">
        <v>1</v>
      </c>
      <c r="F2979" t="s">
        <v>4027</v>
      </c>
      <c r="G2979">
        <v>73</v>
      </c>
    </row>
    <row r="2980" spans="1:7" x14ac:dyDescent="0.2">
      <c r="A2980" s="2">
        <v>46063</v>
      </c>
      <c r="B2980" t="s">
        <v>3372</v>
      </c>
      <c r="C2980" t="s">
        <v>1</v>
      </c>
      <c r="D2980" t="s">
        <v>3</v>
      </c>
      <c r="E2980">
        <v>1</v>
      </c>
      <c r="F2980" t="s">
        <v>4027</v>
      </c>
      <c r="G2980">
        <v>66</v>
      </c>
    </row>
    <row r="2981" spans="1:7" x14ac:dyDescent="0.2">
      <c r="A2981" s="2">
        <v>46064</v>
      </c>
      <c r="B2981" t="s">
        <v>3374</v>
      </c>
      <c r="C2981" t="s">
        <v>1</v>
      </c>
      <c r="D2981" t="s">
        <v>3</v>
      </c>
      <c r="E2981">
        <v>1</v>
      </c>
      <c r="F2981" t="s">
        <v>4027</v>
      </c>
      <c r="G2981">
        <v>88</v>
      </c>
    </row>
    <row r="2982" spans="1:7" x14ac:dyDescent="0.2">
      <c r="A2982" s="2">
        <v>46064</v>
      </c>
      <c r="B2982" t="s">
        <v>3373</v>
      </c>
      <c r="C2982" t="s">
        <v>1</v>
      </c>
      <c r="D2982" t="s">
        <v>3</v>
      </c>
      <c r="E2982">
        <v>1</v>
      </c>
      <c r="F2982" t="s">
        <v>4027</v>
      </c>
      <c r="G2982">
        <v>75</v>
      </c>
    </row>
    <row r="2983" spans="1:7" x14ac:dyDescent="0.2">
      <c r="A2983" s="2">
        <v>46064</v>
      </c>
      <c r="B2983" t="s">
        <v>3381</v>
      </c>
      <c r="C2983" t="s">
        <v>1</v>
      </c>
      <c r="D2983" t="s">
        <v>3</v>
      </c>
      <c r="E2983">
        <v>1</v>
      </c>
      <c r="F2983" t="s">
        <v>4027</v>
      </c>
      <c r="G2983">
        <v>84</v>
      </c>
    </row>
    <row r="2984" spans="1:7" x14ac:dyDescent="0.2">
      <c r="A2984" s="2">
        <v>46064</v>
      </c>
      <c r="B2984" t="s">
        <v>3380</v>
      </c>
      <c r="C2984" t="s">
        <v>1</v>
      </c>
      <c r="D2984" t="s">
        <v>3</v>
      </c>
      <c r="E2984">
        <v>1</v>
      </c>
      <c r="F2984" t="s">
        <v>4027</v>
      </c>
      <c r="G2984">
        <v>85</v>
      </c>
    </row>
    <row r="2985" spans="1:7" x14ac:dyDescent="0.2">
      <c r="A2985" s="2">
        <v>46064</v>
      </c>
      <c r="B2985" t="s">
        <v>3379</v>
      </c>
      <c r="C2985" t="s">
        <v>1</v>
      </c>
      <c r="D2985" t="s">
        <v>3</v>
      </c>
      <c r="E2985">
        <v>1</v>
      </c>
      <c r="F2985" t="s">
        <v>4027</v>
      </c>
      <c r="G2985">
        <v>71</v>
      </c>
    </row>
    <row r="2986" spans="1:7" x14ac:dyDescent="0.2">
      <c r="A2986" s="2">
        <v>46064</v>
      </c>
      <c r="B2986" t="s">
        <v>3378</v>
      </c>
      <c r="C2986" t="s">
        <v>1</v>
      </c>
      <c r="D2986" t="s">
        <v>3</v>
      </c>
      <c r="E2986">
        <v>1</v>
      </c>
      <c r="F2986" t="s">
        <v>4027</v>
      </c>
      <c r="G2986">
        <v>88</v>
      </c>
    </row>
    <row r="2987" spans="1:7" x14ac:dyDescent="0.2">
      <c r="A2987" s="2">
        <v>46064</v>
      </c>
      <c r="B2987" t="s">
        <v>3377</v>
      </c>
      <c r="C2987" t="s">
        <v>1</v>
      </c>
      <c r="D2987" t="s">
        <v>3</v>
      </c>
      <c r="E2987">
        <v>1</v>
      </c>
      <c r="F2987" t="s">
        <v>4027</v>
      </c>
      <c r="G2987">
        <v>87</v>
      </c>
    </row>
    <row r="2988" spans="1:7" x14ac:dyDescent="0.2">
      <c r="A2988" s="2">
        <v>46064</v>
      </c>
      <c r="B2988" t="s">
        <v>3375</v>
      </c>
      <c r="C2988" t="s">
        <v>1</v>
      </c>
      <c r="D2988" t="s">
        <v>3</v>
      </c>
      <c r="E2988">
        <v>1</v>
      </c>
      <c r="F2988" t="s">
        <v>4027</v>
      </c>
      <c r="G2988">
        <v>88</v>
      </c>
    </row>
    <row r="2989" spans="1:7" x14ac:dyDescent="0.2">
      <c r="A2989" s="2">
        <v>46064</v>
      </c>
      <c r="B2989" t="s">
        <v>3376</v>
      </c>
      <c r="C2989" t="s">
        <v>1</v>
      </c>
      <c r="D2989" t="s">
        <v>3</v>
      </c>
      <c r="E2989">
        <v>1</v>
      </c>
      <c r="F2989" t="s">
        <v>4027</v>
      </c>
      <c r="G2989">
        <v>83</v>
      </c>
    </row>
    <row r="2990" spans="1:7" x14ac:dyDescent="0.2">
      <c r="A2990" s="2">
        <v>46065</v>
      </c>
      <c r="B2990" t="s">
        <v>3382</v>
      </c>
      <c r="C2990" t="s">
        <v>1</v>
      </c>
      <c r="D2990" t="s">
        <v>3</v>
      </c>
      <c r="E2990">
        <v>1</v>
      </c>
      <c r="F2990" t="s">
        <v>4027</v>
      </c>
      <c r="G2990">
        <v>61</v>
      </c>
    </row>
    <row r="2991" spans="1:7" x14ac:dyDescent="0.2">
      <c r="A2991" s="2">
        <v>46066</v>
      </c>
      <c r="B2991" t="s">
        <v>3383</v>
      </c>
      <c r="C2991" t="s">
        <v>1</v>
      </c>
      <c r="D2991" t="s">
        <v>3</v>
      </c>
      <c r="E2991">
        <v>1</v>
      </c>
      <c r="F2991" t="s">
        <v>4027</v>
      </c>
      <c r="G2991">
        <v>78</v>
      </c>
    </row>
    <row r="2992" spans="1:7" x14ac:dyDescent="0.2">
      <c r="A2992" s="2">
        <v>46067</v>
      </c>
      <c r="B2992" t="s">
        <v>3387</v>
      </c>
      <c r="C2992" t="s">
        <v>1</v>
      </c>
      <c r="D2992" t="s">
        <v>3</v>
      </c>
      <c r="E2992">
        <v>1</v>
      </c>
      <c r="F2992" t="s">
        <v>4027</v>
      </c>
      <c r="G2992">
        <v>81</v>
      </c>
    </row>
    <row r="2993" spans="1:7" x14ac:dyDescent="0.2">
      <c r="A2993" s="2">
        <v>46067</v>
      </c>
      <c r="B2993" t="s">
        <v>3386</v>
      </c>
      <c r="C2993" t="s">
        <v>1</v>
      </c>
      <c r="D2993" t="s">
        <v>3</v>
      </c>
      <c r="E2993">
        <v>1</v>
      </c>
      <c r="F2993" t="s">
        <v>4027</v>
      </c>
      <c r="G2993">
        <v>61</v>
      </c>
    </row>
    <row r="2994" spans="1:7" x14ac:dyDescent="0.2">
      <c r="A2994" s="2">
        <v>46067</v>
      </c>
      <c r="B2994" t="s">
        <v>3385</v>
      </c>
      <c r="C2994" t="s">
        <v>1</v>
      </c>
      <c r="D2994" t="s">
        <v>3</v>
      </c>
      <c r="E2994">
        <v>1</v>
      </c>
      <c r="F2994" t="s">
        <v>4027</v>
      </c>
      <c r="G2994">
        <v>80</v>
      </c>
    </row>
    <row r="2995" spans="1:7" x14ac:dyDescent="0.2">
      <c r="A2995" s="2">
        <v>46067</v>
      </c>
      <c r="B2995" t="s">
        <v>3384</v>
      </c>
      <c r="C2995" t="s">
        <v>1</v>
      </c>
      <c r="D2995" t="s">
        <v>3</v>
      </c>
      <c r="E2995">
        <v>1</v>
      </c>
      <c r="F2995" t="s">
        <v>4027</v>
      </c>
      <c r="G2995">
        <v>75</v>
      </c>
    </row>
    <row r="2996" spans="1:7" x14ac:dyDescent="0.2">
      <c r="A2996" s="2">
        <v>46069</v>
      </c>
      <c r="B2996" t="s">
        <v>3393</v>
      </c>
      <c r="C2996" t="s">
        <v>1</v>
      </c>
      <c r="D2996" t="s">
        <v>3</v>
      </c>
      <c r="E2996">
        <v>1</v>
      </c>
      <c r="F2996" t="s">
        <v>4027</v>
      </c>
      <c r="G2996">
        <v>79</v>
      </c>
    </row>
    <row r="2997" spans="1:7" x14ac:dyDescent="0.2">
      <c r="A2997" s="2">
        <v>46069</v>
      </c>
      <c r="B2997" t="s">
        <v>3394</v>
      </c>
      <c r="C2997" t="s">
        <v>1</v>
      </c>
      <c r="D2997" t="s">
        <v>3</v>
      </c>
      <c r="E2997">
        <v>1</v>
      </c>
      <c r="F2997" t="s">
        <v>4027</v>
      </c>
      <c r="G2997">
        <v>62</v>
      </c>
    </row>
    <row r="2998" spans="1:7" x14ac:dyDescent="0.2">
      <c r="A2998" s="2">
        <v>46069</v>
      </c>
      <c r="B2998" t="s">
        <v>3395</v>
      </c>
      <c r="C2998" t="s">
        <v>1</v>
      </c>
      <c r="D2998" t="s">
        <v>3</v>
      </c>
      <c r="E2998">
        <v>1</v>
      </c>
      <c r="F2998" t="s">
        <v>4027</v>
      </c>
      <c r="G2998">
        <v>63</v>
      </c>
    </row>
    <row r="2999" spans="1:7" x14ac:dyDescent="0.2">
      <c r="A2999" s="2">
        <v>46069</v>
      </c>
      <c r="B2999" t="s">
        <v>3391</v>
      </c>
      <c r="C2999" t="s">
        <v>1</v>
      </c>
      <c r="D2999" t="s">
        <v>3</v>
      </c>
      <c r="E2999">
        <v>1</v>
      </c>
      <c r="F2999" t="s">
        <v>4027</v>
      </c>
      <c r="G2999">
        <v>61</v>
      </c>
    </row>
    <row r="3000" spans="1:7" x14ac:dyDescent="0.2">
      <c r="A3000" s="2">
        <v>46069</v>
      </c>
      <c r="B3000" t="s">
        <v>3389</v>
      </c>
      <c r="C3000" t="s">
        <v>1</v>
      </c>
      <c r="D3000" t="s">
        <v>3</v>
      </c>
      <c r="E3000">
        <v>1</v>
      </c>
      <c r="F3000" t="s">
        <v>4027</v>
      </c>
      <c r="G3000">
        <v>62</v>
      </c>
    </row>
    <row r="3001" spans="1:7" x14ac:dyDescent="0.2">
      <c r="A3001" s="2">
        <v>46069</v>
      </c>
      <c r="B3001" t="s">
        <v>3388</v>
      </c>
      <c r="C3001" t="s">
        <v>1</v>
      </c>
      <c r="D3001" t="s">
        <v>3</v>
      </c>
      <c r="E3001">
        <v>1</v>
      </c>
      <c r="F3001" t="s">
        <v>4027</v>
      </c>
      <c r="G3001">
        <v>79</v>
      </c>
    </row>
    <row r="3002" spans="1:7" x14ac:dyDescent="0.2">
      <c r="A3002" s="2">
        <v>46069</v>
      </c>
      <c r="B3002" t="s">
        <v>3392</v>
      </c>
      <c r="C3002" t="s">
        <v>1</v>
      </c>
      <c r="D3002" t="s">
        <v>3</v>
      </c>
      <c r="E3002">
        <v>1</v>
      </c>
      <c r="F3002" t="s">
        <v>4027</v>
      </c>
      <c r="G3002">
        <v>65</v>
      </c>
    </row>
    <row r="3003" spans="1:7" x14ac:dyDescent="0.2">
      <c r="A3003" s="2">
        <v>46069</v>
      </c>
      <c r="B3003" t="s">
        <v>3390</v>
      </c>
      <c r="C3003" t="s">
        <v>1</v>
      </c>
      <c r="D3003" t="s">
        <v>3</v>
      </c>
      <c r="E3003">
        <v>1</v>
      </c>
      <c r="F3003" t="s">
        <v>4027</v>
      </c>
      <c r="G3003">
        <v>62</v>
      </c>
    </row>
    <row r="3004" spans="1:7" x14ac:dyDescent="0.2">
      <c r="A3004" s="2">
        <v>46070</v>
      </c>
      <c r="B3004" t="s">
        <v>3399</v>
      </c>
      <c r="C3004" t="s">
        <v>1</v>
      </c>
      <c r="D3004" t="s">
        <v>3</v>
      </c>
      <c r="E3004">
        <v>1</v>
      </c>
      <c r="F3004" t="s">
        <v>4027</v>
      </c>
      <c r="G3004">
        <v>63</v>
      </c>
    </row>
    <row r="3005" spans="1:7" x14ac:dyDescent="0.2">
      <c r="A3005" s="2">
        <v>46070</v>
      </c>
      <c r="B3005" t="s">
        <v>3398</v>
      </c>
      <c r="C3005" t="s">
        <v>1</v>
      </c>
      <c r="D3005" t="s">
        <v>3</v>
      </c>
      <c r="E3005">
        <v>1</v>
      </c>
      <c r="F3005" t="s">
        <v>4027</v>
      </c>
      <c r="G3005">
        <v>64</v>
      </c>
    </row>
    <row r="3006" spans="1:7" x14ac:dyDescent="0.2">
      <c r="A3006" s="2">
        <v>46070</v>
      </c>
      <c r="B3006" t="s">
        <v>3397</v>
      </c>
      <c r="C3006" t="s">
        <v>1</v>
      </c>
      <c r="D3006" t="s">
        <v>3</v>
      </c>
      <c r="E3006">
        <v>1</v>
      </c>
      <c r="F3006" t="s">
        <v>4027</v>
      </c>
      <c r="G3006">
        <v>64</v>
      </c>
    </row>
    <row r="3007" spans="1:7" x14ac:dyDescent="0.2">
      <c r="A3007" s="2">
        <v>46070</v>
      </c>
      <c r="B3007" t="s">
        <v>3396</v>
      </c>
      <c r="C3007" t="s">
        <v>1</v>
      </c>
      <c r="D3007" t="s">
        <v>3</v>
      </c>
      <c r="E3007">
        <v>1</v>
      </c>
      <c r="F3007" t="s">
        <v>4027</v>
      </c>
      <c r="G3007">
        <v>76</v>
      </c>
    </row>
    <row r="3008" spans="1:7" x14ac:dyDescent="0.2">
      <c r="A3008" s="2">
        <v>46071</v>
      </c>
      <c r="B3008" t="s">
        <v>3406</v>
      </c>
      <c r="C3008" t="s">
        <v>1</v>
      </c>
      <c r="D3008" t="s">
        <v>3</v>
      </c>
      <c r="E3008">
        <v>1</v>
      </c>
      <c r="F3008" t="s">
        <v>4027</v>
      </c>
      <c r="G3008">
        <v>88</v>
      </c>
    </row>
    <row r="3009" spans="1:7" x14ac:dyDescent="0.2">
      <c r="A3009" s="2">
        <v>46071</v>
      </c>
      <c r="B3009" t="s">
        <v>3402</v>
      </c>
      <c r="C3009" t="s">
        <v>1</v>
      </c>
      <c r="D3009" t="s">
        <v>3</v>
      </c>
      <c r="E3009">
        <v>1</v>
      </c>
      <c r="F3009" t="s">
        <v>4027</v>
      </c>
      <c r="G3009">
        <v>78</v>
      </c>
    </row>
    <row r="3010" spans="1:7" x14ac:dyDescent="0.2">
      <c r="A3010" s="2">
        <v>46071</v>
      </c>
      <c r="B3010" t="s">
        <v>3401</v>
      </c>
      <c r="C3010" t="s">
        <v>1</v>
      </c>
      <c r="D3010" t="s">
        <v>3</v>
      </c>
      <c r="E3010">
        <v>1</v>
      </c>
      <c r="F3010" t="s">
        <v>4027</v>
      </c>
      <c r="G3010">
        <v>63</v>
      </c>
    </row>
    <row r="3011" spans="1:7" x14ac:dyDescent="0.2">
      <c r="A3011" s="2">
        <v>46071</v>
      </c>
      <c r="B3011" t="s">
        <v>3400</v>
      </c>
      <c r="C3011" t="s">
        <v>1</v>
      </c>
      <c r="D3011" t="s">
        <v>3</v>
      </c>
      <c r="E3011">
        <v>1</v>
      </c>
      <c r="F3011" t="s">
        <v>4027</v>
      </c>
      <c r="G3011">
        <v>70</v>
      </c>
    </row>
    <row r="3012" spans="1:7" x14ac:dyDescent="0.2">
      <c r="A3012" s="2">
        <v>46071</v>
      </c>
      <c r="B3012" t="s">
        <v>3405</v>
      </c>
      <c r="C3012" t="s">
        <v>1</v>
      </c>
      <c r="D3012" t="s">
        <v>3</v>
      </c>
      <c r="E3012">
        <v>1</v>
      </c>
      <c r="F3012" t="s">
        <v>4027</v>
      </c>
      <c r="G3012">
        <v>74</v>
      </c>
    </row>
    <row r="3013" spans="1:7" x14ac:dyDescent="0.2">
      <c r="A3013" s="2">
        <v>46071</v>
      </c>
      <c r="B3013" t="s">
        <v>3403</v>
      </c>
      <c r="C3013" t="s">
        <v>1</v>
      </c>
      <c r="D3013" t="s">
        <v>3</v>
      </c>
      <c r="E3013">
        <v>1</v>
      </c>
      <c r="F3013" t="s">
        <v>4027</v>
      </c>
      <c r="G3013">
        <v>88</v>
      </c>
    </row>
    <row r="3014" spans="1:7" x14ac:dyDescent="0.2">
      <c r="A3014" s="2">
        <v>46071</v>
      </c>
      <c r="B3014" t="s">
        <v>3404</v>
      </c>
      <c r="C3014" t="s">
        <v>1</v>
      </c>
      <c r="D3014" t="s">
        <v>3</v>
      </c>
      <c r="E3014">
        <v>1</v>
      </c>
      <c r="F3014" t="s">
        <v>4027</v>
      </c>
      <c r="G3014">
        <v>77</v>
      </c>
    </row>
    <row r="3015" spans="1:7" x14ac:dyDescent="0.2">
      <c r="A3015" s="2">
        <v>46071</v>
      </c>
      <c r="B3015" t="s">
        <v>3407</v>
      </c>
      <c r="C3015" t="s">
        <v>1</v>
      </c>
      <c r="D3015" t="s">
        <v>3</v>
      </c>
      <c r="E3015">
        <v>1</v>
      </c>
      <c r="F3015" t="s">
        <v>4027</v>
      </c>
      <c r="G3015">
        <v>61</v>
      </c>
    </row>
    <row r="3016" spans="1:7" x14ac:dyDescent="0.2">
      <c r="A3016" s="2">
        <v>46072</v>
      </c>
      <c r="B3016" t="s">
        <v>3412</v>
      </c>
      <c r="C3016" t="s">
        <v>1</v>
      </c>
      <c r="D3016" t="s">
        <v>3</v>
      </c>
      <c r="E3016">
        <v>1</v>
      </c>
      <c r="F3016" t="s">
        <v>4027</v>
      </c>
      <c r="G3016">
        <v>75</v>
      </c>
    </row>
    <row r="3017" spans="1:7" x14ac:dyDescent="0.2">
      <c r="A3017" s="2">
        <v>46072</v>
      </c>
      <c r="B3017" t="s">
        <v>3411</v>
      </c>
      <c r="C3017" t="s">
        <v>1</v>
      </c>
      <c r="D3017" t="s">
        <v>3</v>
      </c>
      <c r="E3017">
        <v>1</v>
      </c>
      <c r="F3017" t="s">
        <v>4027</v>
      </c>
      <c r="G3017">
        <v>66</v>
      </c>
    </row>
    <row r="3018" spans="1:7" x14ac:dyDescent="0.2">
      <c r="A3018" s="2">
        <v>46072</v>
      </c>
      <c r="B3018" t="s">
        <v>3410</v>
      </c>
      <c r="C3018" t="s">
        <v>1</v>
      </c>
      <c r="D3018" t="s">
        <v>3</v>
      </c>
      <c r="E3018">
        <v>1</v>
      </c>
      <c r="F3018" t="s">
        <v>4027</v>
      </c>
      <c r="G3018">
        <v>79</v>
      </c>
    </row>
    <row r="3019" spans="1:7" x14ac:dyDescent="0.2">
      <c r="A3019" s="2">
        <v>46072</v>
      </c>
      <c r="B3019" t="s">
        <v>3409</v>
      </c>
      <c r="C3019" t="s">
        <v>1</v>
      </c>
      <c r="D3019" t="s">
        <v>3</v>
      </c>
      <c r="E3019">
        <v>1</v>
      </c>
      <c r="F3019" t="s">
        <v>4027</v>
      </c>
      <c r="G3019">
        <v>61</v>
      </c>
    </row>
    <row r="3020" spans="1:7" x14ac:dyDescent="0.2">
      <c r="A3020" s="2">
        <v>46072</v>
      </c>
      <c r="B3020" t="s">
        <v>3408</v>
      </c>
      <c r="C3020" t="s">
        <v>1</v>
      </c>
      <c r="D3020" t="s">
        <v>3</v>
      </c>
      <c r="E3020">
        <v>1</v>
      </c>
      <c r="F3020" t="s">
        <v>4027</v>
      </c>
      <c r="G3020">
        <v>86</v>
      </c>
    </row>
    <row r="3021" spans="1:7" x14ac:dyDescent="0.2">
      <c r="A3021" s="2">
        <v>46072</v>
      </c>
      <c r="B3021" t="s">
        <v>3413</v>
      </c>
      <c r="C3021" t="s">
        <v>1</v>
      </c>
      <c r="D3021" t="s">
        <v>3</v>
      </c>
      <c r="E3021">
        <v>1</v>
      </c>
      <c r="F3021" t="s">
        <v>4027</v>
      </c>
      <c r="G3021">
        <v>60</v>
      </c>
    </row>
    <row r="3022" spans="1:7" x14ac:dyDescent="0.2">
      <c r="A3022" s="2">
        <v>46073</v>
      </c>
      <c r="B3022" t="s">
        <v>3416</v>
      </c>
      <c r="C3022" t="s">
        <v>1</v>
      </c>
      <c r="D3022" t="s">
        <v>3</v>
      </c>
      <c r="E3022">
        <v>1</v>
      </c>
      <c r="F3022" t="s">
        <v>4027</v>
      </c>
      <c r="G3022">
        <v>65</v>
      </c>
    </row>
    <row r="3023" spans="1:7" x14ac:dyDescent="0.2">
      <c r="A3023" s="2">
        <v>46073</v>
      </c>
      <c r="B3023" t="s">
        <v>3697</v>
      </c>
      <c r="C3023" t="s">
        <v>2</v>
      </c>
      <c r="D3023" t="s">
        <v>4</v>
      </c>
      <c r="E3023">
        <v>1</v>
      </c>
      <c r="F3023" t="s">
        <v>600</v>
      </c>
      <c r="G3023">
        <v>22</v>
      </c>
    </row>
    <row r="3024" spans="1:7" x14ac:dyDescent="0.2">
      <c r="A3024" s="2">
        <v>46073</v>
      </c>
      <c r="B3024" t="s">
        <v>3698</v>
      </c>
      <c r="C3024" t="s">
        <v>2</v>
      </c>
      <c r="D3024" t="s">
        <v>4</v>
      </c>
      <c r="E3024">
        <v>1</v>
      </c>
      <c r="F3024" t="s">
        <v>600</v>
      </c>
      <c r="G3024">
        <v>22</v>
      </c>
    </row>
    <row r="3025" spans="1:7" x14ac:dyDescent="0.2">
      <c r="A3025" s="2">
        <v>46073</v>
      </c>
      <c r="B3025" t="s">
        <v>3695</v>
      </c>
      <c r="C3025" t="s">
        <v>2</v>
      </c>
      <c r="D3025" t="s">
        <v>4</v>
      </c>
      <c r="E3025">
        <v>1</v>
      </c>
      <c r="F3025" t="s">
        <v>600</v>
      </c>
      <c r="G3025">
        <v>22</v>
      </c>
    </row>
    <row r="3026" spans="1:7" x14ac:dyDescent="0.2">
      <c r="A3026" s="2">
        <v>46073</v>
      </c>
      <c r="B3026" t="s">
        <v>3694</v>
      </c>
      <c r="C3026" t="s">
        <v>2</v>
      </c>
      <c r="D3026" t="s">
        <v>4</v>
      </c>
      <c r="E3026">
        <v>1</v>
      </c>
      <c r="F3026" t="s">
        <v>600</v>
      </c>
      <c r="G3026">
        <v>22</v>
      </c>
    </row>
    <row r="3027" spans="1:7" x14ac:dyDescent="0.2">
      <c r="A3027" s="2">
        <v>46073</v>
      </c>
      <c r="B3027" t="s">
        <v>3415</v>
      </c>
      <c r="C3027" t="s">
        <v>1</v>
      </c>
      <c r="D3027" t="s">
        <v>3</v>
      </c>
      <c r="E3027">
        <v>1</v>
      </c>
      <c r="F3027" t="s">
        <v>4027</v>
      </c>
      <c r="G3027">
        <v>67</v>
      </c>
    </row>
    <row r="3028" spans="1:7" x14ac:dyDescent="0.2">
      <c r="A3028" s="2">
        <v>46073</v>
      </c>
      <c r="B3028" t="s">
        <v>3414</v>
      </c>
      <c r="C3028" t="s">
        <v>1</v>
      </c>
      <c r="D3028" t="s">
        <v>3</v>
      </c>
      <c r="E3028">
        <v>1</v>
      </c>
      <c r="F3028" t="s">
        <v>4027</v>
      </c>
      <c r="G3028">
        <v>60</v>
      </c>
    </row>
    <row r="3029" spans="1:7" x14ac:dyDescent="0.2">
      <c r="A3029" s="2">
        <v>46073</v>
      </c>
      <c r="B3029" t="s">
        <v>3420</v>
      </c>
      <c r="C3029" t="s">
        <v>1</v>
      </c>
      <c r="D3029" t="s">
        <v>3</v>
      </c>
      <c r="E3029">
        <v>1</v>
      </c>
      <c r="F3029" t="s">
        <v>4027</v>
      </c>
      <c r="G3029">
        <v>87</v>
      </c>
    </row>
    <row r="3030" spans="1:7" x14ac:dyDescent="0.2">
      <c r="A3030" s="2">
        <v>46073</v>
      </c>
      <c r="B3030" t="s">
        <v>3419</v>
      </c>
      <c r="C3030" t="s">
        <v>1</v>
      </c>
      <c r="D3030" t="s">
        <v>3</v>
      </c>
      <c r="E3030">
        <v>1</v>
      </c>
      <c r="F3030" t="s">
        <v>4027</v>
      </c>
      <c r="G3030">
        <v>83</v>
      </c>
    </row>
    <row r="3031" spans="1:7" x14ac:dyDescent="0.2">
      <c r="A3031" s="2">
        <v>46073</v>
      </c>
      <c r="B3031" t="s">
        <v>3418</v>
      </c>
      <c r="C3031" t="s">
        <v>1</v>
      </c>
      <c r="D3031" t="s">
        <v>3</v>
      </c>
      <c r="E3031">
        <v>1</v>
      </c>
      <c r="F3031" t="s">
        <v>4027</v>
      </c>
      <c r="G3031">
        <v>70</v>
      </c>
    </row>
    <row r="3032" spans="1:7" x14ac:dyDescent="0.2">
      <c r="A3032" s="2">
        <v>46073</v>
      </c>
      <c r="B3032" t="s">
        <v>3417</v>
      </c>
      <c r="C3032" t="s">
        <v>1</v>
      </c>
      <c r="D3032" t="s">
        <v>3</v>
      </c>
      <c r="E3032">
        <v>1</v>
      </c>
      <c r="F3032" t="s">
        <v>4027</v>
      </c>
      <c r="G3032">
        <v>81</v>
      </c>
    </row>
    <row r="3033" spans="1:7" x14ac:dyDescent="0.2">
      <c r="A3033" s="2">
        <v>46073</v>
      </c>
      <c r="B3033" t="s">
        <v>3696</v>
      </c>
      <c r="C3033" t="s">
        <v>2</v>
      </c>
      <c r="D3033" t="s">
        <v>4</v>
      </c>
      <c r="E3033">
        <v>1</v>
      </c>
      <c r="F3033" t="s">
        <v>600</v>
      </c>
      <c r="G3033">
        <v>22</v>
      </c>
    </row>
    <row r="3034" spans="1:7" x14ac:dyDescent="0.2">
      <c r="A3034" s="2">
        <v>46074</v>
      </c>
      <c r="B3034" t="s">
        <v>3424</v>
      </c>
      <c r="C3034" t="s">
        <v>1</v>
      </c>
      <c r="D3034" t="s">
        <v>3</v>
      </c>
      <c r="E3034">
        <v>1</v>
      </c>
      <c r="F3034" t="s">
        <v>4027</v>
      </c>
      <c r="G3034">
        <v>83</v>
      </c>
    </row>
    <row r="3035" spans="1:7" x14ac:dyDescent="0.2">
      <c r="A3035" s="2">
        <v>46074</v>
      </c>
      <c r="B3035" t="s">
        <v>3423</v>
      </c>
      <c r="C3035" t="s">
        <v>1</v>
      </c>
      <c r="D3035" t="s">
        <v>3</v>
      </c>
      <c r="E3035">
        <v>1</v>
      </c>
      <c r="F3035" t="s">
        <v>4027</v>
      </c>
      <c r="G3035">
        <v>68</v>
      </c>
    </row>
    <row r="3036" spans="1:7" x14ac:dyDescent="0.2">
      <c r="A3036" s="2">
        <v>46074</v>
      </c>
      <c r="B3036" t="s">
        <v>3422</v>
      </c>
      <c r="C3036" t="s">
        <v>1</v>
      </c>
      <c r="D3036" t="s">
        <v>3</v>
      </c>
      <c r="E3036">
        <v>1</v>
      </c>
      <c r="F3036" t="s">
        <v>4027</v>
      </c>
      <c r="G3036">
        <v>62</v>
      </c>
    </row>
    <row r="3037" spans="1:7" x14ac:dyDescent="0.2">
      <c r="A3037" s="2">
        <v>46074</v>
      </c>
      <c r="B3037" t="s">
        <v>3421</v>
      </c>
      <c r="C3037" t="s">
        <v>1</v>
      </c>
      <c r="D3037" t="s">
        <v>3</v>
      </c>
      <c r="E3037">
        <v>1</v>
      </c>
      <c r="F3037" t="s">
        <v>4027</v>
      </c>
      <c r="G3037">
        <v>66</v>
      </c>
    </row>
    <row r="3038" spans="1:7" x14ac:dyDescent="0.2">
      <c r="A3038" s="2">
        <v>46076</v>
      </c>
      <c r="B3038" t="s">
        <v>3427</v>
      </c>
      <c r="C3038" t="s">
        <v>1</v>
      </c>
      <c r="D3038" t="s">
        <v>3</v>
      </c>
      <c r="E3038">
        <v>1</v>
      </c>
      <c r="F3038" t="s">
        <v>4027</v>
      </c>
      <c r="G3038">
        <v>86</v>
      </c>
    </row>
    <row r="3039" spans="1:7" x14ac:dyDescent="0.2">
      <c r="A3039" s="2">
        <v>46076</v>
      </c>
      <c r="B3039" t="s">
        <v>3426</v>
      </c>
      <c r="C3039" t="s">
        <v>1</v>
      </c>
      <c r="D3039" t="s">
        <v>3</v>
      </c>
      <c r="E3039">
        <v>1</v>
      </c>
      <c r="F3039" t="s">
        <v>4027</v>
      </c>
      <c r="G3039">
        <v>81</v>
      </c>
    </row>
    <row r="3040" spans="1:7" x14ac:dyDescent="0.2">
      <c r="A3040" s="2">
        <v>46076</v>
      </c>
      <c r="B3040" t="s">
        <v>3425</v>
      </c>
      <c r="C3040" t="s">
        <v>1</v>
      </c>
      <c r="D3040" t="s">
        <v>3</v>
      </c>
      <c r="E3040">
        <v>1</v>
      </c>
      <c r="F3040" t="s">
        <v>4027</v>
      </c>
      <c r="G3040">
        <v>86</v>
      </c>
    </row>
    <row r="3041" spans="1:7" x14ac:dyDescent="0.2">
      <c r="A3041" s="2">
        <v>46076</v>
      </c>
      <c r="B3041" t="s">
        <v>3428</v>
      </c>
      <c r="C3041" t="s">
        <v>1</v>
      </c>
      <c r="D3041" t="s">
        <v>3</v>
      </c>
      <c r="E3041">
        <v>1</v>
      </c>
      <c r="F3041" t="s">
        <v>4027</v>
      </c>
      <c r="G3041">
        <v>85</v>
      </c>
    </row>
    <row r="3042" spans="1:7" x14ac:dyDescent="0.2">
      <c r="A3042" s="2">
        <v>46077</v>
      </c>
      <c r="B3042" t="s">
        <v>3434</v>
      </c>
      <c r="C3042" t="s">
        <v>1</v>
      </c>
      <c r="D3042" t="s">
        <v>3</v>
      </c>
      <c r="E3042">
        <v>1</v>
      </c>
      <c r="F3042" t="s">
        <v>4027</v>
      </c>
      <c r="G3042">
        <v>73</v>
      </c>
    </row>
    <row r="3043" spans="1:7" x14ac:dyDescent="0.2">
      <c r="A3043" s="2">
        <v>46077</v>
      </c>
      <c r="B3043" t="s">
        <v>3437</v>
      </c>
      <c r="C3043" t="s">
        <v>1</v>
      </c>
      <c r="D3043" t="s">
        <v>3</v>
      </c>
      <c r="E3043">
        <v>1</v>
      </c>
      <c r="F3043" t="s">
        <v>4027</v>
      </c>
      <c r="G3043">
        <v>60</v>
      </c>
    </row>
    <row r="3044" spans="1:7" x14ac:dyDescent="0.2">
      <c r="A3044" s="2">
        <v>46077</v>
      </c>
      <c r="B3044" t="s">
        <v>3436</v>
      </c>
      <c r="C3044" t="s">
        <v>1</v>
      </c>
      <c r="D3044" t="s">
        <v>3</v>
      </c>
      <c r="E3044">
        <v>1</v>
      </c>
      <c r="F3044" t="s">
        <v>4027</v>
      </c>
      <c r="G3044">
        <v>75</v>
      </c>
    </row>
    <row r="3045" spans="1:7" x14ac:dyDescent="0.2">
      <c r="A3045" s="2">
        <v>46077</v>
      </c>
      <c r="B3045" t="s">
        <v>3435</v>
      </c>
      <c r="C3045" t="s">
        <v>1</v>
      </c>
      <c r="D3045" t="s">
        <v>3</v>
      </c>
      <c r="E3045">
        <v>1</v>
      </c>
      <c r="F3045" t="s">
        <v>4027</v>
      </c>
      <c r="G3045">
        <v>73</v>
      </c>
    </row>
    <row r="3046" spans="1:7" x14ac:dyDescent="0.2">
      <c r="A3046" s="2">
        <v>46077</v>
      </c>
      <c r="B3046" t="s">
        <v>3433</v>
      </c>
      <c r="C3046" t="s">
        <v>1</v>
      </c>
      <c r="D3046" t="s">
        <v>3</v>
      </c>
      <c r="E3046">
        <v>1</v>
      </c>
      <c r="F3046" t="s">
        <v>4027</v>
      </c>
      <c r="G3046">
        <v>65</v>
      </c>
    </row>
    <row r="3047" spans="1:7" x14ac:dyDescent="0.2">
      <c r="A3047" s="2">
        <v>46077</v>
      </c>
      <c r="B3047" t="s">
        <v>3432</v>
      </c>
      <c r="C3047" t="s">
        <v>1</v>
      </c>
      <c r="D3047" t="s">
        <v>3</v>
      </c>
      <c r="E3047">
        <v>1</v>
      </c>
      <c r="F3047" t="s">
        <v>4027</v>
      </c>
      <c r="G3047">
        <v>70</v>
      </c>
    </row>
    <row r="3048" spans="1:7" x14ac:dyDescent="0.2">
      <c r="A3048" s="2">
        <v>46077</v>
      </c>
      <c r="B3048" t="s">
        <v>3431</v>
      </c>
      <c r="C3048" t="s">
        <v>1</v>
      </c>
      <c r="D3048" t="s">
        <v>3</v>
      </c>
      <c r="E3048">
        <v>1</v>
      </c>
      <c r="F3048" t="s">
        <v>4027</v>
      </c>
      <c r="G3048">
        <v>78</v>
      </c>
    </row>
    <row r="3049" spans="1:7" x14ac:dyDescent="0.2">
      <c r="A3049" s="2">
        <v>46077</v>
      </c>
      <c r="B3049" t="s">
        <v>3430</v>
      </c>
      <c r="C3049" t="s">
        <v>1</v>
      </c>
      <c r="D3049" t="s">
        <v>3</v>
      </c>
      <c r="E3049">
        <v>1</v>
      </c>
      <c r="F3049" t="s">
        <v>4027</v>
      </c>
      <c r="G3049">
        <v>77</v>
      </c>
    </row>
    <row r="3050" spans="1:7" x14ac:dyDescent="0.2">
      <c r="A3050" s="2">
        <v>46077</v>
      </c>
      <c r="B3050" t="s">
        <v>3438</v>
      </c>
      <c r="C3050" t="s">
        <v>1</v>
      </c>
      <c r="D3050" t="s">
        <v>3</v>
      </c>
      <c r="E3050">
        <v>1</v>
      </c>
      <c r="F3050" t="s">
        <v>4027</v>
      </c>
      <c r="G3050">
        <v>76</v>
      </c>
    </row>
    <row r="3051" spans="1:7" x14ac:dyDescent="0.2">
      <c r="A3051" s="2">
        <v>46077</v>
      </c>
      <c r="B3051" t="s">
        <v>3429</v>
      </c>
      <c r="C3051" t="s">
        <v>1</v>
      </c>
      <c r="D3051" t="s">
        <v>3</v>
      </c>
      <c r="E3051">
        <v>1</v>
      </c>
      <c r="F3051" t="s">
        <v>4027</v>
      </c>
      <c r="G3051">
        <v>88</v>
      </c>
    </row>
    <row r="3052" spans="1:7" x14ac:dyDescent="0.2">
      <c r="A3052" s="2">
        <v>46079</v>
      </c>
      <c r="B3052" t="s">
        <v>3441</v>
      </c>
      <c r="C3052" t="s">
        <v>1</v>
      </c>
      <c r="D3052" t="s">
        <v>3</v>
      </c>
      <c r="E3052">
        <v>1</v>
      </c>
      <c r="F3052" t="s">
        <v>4027</v>
      </c>
      <c r="G3052">
        <v>88</v>
      </c>
    </row>
    <row r="3053" spans="1:7" x14ac:dyDescent="0.2">
      <c r="A3053" s="2">
        <v>46079</v>
      </c>
      <c r="B3053" t="s">
        <v>3439</v>
      </c>
      <c r="C3053" t="s">
        <v>1</v>
      </c>
      <c r="D3053" t="s">
        <v>3</v>
      </c>
      <c r="E3053">
        <v>1</v>
      </c>
      <c r="F3053" t="s">
        <v>4027</v>
      </c>
      <c r="G3053">
        <v>86</v>
      </c>
    </row>
    <row r="3054" spans="1:7" x14ac:dyDescent="0.2">
      <c r="A3054" s="2">
        <v>46079</v>
      </c>
      <c r="B3054" t="s">
        <v>3440</v>
      </c>
      <c r="C3054" t="s">
        <v>1</v>
      </c>
      <c r="D3054" t="s">
        <v>3</v>
      </c>
      <c r="E3054">
        <v>1</v>
      </c>
      <c r="F3054" t="s">
        <v>4027</v>
      </c>
      <c r="G3054">
        <v>65</v>
      </c>
    </row>
    <row r="3055" spans="1:7" x14ac:dyDescent="0.2">
      <c r="A3055" s="2">
        <v>46080</v>
      </c>
      <c r="B3055" t="s">
        <v>3701</v>
      </c>
      <c r="C3055" t="s">
        <v>2</v>
      </c>
      <c r="D3055" t="s">
        <v>4</v>
      </c>
      <c r="E3055">
        <v>1</v>
      </c>
      <c r="F3055" t="s">
        <v>600</v>
      </c>
      <c r="G3055">
        <v>22</v>
      </c>
    </row>
    <row r="3056" spans="1:7" x14ac:dyDescent="0.2">
      <c r="A3056" s="2">
        <v>46080</v>
      </c>
      <c r="B3056" t="s">
        <v>3700</v>
      </c>
      <c r="C3056" t="s">
        <v>2</v>
      </c>
      <c r="D3056" t="s">
        <v>4</v>
      </c>
      <c r="E3056">
        <v>1</v>
      </c>
      <c r="F3056" t="s">
        <v>600</v>
      </c>
      <c r="G3056">
        <v>22</v>
      </c>
    </row>
    <row r="3057" spans="1:7" x14ac:dyDescent="0.2">
      <c r="A3057" s="2">
        <v>46080</v>
      </c>
      <c r="B3057" t="s">
        <v>3699</v>
      </c>
      <c r="C3057" t="s">
        <v>2</v>
      </c>
      <c r="D3057" t="s">
        <v>4</v>
      </c>
      <c r="E3057">
        <v>1</v>
      </c>
      <c r="F3057" t="s">
        <v>600</v>
      </c>
      <c r="G3057">
        <v>22</v>
      </c>
    </row>
    <row r="3058" spans="1:7" x14ac:dyDescent="0.2">
      <c r="A3058" s="2">
        <v>46080</v>
      </c>
      <c r="B3058" t="s">
        <v>3442</v>
      </c>
      <c r="C3058" t="s">
        <v>1</v>
      </c>
      <c r="D3058" t="s">
        <v>3</v>
      </c>
      <c r="E3058">
        <v>1</v>
      </c>
      <c r="F3058" t="s">
        <v>4027</v>
      </c>
      <c r="G3058">
        <v>61</v>
      </c>
    </row>
    <row r="3059" spans="1:7" x14ac:dyDescent="0.2">
      <c r="A3059" s="2">
        <v>46080</v>
      </c>
      <c r="B3059" t="s">
        <v>3448</v>
      </c>
      <c r="C3059" t="s">
        <v>1</v>
      </c>
      <c r="D3059" t="s">
        <v>3</v>
      </c>
      <c r="E3059">
        <v>1</v>
      </c>
      <c r="F3059" t="s">
        <v>4027</v>
      </c>
      <c r="G3059">
        <v>65</v>
      </c>
    </row>
    <row r="3060" spans="1:7" x14ac:dyDescent="0.2">
      <c r="A3060" s="2">
        <v>46080</v>
      </c>
      <c r="B3060" t="s">
        <v>3447</v>
      </c>
      <c r="C3060" t="s">
        <v>1</v>
      </c>
      <c r="D3060" t="s">
        <v>3</v>
      </c>
      <c r="E3060">
        <v>1</v>
      </c>
      <c r="F3060" t="s">
        <v>4027</v>
      </c>
      <c r="G3060">
        <v>60</v>
      </c>
    </row>
    <row r="3061" spans="1:7" x14ac:dyDescent="0.2">
      <c r="A3061" s="2">
        <v>46080</v>
      </c>
      <c r="B3061" t="s">
        <v>3446</v>
      </c>
      <c r="C3061" t="s">
        <v>1</v>
      </c>
      <c r="D3061" t="s">
        <v>3</v>
      </c>
      <c r="E3061">
        <v>1</v>
      </c>
      <c r="F3061" t="s">
        <v>4027</v>
      </c>
      <c r="G3061">
        <v>83</v>
      </c>
    </row>
    <row r="3062" spans="1:7" x14ac:dyDescent="0.2">
      <c r="A3062" s="2">
        <v>46080</v>
      </c>
      <c r="B3062" t="s">
        <v>3445</v>
      </c>
      <c r="C3062" t="s">
        <v>1</v>
      </c>
      <c r="D3062" t="s">
        <v>3</v>
      </c>
      <c r="E3062">
        <v>1</v>
      </c>
      <c r="F3062" t="s">
        <v>4027</v>
      </c>
      <c r="G3062">
        <v>74</v>
      </c>
    </row>
    <row r="3063" spans="1:7" x14ac:dyDescent="0.2">
      <c r="A3063" s="2">
        <v>46080</v>
      </c>
      <c r="B3063" t="s">
        <v>3443</v>
      </c>
      <c r="C3063" t="s">
        <v>1</v>
      </c>
      <c r="D3063" t="s">
        <v>3</v>
      </c>
      <c r="E3063">
        <v>1</v>
      </c>
      <c r="F3063" t="s">
        <v>4027</v>
      </c>
      <c r="G3063">
        <v>73</v>
      </c>
    </row>
    <row r="3064" spans="1:7" x14ac:dyDescent="0.2">
      <c r="A3064" s="2">
        <v>46080</v>
      </c>
      <c r="B3064" t="s">
        <v>3444</v>
      </c>
      <c r="C3064" t="s">
        <v>1</v>
      </c>
      <c r="D3064" t="s">
        <v>3</v>
      </c>
      <c r="E3064">
        <v>1</v>
      </c>
      <c r="F3064" t="s">
        <v>4027</v>
      </c>
      <c r="G3064">
        <v>79</v>
      </c>
    </row>
    <row r="3065" spans="1:7" x14ac:dyDescent="0.2">
      <c r="A3065" s="2">
        <v>46080</v>
      </c>
      <c r="B3065" t="s">
        <v>3702</v>
      </c>
      <c r="C3065" t="s">
        <v>2</v>
      </c>
      <c r="D3065" t="s">
        <v>4</v>
      </c>
      <c r="E3065">
        <v>1</v>
      </c>
      <c r="F3065" t="s">
        <v>600</v>
      </c>
      <c r="G3065">
        <v>22</v>
      </c>
    </row>
    <row r="3066" spans="1:7" x14ac:dyDescent="0.2">
      <c r="A3066" s="2">
        <v>46081</v>
      </c>
      <c r="B3066" t="s">
        <v>651</v>
      </c>
      <c r="C3066" t="s">
        <v>577</v>
      </c>
      <c r="D3066" t="s">
        <v>579</v>
      </c>
      <c r="E3066">
        <v>1</v>
      </c>
      <c r="F3066" t="s">
        <v>600</v>
      </c>
      <c r="G3066">
        <v>13</v>
      </c>
    </row>
    <row r="3067" spans="1:7" x14ac:dyDescent="0.2">
      <c r="A3067" s="2">
        <v>46081</v>
      </c>
      <c r="B3067" t="s">
        <v>620</v>
      </c>
      <c r="C3067" t="s">
        <v>577</v>
      </c>
      <c r="D3067" t="s">
        <v>579</v>
      </c>
      <c r="E3067">
        <v>1</v>
      </c>
      <c r="F3067" t="s">
        <v>600</v>
      </c>
      <c r="G3067">
        <v>13</v>
      </c>
    </row>
    <row r="3068" spans="1:7" x14ac:dyDescent="0.2">
      <c r="A3068" s="2">
        <v>46081</v>
      </c>
      <c r="B3068" t="s">
        <v>647</v>
      </c>
      <c r="C3068" t="s">
        <v>577</v>
      </c>
      <c r="D3068" t="s">
        <v>579</v>
      </c>
      <c r="E3068">
        <v>1</v>
      </c>
      <c r="F3068" t="s">
        <v>600</v>
      </c>
      <c r="G3068">
        <v>13</v>
      </c>
    </row>
    <row r="3069" spans="1:7" x14ac:dyDescent="0.2">
      <c r="A3069" s="2">
        <v>46081</v>
      </c>
      <c r="B3069" t="s">
        <v>624</v>
      </c>
      <c r="C3069" t="s">
        <v>577</v>
      </c>
      <c r="D3069" t="s">
        <v>579</v>
      </c>
      <c r="E3069">
        <v>1</v>
      </c>
      <c r="F3069" t="s">
        <v>600</v>
      </c>
      <c r="G3069">
        <v>13</v>
      </c>
    </row>
    <row r="3070" spans="1:7" x14ac:dyDescent="0.2">
      <c r="A3070" s="2">
        <v>46081</v>
      </c>
      <c r="B3070" t="s">
        <v>631</v>
      </c>
      <c r="C3070" t="s">
        <v>577</v>
      </c>
      <c r="D3070" t="s">
        <v>579</v>
      </c>
      <c r="E3070">
        <v>1</v>
      </c>
      <c r="F3070" t="s">
        <v>600</v>
      </c>
      <c r="G3070">
        <v>13</v>
      </c>
    </row>
    <row r="3071" spans="1:7" x14ac:dyDescent="0.2">
      <c r="A3071" s="2">
        <v>46081</v>
      </c>
      <c r="B3071" t="s">
        <v>635</v>
      </c>
      <c r="C3071" t="s">
        <v>577</v>
      </c>
      <c r="D3071" t="s">
        <v>579</v>
      </c>
      <c r="E3071">
        <v>1</v>
      </c>
      <c r="F3071" t="s">
        <v>600</v>
      </c>
      <c r="G3071">
        <v>13</v>
      </c>
    </row>
    <row r="3072" spans="1:7" x14ac:dyDescent="0.2">
      <c r="A3072" s="2">
        <v>46081</v>
      </c>
      <c r="B3072" t="s">
        <v>641</v>
      </c>
      <c r="C3072" t="s">
        <v>577</v>
      </c>
      <c r="D3072" t="s">
        <v>579</v>
      </c>
      <c r="E3072">
        <v>1</v>
      </c>
      <c r="F3072" t="s">
        <v>600</v>
      </c>
      <c r="G3072">
        <v>13</v>
      </c>
    </row>
    <row r="3073" spans="1:7" x14ac:dyDescent="0.2">
      <c r="A3073" s="2">
        <v>46081</v>
      </c>
      <c r="B3073" t="s">
        <v>662</v>
      </c>
      <c r="C3073" t="s">
        <v>577</v>
      </c>
      <c r="D3073" t="s">
        <v>579</v>
      </c>
      <c r="E3073">
        <v>1</v>
      </c>
      <c r="F3073" t="s">
        <v>600</v>
      </c>
      <c r="G3073">
        <v>13</v>
      </c>
    </row>
    <row r="3074" spans="1:7" x14ac:dyDescent="0.2">
      <c r="A3074" s="2">
        <v>46081</v>
      </c>
      <c r="B3074" t="s">
        <v>654</v>
      </c>
      <c r="C3074" t="s">
        <v>577</v>
      </c>
      <c r="D3074" t="s">
        <v>579</v>
      </c>
      <c r="E3074">
        <v>1</v>
      </c>
      <c r="F3074" t="s">
        <v>600</v>
      </c>
      <c r="G3074">
        <v>13</v>
      </c>
    </row>
    <row r="3075" spans="1:7" x14ac:dyDescent="0.2">
      <c r="A3075" s="2">
        <v>46081</v>
      </c>
      <c r="B3075" t="s">
        <v>617</v>
      </c>
      <c r="C3075" t="s">
        <v>577</v>
      </c>
      <c r="D3075" t="s">
        <v>579</v>
      </c>
      <c r="E3075">
        <v>1</v>
      </c>
      <c r="F3075" t="s">
        <v>600</v>
      </c>
      <c r="G3075">
        <v>13</v>
      </c>
    </row>
    <row r="3076" spans="1:7" x14ac:dyDescent="0.2">
      <c r="A3076" s="2">
        <v>46081</v>
      </c>
      <c r="B3076" t="s">
        <v>610</v>
      </c>
      <c r="C3076" t="s">
        <v>577</v>
      </c>
      <c r="D3076" t="s">
        <v>579</v>
      </c>
      <c r="E3076">
        <v>1</v>
      </c>
      <c r="F3076" t="s">
        <v>600</v>
      </c>
      <c r="G3076">
        <v>13</v>
      </c>
    </row>
    <row r="3077" spans="1:7" x14ac:dyDescent="0.2">
      <c r="A3077" s="2">
        <v>46081</v>
      </c>
      <c r="B3077" t="s">
        <v>961</v>
      </c>
      <c r="C3077" t="s">
        <v>580</v>
      </c>
      <c r="D3077" t="s">
        <v>595</v>
      </c>
      <c r="E3077">
        <v>1</v>
      </c>
      <c r="F3077" t="s">
        <v>600</v>
      </c>
      <c r="G3077">
        <v>60</v>
      </c>
    </row>
    <row r="3078" spans="1:7" x14ac:dyDescent="0.2">
      <c r="A3078" s="2">
        <v>46081</v>
      </c>
      <c r="B3078" t="s">
        <v>962</v>
      </c>
      <c r="C3078" t="s">
        <v>576</v>
      </c>
      <c r="D3078" t="s">
        <v>578</v>
      </c>
      <c r="E3078">
        <v>1</v>
      </c>
      <c r="F3078" t="s">
        <v>600</v>
      </c>
      <c r="G3078">
        <v>13</v>
      </c>
    </row>
    <row r="3079" spans="1:7" x14ac:dyDescent="0.2">
      <c r="A3079" s="2">
        <v>46081</v>
      </c>
      <c r="B3079" t="s">
        <v>606</v>
      </c>
      <c r="C3079" t="s">
        <v>577</v>
      </c>
      <c r="D3079" t="s">
        <v>579</v>
      </c>
      <c r="E3079">
        <v>1</v>
      </c>
      <c r="F3079" t="s">
        <v>600</v>
      </c>
      <c r="G3079">
        <v>13</v>
      </c>
    </row>
    <row r="3080" spans="1:7" x14ac:dyDescent="0.2">
      <c r="A3080" s="2">
        <v>46082</v>
      </c>
      <c r="B3080" t="s">
        <v>716</v>
      </c>
      <c r="C3080" t="s">
        <v>577</v>
      </c>
      <c r="D3080" t="s">
        <v>579</v>
      </c>
      <c r="E3080">
        <v>1</v>
      </c>
      <c r="F3080" t="s">
        <v>600</v>
      </c>
      <c r="G3080">
        <v>13</v>
      </c>
    </row>
    <row r="3081" spans="1:7" x14ac:dyDescent="0.2">
      <c r="A3081" s="2">
        <v>46082</v>
      </c>
      <c r="B3081" t="s">
        <v>710</v>
      </c>
      <c r="C3081" t="s">
        <v>577</v>
      </c>
      <c r="D3081" t="s">
        <v>579</v>
      </c>
      <c r="E3081">
        <v>1</v>
      </c>
      <c r="F3081" t="s">
        <v>600</v>
      </c>
      <c r="G3081">
        <v>13</v>
      </c>
    </row>
    <row r="3082" spans="1:7" x14ac:dyDescent="0.2">
      <c r="A3082" s="2">
        <v>46082</v>
      </c>
      <c r="B3082" t="s">
        <v>704</v>
      </c>
      <c r="C3082" t="s">
        <v>577</v>
      </c>
      <c r="D3082" t="s">
        <v>579</v>
      </c>
      <c r="E3082">
        <v>1</v>
      </c>
      <c r="F3082" t="s">
        <v>600</v>
      </c>
      <c r="G3082">
        <v>13</v>
      </c>
    </row>
    <row r="3083" spans="1:7" x14ac:dyDescent="0.2">
      <c r="A3083" s="2">
        <v>46082</v>
      </c>
      <c r="B3083" t="s">
        <v>701</v>
      </c>
      <c r="C3083" t="s">
        <v>577</v>
      </c>
      <c r="D3083" t="s">
        <v>579</v>
      </c>
      <c r="E3083">
        <v>1</v>
      </c>
      <c r="F3083" t="s">
        <v>600</v>
      </c>
      <c r="G3083">
        <v>13</v>
      </c>
    </row>
    <row r="3084" spans="1:7" x14ac:dyDescent="0.2">
      <c r="A3084" s="2">
        <v>46082</v>
      </c>
      <c r="B3084" t="s">
        <v>696</v>
      </c>
      <c r="C3084" t="s">
        <v>577</v>
      </c>
      <c r="D3084" t="s">
        <v>579</v>
      </c>
      <c r="E3084">
        <v>1</v>
      </c>
      <c r="F3084" t="s">
        <v>600</v>
      </c>
      <c r="G3084">
        <v>13</v>
      </c>
    </row>
    <row r="3085" spans="1:7" x14ac:dyDescent="0.2">
      <c r="A3085" s="2">
        <v>46082</v>
      </c>
      <c r="B3085" t="s">
        <v>690</v>
      </c>
      <c r="C3085" t="s">
        <v>577</v>
      </c>
      <c r="D3085" t="s">
        <v>579</v>
      </c>
      <c r="E3085">
        <v>1</v>
      </c>
      <c r="F3085" t="s">
        <v>600</v>
      </c>
      <c r="G3085">
        <v>13</v>
      </c>
    </row>
    <row r="3086" spans="1:7" x14ac:dyDescent="0.2">
      <c r="A3086" s="2">
        <v>46082</v>
      </c>
      <c r="B3086" t="s">
        <v>686</v>
      </c>
      <c r="C3086" t="s">
        <v>577</v>
      </c>
      <c r="D3086" t="s">
        <v>579</v>
      </c>
      <c r="E3086">
        <v>1</v>
      </c>
      <c r="F3086" t="s">
        <v>600</v>
      </c>
      <c r="G3086">
        <v>13</v>
      </c>
    </row>
    <row r="3087" spans="1:7" x14ac:dyDescent="0.2">
      <c r="A3087" s="2">
        <v>46082</v>
      </c>
      <c r="B3087" t="s">
        <v>681</v>
      </c>
      <c r="C3087" t="s">
        <v>577</v>
      </c>
      <c r="D3087" t="s">
        <v>579</v>
      </c>
      <c r="E3087">
        <v>1</v>
      </c>
      <c r="F3087" t="s">
        <v>600</v>
      </c>
      <c r="G3087">
        <v>13</v>
      </c>
    </row>
    <row r="3088" spans="1:7" x14ac:dyDescent="0.2">
      <c r="A3088" s="2">
        <v>46082</v>
      </c>
      <c r="B3088" t="s">
        <v>678</v>
      </c>
      <c r="C3088" t="s">
        <v>577</v>
      </c>
      <c r="D3088" t="s">
        <v>579</v>
      </c>
      <c r="E3088">
        <v>1</v>
      </c>
      <c r="F3088" t="s">
        <v>600</v>
      </c>
      <c r="G3088">
        <v>13</v>
      </c>
    </row>
    <row r="3089" spans="1:7" x14ac:dyDescent="0.2">
      <c r="A3089" s="2">
        <v>46082</v>
      </c>
      <c r="B3089" t="s">
        <v>674</v>
      </c>
      <c r="C3089" t="s">
        <v>577</v>
      </c>
      <c r="D3089" t="s">
        <v>579</v>
      </c>
      <c r="E3089">
        <v>1</v>
      </c>
      <c r="F3089" t="s">
        <v>600</v>
      </c>
      <c r="G3089">
        <v>13</v>
      </c>
    </row>
    <row r="3090" spans="1:7" x14ac:dyDescent="0.2">
      <c r="A3090" s="2">
        <v>46082</v>
      </c>
      <c r="B3090" t="s">
        <v>670</v>
      </c>
      <c r="C3090" t="s">
        <v>577</v>
      </c>
      <c r="D3090" t="s">
        <v>579</v>
      </c>
      <c r="E3090">
        <v>1</v>
      </c>
      <c r="F3090" t="s">
        <v>600</v>
      </c>
      <c r="G3090">
        <v>13</v>
      </c>
    </row>
    <row r="3091" spans="1:7" x14ac:dyDescent="0.2">
      <c r="A3091" s="2">
        <v>46082</v>
      </c>
      <c r="B3091" t="s">
        <v>720</v>
      </c>
      <c r="C3091" t="s">
        <v>577</v>
      </c>
      <c r="D3091" t="s">
        <v>579</v>
      </c>
      <c r="E3091">
        <v>1</v>
      </c>
      <c r="F3091" t="s">
        <v>600</v>
      </c>
      <c r="G3091">
        <v>13</v>
      </c>
    </row>
    <row r="3092" spans="1:7" x14ac:dyDescent="0.2">
      <c r="A3092" s="2">
        <v>46082</v>
      </c>
      <c r="B3092" t="s">
        <v>667</v>
      </c>
      <c r="C3092" t="s">
        <v>577</v>
      </c>
      <c r="D3092" t="s">
        <v>579</v>
      </c>
      <c r="E3092">
        <v>1</v>
      </c>
      <c r="F3092" t="s">
        <v>600</v>
      </c>
      <c r="G3092">
        <v>13</v>
      </c>
    </row>
    <row r="3093" spans="1:7" x14ac:dyDescent="0.2">
      <c r="A3093" s="2">
        <v>46083</v>
      </c>
      <c r="B3093" t="s">
        <v>3452</v>
      </c>
      <c r="C3093" t="s">
        <v>1</v>
      </c>
      <c r="D3093" t="s">
        <v>3</v>
      </c>
      <c r="E3093">
        <v>1</v>
      </c>
      <c r="F3093" t="s">
        <v>4027</v>
      </c>
      <c r="G3093">
        <v>62</v>
      </c>
    </row>
    <row r="3094" spans="1:7" x14ac:dyDescent="0.2">
      <c r="A3094" s="2">
        <v>46083</v>
      </c>
      <c r="B3094" t="s">
        <v>3451</v>
      </c>
      <c r="C3094" t="s">
        <v>1</v>
      </c>
      <c r="D3094" t="s">
        <v>3</v>
      </c>
      <c r="E3094">
        <v>1</v>
      </c>
      <c r="F3094" t="s">
        <v>4027</v>
      </c>
      <c r="G3094">
        <v>62</v>
      </c>
    </row>
    <row r="3095" spans="1:7" x14ac:dyDescent="0.2">
      <c r="A3095" s="2">
        <v>46083</v>
      </c>
      <c r="B3095" t="s">
        <v>3450</v>
      </c>
      <c r="C3095" t="s">
        <v>1</v>
      </c>
      <c r="D3095" t="s">
        <v>3</v>
      </c>
      <c r="E3095">
        <v>1</v>
      </c>
      <c r="F3095" t="s">
        <v>4027</v>
      </c>
      <c r="G3095">
        <v>81</v>
      </c>
    </row>
    <row r="3096" spans="1:7" x14ac:dyDescent="0.2">
      <c r="A3096" s="2">
        <v>46083</v>
      </c>
      <c r="B3096" t="s">
        <v>3449</v>
      </c>
      <c r="C3096" t="s">
        <v>1</v>
      </c>
      <c r="D3096" t="s">
        <v>3</v>
      </c>
      <c r="E3096">
        <v>1</v>
      </c>
      <c r="F3096" t="s">
        <v>4027</v>
      </c>
      <c r="G3096">
        <v>82</v>
      </c>
    </row>
    <row r="3097" spans="1:7" x14ac:dyDescent="0.2">
      <c r="A3097" s="2">
        <v>46084</v>
      </c>
      <c r="B3097" t="s">
        <v>3456</v>
      </c>
      <c r="C3097" t="s">
        <v>1</v>
      </c>
      <c r="D3097" t="s">
        <v>3</v>
      </c>
      <c r="E3097">
        <v>1</v>
      </c>
      <c r="F3097" t="s">
        <v>4027</v>
      </c>
      <c r="G3097">
        <v>70</v>
      </c>
    </row>
    <row r="3098" spans="1:7" x14ac:dyDescent="0.2">
      <c r="A3098" s="2">
        <v>46084</v>
      </c>
      <c r="B3098" t="s">
        <v>3455</v>
      </c>
      <c r="C3098" t="s">
        <v>1</v>
      </c>
      <c r="D3098" t="s">
        <v>3</v>
      </c>
      <c r="E3098">
        <v>1</v>
      </c>
      <c r="F3098" t="s">
        <v>4027</v>
      </c>
      <c r="G3098">
        <v>82</v>
      </c>
    </row>
    <row r="3099" spans="1:7" x14ac:dyDescent="0.2">
      <c r="A3099" s="2">
        <v>46084</v>
      </c>
      <c r="B3099" t="s">
        <v>3454</v>
      </c>
      <c r="C3099" t="s">
        <v>1</v>
      </c>
      <c r="D3099" t="s">
        <v>3</v>
      </c>
      <c r="E3099">
        <v>1</v>
      </c>
      <c r="F3099" t="s">
        <v>4027</v>
      </c>
      <c r="G3099">
        <v>74</v>
      </c>
    </row>
    <row r="3100" spans="1:7" x14ac:dyDescent="0.2">
      <c r="A3100" s="2">
        <v>46084</v>
      </c>
      <c r="B3100" t="s">
        <v>3453</v>
      </c>
      <c r="C3100" t="s">
        <v>1</v>
      </c>
      <c r="D3100" t="s">
        <v>3</v>
      </c>
      <c r="E3100">
        <v>1</v>
      </c>
      <c r="F3100" t="s">
        <v>4027</v>
      </c>
      <c r="G3100">
        <v>63</v>
      </c>
    </row>
    <row r="3101" spans="1:7" x14ac:dyDescent="0.2">
      <c r="A3101" s="2">
        <v>46084</v>
      </c>
      <c r="B3101" t="s">
        <v>3458</v>
      </c>
      <c r="C3101" t="s">
        <v>1</v>
      </c>
      <c r="D3101" t="s">
        <v>3</v>
      </c>
      <c r="E3101">
        <v>1</v>
      </c>
      <c r="F3101" t="s">
        <v>4027</v>
      </c>
      <c r="G3101">
        <v>86</v>
      </c>
    </row>
    <row r="3102" spans="1:7" x14ac:dyDescent="0.2">
      <c r="A3102" s="2">
        <v>46084</v>
      </c>
      <c r="B3102" t="s">
        <v>3457</v>
      </c>
      <c r="C3102" t="s">
        <v>1</v>
      </c>
      <c r="D3102" t="s">
        <v>3</v>
      </c>
      <c r="E3102">
        <v>1</v>
      </c>
      <c r="F3102" t="s">
        <v>4027</v>
      </c>
      <c r="G3102">
        <v>76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18D2-CF06-47DA-B478-53799611C5B0}">
  <sheetPr>
    <tabColor rgb="FF92D050"/>
  </sheetPr>
  <dimension ref="A1:F658"/>
  <sheetViews>
    <sheetView tabSelected="1" workbookViewId="0">
      <selection activeCell="L27" sqref="L27"/>
    </sheetView>
  </sheetViews>
  <sheetFormatPr defaultRowHeight="14.25" x14ac:dyDescent="0.2"/>
  <cols>
    <col min="1" max="1" width="9.875" bestFit="1" customWidth="1"/>
    <col min="2" max="2" width="18.25" bestFit="1" customWidth="1"/>
    <col min="3" max="3" width="13.875" bestFit="1" customWidth="1"/>
    <col min="4" max="4" width="15.25" bestFit="1" customWidth="1"/>
    <col min="5" max="5" width="13.25" bestFit="1" customWidth="1"/>
    <col min="6" max="6" width="7.375" bestFit="1" customWidth="1"/>
  </cols>
  <sheetData>
    <row r="1" spans="1:6" x14ac:dyDescent="0.2">
      <c r="A1" t="s">
        <v>14</v>
      </c>
      <c r="B1" t="s">
        <v>15</v>
      </c>
      <c r="C1" t="s">
        <v>5</v>
      </c>
      <c r="D1" t="s">
        <v>0</v>
      </c>
      <c r="E1" t="s">
        <v>16</v>
      </c>
      <c r="F1" t="s">
        <v>588</v>
      </c>
    </row>
    <row r="2" spans="1:6" x14ac:dyDescent="0.2">
      <c r="A2" s="2">
        <v>45566</v>
      </c>
      <c r="B2" t="s">
        <v>223</v>
      </c>
      <c r="C2" t="s">
        <v>11</v>
      </c>
      <c r="D2" t="s">
        <v>1</v>
      </c>
      <c r="E2" t="s">
        <v>3824</v>
      </c>
      <c r="F2" t="s">
        <v>598</v>
      </c>
    </row>
    <row r="3" spans="1:6" x14ac:dyDescent="0.2">
      <c r="A3" s="2">
        <v>45567</v>
      </c>
      <c r="B3" t="s">
        <v>224</v>
      </c>
      <c r="C3" t="s">
        <v>11</v>
      </c>
      <c r="D3" t="s">
        <v>2</v>
      </c>
      <c r="E3" t="s">
        <v>3825</v>
      </c>
      <c r="F3" t="s">
        <v>599</v>
      </c>
    </row>
    <row r="4" spans="1:6" x14ac:dyDescent="0.2">
      <c r="A4" s="2">
        <v>45569</v>
      </c>
      <c r="B4" t="s">
        <v>225</v>
      </c>
      <c r="C4" t="s">
        <v>11</v>
      </c>
      <c r="D4" t="s">
        <v>1</v>
      </c>
      <c r="E4" t="s">
        <v>17</v>
      </c>
      <c r="F4" t="s">
        <v>598</v>
      </c>
    </row>
    <row r="5" spans="1:6" x14ac:dyDescent="0.2">
      <c r="A5" s="2">
        <v>45569</v>
      </c>
      <c r="B5" t="s">
        <v>225</v>
      </c>
      <c r="C5" t="s">
        <v>11</v>
      </c>
      <c r="D5" t="s">
        <v>1</v>
      </c>
      <c r="E5" t="s">
        <v>17</v>
      </c>
      <c r="F5" t="s">
        <v>598</v>
      </c>
    </row>
    <row r="6" spans="1:6" x14ac:dyDescent="0.2">
      <c r="A6" s="2">
        <v>45574</v>
      </c>
      <c r="B6" t="s">
        <v>226</v>
      </c>
      <c r="C6" t="s">
        <v>11</v>
      </c>
      <c r="D6" t="s">
        <v>1</v>
      </c>
      <c r="E6" t="s">
        <v>18</v>
      </c>
      <c r="F6" t="s">
        <v>598</v>
      </c>
    </row>
    <row r="7" spans="1:6" x14ac:dyDescent="0.2">
      <c r="A7" s="2">
        <v>45581</v>
      </c>
      <c r="B7" t="s">
        <v>227</v>
      </c>
      <c r="C7" t="s">
        <v>11</v>
      </c>
      <c r="D7" t="s">
        <v>1</v>
      </c>
      <c r="E7" t="s">
        <v>3826</v>
      </c>
      <c r="F7" t="s">
        <v>598</v>
      </c>
    </row>
    <row r="8" spans="1:6" x14ac:dyDescent="0.2">
      <c r="A8" s="2">
        <v>45581</v>
      </c>
      <c r="B8" t="s">
        <v>227</v>
      </c>
      <c r="C8" t="s">
        <v>11</v>
      </c>
      <c r="D8" t="s">
        <v>1</v>
      </c>
      <c r="E8" t="s">
        <v>3826</v>
      </c>
      <c r="F8" t="s">
        <v>598</v>
      </c>
    </row>
    <row r="9" spans="1:6" x14ac:dyDescent="0.2">
      <c r="A9" s="2">
        <v>45582</v>
      </c>
      <c r="B9" t="s">
        <v>228</v>
      </c>
      <c r="C9" t="s">
        <v>11</v>
      </c>
      <c r="D9" t="s">
        <v>1</v>
      </c>
      <c r="E9" t="s">
        <v>3827</v>
      </c>
      <c r="F9" t="s">
        <v>598</v>
      </c>
    </row>
    <row r="10" spans="1:6" x14ac:dyDescent="0.2">
      <c r="A10" s="2">
        <v>45582</v>
      </c>
      <c r="B10" t="s">
        <v>228</v>
      </c>
      <c r="C10" t="s">
        <v>11</v>
      </c>
      <c r="D10" t="s">
        <v>1</v>
      </c>
      <c r="E10" t="s">
        <v>3827</v>
      </c>
      <c r="F10" t="s">
        <v>598</v>
      </c>
    </row>
    <row r="11" spans="1:6" x14ac:dyDescent="0.2">
      <c r="A11" s="2">
        <v>45583</v>
      </c>
      <c r="B11" t="s">
        <v>229</v>
      </c>
      <c r="C11" t="s">
        <v>11</v>
      </c>
      <c r="D11" t="s">
        <v>1</v>
      </c>
      <c r="E11" t="s">
        <v>19</v>
      </c>
      <c r="F11" t="s">
        <v>598</v>
      </c>
    </row>
    <row r="12" spans="1:6" x14ac:dyDescent="0.2">
      <c r="A12" s="2">
        <v>45584</v>
      </c>
      <c r="B12" t="s">
        <v>230</v>
      </c>
      <c r="C12" t="s">
        <v>12</v>
      </c>
      <c r="D12" t="s">
        <v>1</v>
      </c>
      <c r="E12" t="s">
        <v>20</v>
      </c>
      <c r="F12" t="s">
        <v>598</v>
      </c>
    </row>
    <row r="13" spans="1:6" x14ac:dyDescent="0.2">
      <c r="A13" s="2">
        <v>45586</v>
      </c>
      <c r="B13" t="s">
        <v>231</v>
      </c>
      <c r="C13" t="s">
        <v>11</v>
      </c>
      <c r="D13" t="s">
        <v>1</v>
      </c>
      <c r="E13" t="s">
        <v>3828</v>
      </c>
      <c r="F13" t="s">
        <v>598</v>
      </c>
    </row>
    <row r="14" spans="1:6" x14ac:dyDescent="0.2">
      <c r="A14" s="2">
        <v>45586</v>
      </c>
      <c r="B14" t="s">
        <v>231</v>
      </c>
      <c r="C14" t="s">
        <v>11</v>
      </c>
      <c r="D14" t="s">
        <v>1</v>
      </c>
      <c r="E14" t="s">
        <v>3828</v>
      </c>
      <c r="F14" t="s">
        <v>598</v>
      </c>
    </row>
    <row r="15" spans="1:6" x14ac:dyDescent="0.2">
      <c r="A15" s="2">
        <v>45587</v>
      </c>
      <c r="B15" t="s">
        <v>232</v>
      </c>
      <c r="C15" t="s">
        <v>11</v>
      </c>
      <c r="D15" t="s">
        <v>1</v>
      </c>
      <c r="E15" t="s">
        <v>3829</v>
      </c>
      <c r="F15" t="s">
        <v>598</v>
      </c>
    </row>
    <row r="16" spans="1:6" x14ac:dyDescent="0.2">
      <c r="A16" s="2">
        <v>45587</v>
      </c>
      <c r="B16" t="s">
        <v>232</v>
      </c>
      <c r="C16" t="s">
        <v>11</v>
      </c>
      <c r="D16" t="s">
        <v>1</v>
      </c>
      <c r="E16" t="s">
        <v>3829</v>
      </c>
      <c r="F16" t="s">
        <v>598</v>
      </c>
    </row>
    <row r="17" spans="1:6" x14ac:dyDescent="0.2">
      <c r="A17" s="2">
        <v>45587</v>
      </c>
      <c r="B17" t="s">
        <v>232</v>
      </c>
      <c r="C17" t="s">
        <v>11</v>
      </c>
      <c r="D17" t="s">
        <v>1</v>
      </c>
      <c r="E17" t="s">
        <v>3829</v>
      </c>
      <c r="F17" t="s">
        <v>598</v>
      </c>
    </row>
    <row r="18" spans="1:6" x14ac:dyDescent="0.2">
      <c r="A18" s="2">
        <v>45588</v>
      </c>
      <c r="B18" t="s">
        <v>233</v>
      </c>
      <c r="C18" t="s">
        <v>11</v>
      </c>
      <c r="D18" t="s">
        <v>1</v>
      </c>
      <c r="E18" t="s">
        <v>3830</v>
      </c>
      <c r="F18" t="s">
        <v>598</v>
      </c>
    </row>
    <row r="19" spans="1:6" x14ac:dyDescent="0.2">
      <c r="A19" s="2">
        <v>45588</v>
      </c>
      <c r="B19" t="s">
        <v>233</v>
      </c>
      <c r="C19" t="s">
        <v>11</v>
      </c>
      <c r="D19" t="s">
        <v>1</v>
      </c>
      <c r="E19" t="s">
        <v>3830</v>
      </c>
      <c r="F19" t="s">
        <v>598</v>
      </c>
    </row>
    <row r="20" spans="1:6" x14ac:dyDescent="0.2">
      <c r="A20" s="2">
        <v>45588</v>
      </c>
      <c r="B20" t="s">
        <v>233</v>
      </c>
      <c r="C20" t="s">
        <v>11</v>
      </c>
      <c r="D20" t="s">
        <v>1</v>
      </c>
      <c r="E20" t="s">
        <v>3830</v>
      </c>
      <c r="F20" t="s">
        <v>598</v>
      </c>
    </row>
    <row r="21" spans="1:6" x14ac:dyDescent="0.2">
      <c r="A21" s="2">
        <v>45589</v>
      </c>
      <c r="B21" t="s">
        <v>234</v>
      </c>
      <c r="C21" t="s">
        <v>11</v>
      </c>
      <c r="D21" t="s">
        <v>1</v>
      </c>
      <c r="E21" t="s">
        <v>23</v>
      </c>
      <c r="F21" t="s">
        <v>598</v>
      </c>
    </row>
    <row r="22" spans="1:6" x14ac:dyDescent="0.2">
      <c r="A22" s="2">
        <v>45590</v>
      </c>
      <c r="B22" t="s">
        <v>235</v>
      </c>
      <c r="C22" t="s">
        <v>11</v>
      </c>
      <c r="D22" t="s">
        <v>1</v>
      </c>
      <c r="E22" t="s">
        <v>24</v>
      </c>
      <c r="F22" t="s">
        <v>598</v>
      </c>
    </row>
    <row r="23" spans="1:6" x14ac:dyDescent="0.2">
      <c r="A23" s="2">
        <v>45590</v>
      </c>
      <c r="B23" t="s">
        <v>235</v>
      </c>
      <c r="C23" t="s">
        <v>11</v>
      </c>
      <c r="D23" t="s">
        <v>1</v>
      </c>
      <c r="E23" t="s">
        <v>24</v>
      </c>
      <c r="F23" t="s">
        <v>598</v>
      </c>
    </row>
    <row r="24" spans="1:6" x14ac:dyDescent="0.2">
      <c r="A24" s="2">
        <v>45593</v>
      </c>
      <c r="B24" t="s">
        <v>236</v>
      </c>
      <c r="C24" t="s">
        <v>11</v>
      </c>
      <c r="D24" t="s">
        <v>1</v>
      </c>
      <c r="E24" t="s">
        <v>26</v>
      </c>
      <c r="F24" t="s">
        <v>598</v>
      </c>
    </row>
    <row r="25" spans="1:6" x14ac:dyDescent="0.2">
      <c r="A25" s="2">
        <v>45593</v>
      </c>
      <c r="B25" t="s">
        <v>236</v>
      </c>
      <c r="C25" t="s">
        <v>11</v>
      </c>
      <c r="D25" t="s">
        <v>1</v>
      </c>
      <c r="E25" t="s">
        <v>26</v>
      </c>
      <c r="F25" t="s">
        <v>598</v>
      </c>
    </row>
    <row r="26" spans="1:6" x14ac:dyDescent="0.2">
      <c r="A26" s="2">
        <v>45593</v>
      </c>
      <c r="B26" t="s">
        <v>236</v>
      </c>
      <c r="C26" t="s">
        <v>11</v>
      </c>
      <c r="D26" t="s">
        <v>1</v>
      </c>
      <c r="E26" t="s">
        <v>26</v>
      </c>
      <c r="F26" t="s">
        <v>598</v>
      </c>
    </row>
    <row r="27" spans="1:6" x14ac:dyDescent="0.2">
      <c r="A27" s="2">
        <v>45594</v>
      </c>
      <c r="B27" t="s">
        <v>237</v>
      </c>
      <c r="C27" t="s">
        <v>11</v>
      </c>
      <c r="D27" t="s">
        <v>1</v>
      </c>
      <c r="E27" t="s">
        <v>28</v>
      </c>
      <c r="F27" t="s">
        <v>598</v>
      </c>
    </row>
    <row r="28" spans="1:6" x14ac:dyDescent="0.2">
      <c r="A28" s="2">
        <v>45594</v>
      </c>
      <c r="B28" t="s">
        <v>237</v>
      </c>
      <c r="C28" t="s">
        <v>11</v>
      </c>
      <c r="D28" t="s">
        <v>1</v>
      </c>
      <c r="E28" t="s">
        <v>28</v>
      </c>
      <c r="F28" t="s">
        <v>598</v>
      </c>
    </row>
    <row r="29" spans="1:6" x14ac:dyDescent="0.2">
      <c r="A29" s="2">
        <v>45594</v>
      </c>
      <c r="B29" t="s">
        <v>237</v>
      </c>
      <c r="C29" t="s">
        <v>11</v>
      </c>
      <c r="D29" t="s">
        <v>1</v>
      </c>
      <c r="E29" t="s">
        <v>28</v>
      </c>
      <c r="F29" t="s">
        <v>598</v>
      </c>
    </row>
    <row r="30" spans="1:6" x14ac:dyDescent="0.2">
      <c r="A30" s="2">
        <v>45595</v>
      </c>
      <c r="B30" t="s">
        <v>238</v>
      </c>
      <c r="C30" t="s">
        <v>11</v>
      </c>
      <c r="D30" t="s">
        <v>1</v>
      </c>
      <c r="E30" t="s">
        <v>30</v>
      </c>
      <c r="F30" t="s">
        <v>598</v>
      </c>
    </row>
    <row r="31" spans="1:6" x14ac:dyDescent="0.2">
      <c r="A31" s="2">
        <v>45595</v>
      </c>
      <c r="B31" t="s">
        <v>238</v>
      </c>
      <c r="C31" t="s">
        <v>11</v>
      </c>
      <c r="D31" t="s">
        <v>1</v>
      </c>
      <c r="E31" t="s">
        <v>30</v>
      </c>
      <c r="F31" t="s">
        <v>598</v>
      </c>
    </row>
    <row r="32" spans="1:6" x14ac:dyDescent="0.2">
      <c r="A32" s="2">
        <v>45596</v>
      </c>
      <c r="B32" t="s">
        <v>239</v>
      </c>
      <c r="C32" t="s">
        <v>11</v>
      </c>
      <c r="D32" t="s">
        <v>1</v>
      </c>
      <c r="E32" t="s">
        <v>32</v>
      </c>
      <c r="F32" t="s">
        <v>598</v>
      </c>
    </row>
    <row r="33" spans="1:6" x14ac:dyDescent="0.2">
      <c r="A33" s="2">
        <v>45596</v>
      </c>
      <c r="B33" t="s">
        <v>239</v>
      </c>
      <c r="C33" t="s">
        <v>11</v>
      </c>
      <c r="D33" t="s">
        <v>1</v>
      </c>
      <c r="E33" t="s">
        <v>32</v>
      </c>
      <c r="F33" t="s">
        <v>598</v>
      </c>
    </row>
    <row r="34" spans="1:6" x14ac:dyDescent="0.2">
      <c r="A34" s="2">
        <v>45596</v>
      </c>
      <c r="B34" t="s">
        <v>239</v>
      </c>
      <c r="C34" t="s">
        <v>11</v>
      </c>
      <c r="D34" t="s">
        <v>1</v>
      </c>
      <c r="E34" t="s">
        <v>32</v>
      </c>
      <c r="F34" t="s">
        <v>598</v>
      </c>
    </row>
    <row r="35" spans="1:6" x14ac:dyDescent="0.2">
      <c r="A35" s="2">
        <v>45597</v>
      </c>
      <c r="B35" t="s">
        <v>240</v>
      </c>
      <c r="C35" t="s">
        <v>11</v>
      </c>
      <c r="D35" t="s">
        <v>1</v>
      </c>
      <c r="E35" t="s">
        <v>34</v>
      </c>
      <c r="F35" t="s">
        <v>598</v>
      </c>
    </row>
    <row r="36" spans="1:6" x14ac:dyDescent="0.2">
      <c r="A36" s="2">
        <v>45597</v>
      </c>
      <c r="B36" t="s">
        <v>240</v>
      </c>
      <c r="C36" t="s">
        <v>11</v>
      </c>
      <c r="D36" t="s">
        <v>1</v>
      </c>
      <c r="E36" t="s">
        <v>34</v>
      </c>
      <c r="F36" t="s">
        <v>598</v>
      </c>
    </row>
    <row r="37" spans="1:6" x14ac:dyDescent="0.2">
      <c r="A37" s="2">
        <v>45600</v>
      </c>
      <c r="B37" t="s">
        <v>241</v>
      </c>
      <c r="C37" t="s">
        <v>11</v>
      </c>
      <c r="D37" t="s">
        <v>1</v>
      </c>
      <c r="E37" t="s">
        <v>36</v>
      </c>
      <c r="F37" t="s">
        <v>598</v>
      </c>
    </row>
    <row r="38" spans="1:6" x14ac:dyDescent="0.2">
      <c r="A38" s="2">
        <v>45600</v>
      </c>
      <c r="B38" t="s">
        <v>241</v>
      </c>
      <c r="C38" t="s">
        <v>11</v>
      </c>
      <c r="D38" t="s">
        <v>1</v>
      </c>
      <c r="E38" t="s">
        <v>36</v>
      </c>
      <c r="F38" t="s">
        <v>598</v>
      </c>
    </row>
    <row r="39" spans="1:6" x14ac:dyDescent="0.2">
      <c r="A39" s="2">
        <v>45600</v>
      </c>
      <c r="B39" t="s">
        <v>241</v>
      </c>
      <c r="C39" t="s">
        <v>11</v>
      </c>
      <c r="D39" t="s">
        <v>1</v>
      </c>
      <c r="E39" t="s">
        <v>36</v>
      </c>
      <c r="F39" t="s">
        <v>598</v>
      </c>
    </row>
    <row r="40" spans="1:6" x14ac:dyDescent="0.2">
      <c r="A40" s="2">
        <v>45601</v>
      </c>
      <c r="B40" t="s">
        <v>242</v>
      </c>
      <c r="C40" t="s">
        <v>11</v>
      </c>
      <c r="D40" t="s">
        <v>1</v>
      </c>
      <c r="E40" t="s">
        <v>38</v>
      </c>
      <c r="F40" t="s">
        <v>598</v>
      </c>
    </row>
    <row r="41" spans="1:6" x14ac:dyDescent="0.2">
      <c r="A41" s="2">
        <v>45601</v>
      </c>
      <c r="B41" t="s">
        <v>242</v>
      </c>
      <c r="C41" t="s">
        <v>11</v>
      </c>
      <c r="D41" t="s">
        <v>1</v>
      </c>
      <c r="E41" t="s">
        <v>38</v>
      </c>
      <c r="F41" t="s">
        <v>598</v>
      </c>
    </row>
    <row r="42" spans="1:6" x14ac:dyDescent="0.2">
      <c r="A42" s="2">
        <v>45602</v>
      </c>
      <c r="B42" t="s">
        <v>243</v>
      </c>
      <c r="C42" t="s">
        <v>11</v>
      </c>
      <c r="D42" t="s">
        <v>1</v>
      </c>
      <c r="E42" t="s">
        <v>39</v>
      </c>
      <c r="F42" t="s">
        <v>598</v>
      </c>
    </row>
    <row r="43" spans="1:6" x14ac:dyDescent="0.2">
      <c r="A43" s="2">
        <v>45602</v>
      </c>
      <c r="B43" t="s">
        <v>243</v>
      </c>
      <c r="C43" t="s">
        <v>11</v>
      </c>
      <c r="D43" t="s">
        <v>1</v>
      </c>
      <c r="E43" t="s">
        <v>39</v>
      </c>
      <c r="F43" t="s">
        <v>598</v>
      </c>
    </row>
    <row r="44" spans="1:6" x14ac:dyDescent="0.2">
      <c r="A44" s="2">
        <v>45602</v>
      </c>
      <c r="B44" t="s">
        <v>243</v>
      </c>
      <c r="C44" t="s">
        <v>11</v>
      </c>
      <c r="D44" t="s">
        <v>1</v>
      </c>
      <c r="E44" t="s">
        <v>39</v>
      </c>
      <c r="F44" t="s">
        <v>598</v>
      </c>
    </row>
    <row r="45" spans="1:6" x14ac:dyDescent="0.2">
      <c r="A45" s="2">
        <v>45603</v>
      </c>
      <c r="B45" t="s">
        <v>244</v>
      </c>
      <c r="C45" t="s">
        <v>11</v>
      </c>
      <c r="D45" t="s">
        <v>1</v>
      </c>
      <c r="E45" t="s">
        <v>3831</v>
      </c>
      <c r="F45" t="s">
        <v>598</v>
      </c>
    </row>
    <row r="46" spans="1:6" x14ac:dyDescent="0.2">
      <c r="A46" s="2">
        <v>45604</v>
      </c>
      <c r="B46" t="s">
        <v>245</v>
      </c>
      <c r="C46" t="s">
        <v>11</v>
      </c>
      <c r="D46" t="s">
        <v>1</v>
      </c>
      <c r="E46" t="s">
        <v>41</v>
      </c>
      <c r="F46" t="s">
        <v>598</v>
      </c>
    </row>
    <row r="47" spans="1:6" x14ac:dyDescent="0.2">
      <c r="A47" s="2">
        <v>45607</v>
      </c>
      <c r="B47" t="s">
        <v>246</v>
      </c>
      <c r="C47" t="s">
        <v>11</v>
      </c>
      <c r="D47" t="s">
        <v>1</v>
      </c>
      <c r="E47" t="s">
        <v>42</v>
      </c>
      <c r="F47" t="s">
        <v>598</v>
      </c>
    </row>
    <row r="48" spans="1:6" x14ac:dyDescent="0.2">
      <c r="A48" s="2">
        <v>45607</v>
      </c>
      <c r="B48" t="s">
        <v>246</v>
      </c>
      <c r="C48" t="s">
        <v>11</v>
      </c>
      <c r="D48" t="s">
        <v>1</v>
      </c>
      <c r="E48" t="s">
        <v>42</v>
      </c>
      <c r="F48" t="s">
        <v>598</v>
      </c>
    </row>
    <row r="49" spans="1:6" x14ac:dyDescent="0.2">
      <c r="A49" s="2">
        <v>45608</v>
      </c>
      <c r="B49" t="s">
        <v>247</v>
      </c>
      <c r="C49" t="s">
        <v>11</v>
      </c>
      <c r="D49" t="s">
        <v>1</v>
      </c>
      <c r="E49" t="s">
        <v>44</v>
      </c>
      <c r="F49" t="s">
        <v>598</v>
      </c>
    </row>
    <row r="50" spans="1:6" x14ac:dyDescent="0.2">
      <c r="A50" s="2">
        <v>45608</v>
      </c>
      <c r="B50" t="s">
        <v>247</v>
      </c>
      <c r="C50" t="s">
        <v>11</v>
      </c>
      <c r="D50" t="s">
        <v>1</v>
      </c>
      <c r="E50" t="s">
        <v>44</v>
      </c>
      <c r="F50" t="s">
        <v>598</v>
      </c>
    </row>
    <row r="51" spans="1:6" x14ac:dyDescent="0.2">
      <c r="A51" s="2">
        <v>45608</v>
      </c>
      <c r="B51" t="s">
        <v>247</v>
      </c>
      <c r="C51" t="s">
        <v>11</v>
      </c>
      <c r="D51" t="s">
        <v>1</v>
      </c>
      <c r="E51" t="s">
        <v>44</v>
      </c>
      <c r="F51" t="s">
        <v>598</v>
      </c>
    </row>
    <row r="52" spans="1:6" x14ac:dyDescent="0.2">
      <c r="A52" s="2">
        <v>45609</v>
      </c>
      <c r="B52" t="s">
        <v>248</v>
      </c>
      <c r="C52" t="s">
        <v>11</v>
      </c>
      <c r="D52" t="s">
        <v>1</v>
      </c>
      <c r="E52" t="s">
        <v>45</v>
      </c>
      <c r="F52" t="s">
        <v>598</v>
      </c>
    </row>
    <row r="53" spans="1:6" x14ac:dyDescent="0.2">
      <c r="A53" s="2">
        <v>45610</v>
      </c>
      <c r="B53" t="s">
        <v>249</v>
      </c>
      <c r="C53" t="s">
        <v>11</v>
      </c>
      <c r="D53" t="s">
        <v>1</v>
      </c>
      <c r="E53" t="s">
        <v>46</v>
      </c>
      <c r="F53" t="s">
        <v>598</v>
      </c>
    </row>
    <row r="54" spans="1:6" x14ac:dyDescent="0.2">
      <c r="A54" s="2">
        <v>45610</v>
      </c>
      <c r="B54" t="s">
        <v>249</v>
      </c>
      <c r="C54" t="s">
        <v>11</v>
      </c>
      <c r="D54" t="s">
        <v>1</v>
      </c>
      <c r="E54" t="s">
        <v>46</v>
      </c>
      <c r="F54" t="s">
        <v>598</v>
      </c>
    </row>
    <row r="55" spans="1:6" x14ac:dyDescent="0.2">
      <c r="A55" s="2">
        <v>45611</v>
      </c>
      <c r="B55" t="s">
        <v>250</v>
      </c>
      <c r="C55" t="s">
        <v>11</v>
      </c>
      <c r="D55" t="s">
        <v>1</v>
      </c>
      <c r="E55" t="s">
        <v>47</v>
      </c>
      <c r="F55" t="s">
        <v>598</v>
      </c>
    </row>
    <row r="56" spans="1:6" x14ac:dyDescent="0.2">
      <c r="A56" s="2">
        <v>45611</v>
      </c>
      <c r="B56" t="s">
        <v>250</v>
      </c>
      <c r="C56" t="s">
        <v>11</v>
      </c>
      <c r="D56" t="s">
        <v>1</v>
      </c>
      <c r="E56" t="s">
        <v>47</v>
      </c>
      <c r="F56" t="s">
        <v>598</v>
      </c>
    </row>
    <row r="57" spans="1:6" x14ac:dyDescent="0.2">
      <c r="A57" s="2">
        <v>45614</v>
      </c>
      <c r="B57" t="s">
        <v>251</v>
      </c>
      <c r="C57" t="s">
        <v>11</v>
      </c>
      <c r="D57" t="s">
        <v>1</v>
      </c>
      <c r="E57" t="s">
        <v>48</v>
      </c>
      <c r="F57" t="s">
        <v>598</v>
      </c>
    </row>
    <row r="58" spans="1:6" x14ac:dyDescent="0.2">
      <c r="A58" s="2">
        <v>45615</v>
      </c>
      <c r="B58" t="s">
        <v>252</v>
      </c>
      <c r="C58" t="s">
        <v>11</v>
      </c>
      <c r="D58" t="s">
        <v>1</v>
      </c>
      <c r="E58" t="s">
        <v>49</v>
      </c>
      <c r="F58" t="s">
        <v>598</v>
      </c>
    </row>
    <row r="59" spans="1:6" x14ac:dyDescent="0.2">
      <c r="A59" s="2">
        <v>45615</v>
      </c>
      <c r="B59" t="s">
        <v>252</v>
      </c>
      <c r="C59" t="s">
        <v>11</v>
      </c>
      <c r="D59" t="s">
        <v>1</v>
      </c>
      <c r="E59" t="s">
        <v>49</v>
      </c>
      <c r="F59" t="s">
        <v>598</v>
      </c>
    </row>
    <row r="60" spans="1:6" x14ac:dyDescent="0.2">
      <c r="A60" s="2">
        <v>45615</v>
      </c>
      <c r="B60" t="s">
        <v>252</v>
      </c>
      <c r="C60" t="s">
        <v>11</v>
      </c>
      <c r="D60" t="s">
        <v>1</v>
      </c>
      <c r="E60" t="s">
        <v>49</v>
      </c>
      <c r="F60" t="s">
        <v>598</v>
      </c>
    </row>
    <row r="61" spans="1:6" x14ac:dyDescent="0.2">
      <c r="A61" s="2">
        <v>45616</v>
      </c>
      <c r="B61" t="s">
        <v>253</v>
      </c>
      <c r="C61" t="s">
        <v>11</v>
      </c>
      <c r="D61" t="s">
        <v>1</v>
      </c>
      <c r="E61" t="s">
        <v>50</v>
      </c>
      <c r="F61" t="s">
        <v>598</v>
      </c>
    </row>
    <row r="62" spans="1:6" x14ac:dyDescent="0.2">
      <c r="A62" s="2">
        <v>45616</v>
      </c>
      <c r="B62" t="s">
        <v>253</v>
      </c>
      <c r="C62" t="s">
        <v>11</v>
      </c>
      <c r="D62" t="s">
        <v>1</v>
      </c>
      <c r="E62" t="s">
        <v>50</v>
      </c>
      <c r="F62" t="s">
        <v>598</v>
      </c>
    </row>
    <row r="63" spans="1:6" x14ac:dyDescent="0.2">
      <c r="A63" s="2">
        <v>45617</v>
      </c>
      <c r="B63" t="s">
        <v>254</v>
      </c>
      <c r="C63" t="s">
        <v>11</v>
      </c>
      <c r="D63" t="s">
        <v>1</v>
      </c>
      <c r="E63" t="s">
        <v>51</v>
      </c>
      <c r="F63" t="s">
        <v>598</v>
      </c>
    </row>
    <row r="64" spans="1:6" x14ac:dyDescent="0.2">
      <c r="A64" s="2">
        <v>45617</v>
      </c>
      <c r="B64" t="s">
        <v>254</v>
      </c>
      <c r="C64" t="s">
        <v>11</v>
      </c>
      <c r="D64" t="s">
        <v>1</v>
      </c>
      <c r="E64" t="s">
        <v>51</v>
      </c>
      <c r="F64" t="s">
        <v>598</v>
      </c>
    </row>
    <row r="65" spans="1:6" x14ac:dyDescent="0.2">
      <c r="A65" s="2">
        <v>45617</v>
      </c>
      <c r="B65" t="s">
        <v>254</v>
      </c>
      <c r="C65" t="s">
        <v>11</v>
      </c>
      <c r="D65" t="s">
        <v>1</v>
      </c>
      <c r="E65" t="s">
        <v>51</v>
      </c>
      <c r="F65" t="s">
        <v>598</v>
      </c>
    </row>
    <row r="66" spans="1:6" x14ac:dyDescent="0.2">
      <c r="A66" s="2">
        <v>45618</v>
      </c>
      <c r="B66" t="s">
        <v>255</v>
      </c>
      <c r="C66" t="s">
        <v>11</v>
      </c>
      <c r="D66" t="s">
        <v>1</v>
      </c>
      <c r="E66" t="s">
        <v>3833</v>
      </c>
      <c r="F66" t="s">
        <v>598</v>
      </c>
    </row>
    <row r="67" spans="1:6" x14ac:dyDescent="0.2">
      <c r="A67" s="2">
        <v>45621</v>
      </c>
      <c r="B67" t="s">
        <v>256</v>
      </c>
      <c r="C67" t="s">
        <v>11</v>
      </c>
      <c r="D67" t="s">
        <v>1</v>
      </c>
      <c r="E67" t="s">
        <v>53</v>
      </c>
      <c r="F67" t="s">
        <v>598</v>
      </c>
    </row>
    <row r="68" spans="1:6" x14ac:dyDescent="0.2">
      <c r="A68" s="2">
        <v>45621</v>
      </c>
      <c r="B68" t="s">
        <v>256</v>
      </c>
      <c r="C68" t="s">
        <v>11</v>
      </c>
      <c r="D68" t="s">
        <v>1</v>
      </c>
      <c r="E68" t="s">
        <v>53</v>
      </c>
      <c r="F68" t="s">
        <v>598</v>
      </c>
    </row>
    <row r="69" spans="1:6" x14ac:dyDescent="0.2">
      <c r="A69" s="2">
        <v>45621</v>
      </c>
      <c r="B69" t="s">
        <v>256</v>
      </c>
      <c r="C69" t="s">
        <v>11</v>
      </c>
      <c r="D69" t="s">
        <v>1</v>
      </c>
      <c r="E69" t="s">
        <v>53</v>
      </c>
      <c r="F69" t="s">
        <v>598</v>
      </c>
    </row>
    <row r="70" spans="1:6" x14ac:dyDescent="0.2">
      <c r="A70" s="2">
        <v>45622</v>
      </c>
      <c r="B70" t="s">
        <v>257</v>
      </c>
      <c r="C70" t="s">
        <v>11</v>
      </c>
      <c r="D70" t="s">
        <v>1</v>
      </c>
      <c r="E70" t="s">
        <v>55</v>
      </c>
      <c r="F70" t="s">
        <v>598</v>
      </c>
    </row>
    <row r="71" spans="1:6" x14ac:dyDescent="0.2">
      <c r="A71" s="2">
        <v>45622</v>
      </c>
      <c r="B71" t="s">
        <v>257</v>
      </c>
      <c r="C71" t="s">
        <v>11</v>
      </c>
      <c r="D71" t="s">
        <v>1</v>
      </c>
      <c r="E71" t="s">
        <v>55</v>
      </c>
      <c r="F71" t="s">
        <v>598</v>
      </c>
    </row>
    <row r="72" spans="1:6" x14ac:dyDescent="0.2">
      <c r="A72" s="2">
        <v>45622</v>
      </c>
      <c r="B72" t="s">
        <v>257</v>
      </c>
      <c r="C72" t="s">
        <v>11</v>
      </c>
      <c r="D72" t="s">
        <v>1</v>
      </c>
      <c r="E72" t="s">
        <v>55</v>
      </c>
      <c r="F72" t="s">
        <v>598</v>
      </c>
    </row>
    <row r="73" spans="1:6" x14ac:dyDescent="0.2">
      <c r="A73" s="2">
        <v>45623</v>
      </c>
      <c r="B73" t="s">
        <v>258</v>
      </c>
      <c r="C73" t="s">
        <v>11</v>
      </c>
      <c r="D73" t="s">
        <v>1</v>
      </c>
      <c r="E73" t="s">
        <v>57</v>
      </c>
      <c r="F73" t="s">
        <v>598</v>
      </c>
    </row>
    <row r="74" spans="1:6" x14ac:dyDescent="0.2">
      <c r="A74" s="2">
        <v>45623</v>
      </c>
      <c r="B74" t="s">
        <v>258</v>
      </c>
      <c r="C74" t="s">
        <v>11</v>
      </c>
      <c r="D74" t="s">
        <v>1</v>
      </c>
      <c r="E74" t="s">
        <v>57</v>
      </c>
      <c r="F74" t="s">
        <v>598</v>
      </c>
    </row>
    <row r="75" spans="1:6" x14ac:dyDescent="0.2">
      <c r="A75" s="2">
        <v>45625</v>
      </c>
      <c r="B75" t="s">
        <v>259</v>
      </c>
      <c r="C75" t="s">
        <v>11</v>
      </c>
      <c r="D75" t="s">
        <v>1</v>
      </c>
      <c r="E75" t="s">
        <v>58</v>
      </c>
      <c r="F75" t="s">
        <v>598</v>
      </c>
    </row>
    <row r="76" spans="1:6" x14ac:dyDescent="0.2">
      <c r="A76" s="2">
        <v>45625</v>
      </c>
      <c r="B76" t="s">
        <v>259</v>
      </c>
      <c r="C76" t="s">
        <v>11</v>
      </c>
      <c r="D76" t="s">
        <v>1</v>
      </c>
      <c r="E76" t="s">
        <v>58</v>
      </c>
      <c r="F76" t="s">
        <v>598</v>
      </c>
    </row>
    <row r="77" spans="1:6" x14ac:dyDescent="0.2">
      <c r="A77" s="2">
        <v>45628</v>
      </c>
      <c r="B77" t="s">
        <v>260</v>
      </c>
      <c r="C77" t="s">
        <v>11</v>
      </c>
      <c r="D77" t="s">
        <v>1</v>
      </c>
      <c r="E77" t="s">
        <v>59</v>
      </c>
      <c r="F77" t="s">
        <v>598</v>
      </c>
    </row>
    <row r="78" spans="1:6" x14ac:dyDescent="0.2">
      <c r="A78" s="2">
        <v>45628</v>
      </c>
      <c r="B78" t="s">
        <v>260</v>
      </c>
      <c r="C78" t="s">
        <v>11</v>
      </c>
      <c r="D78" t="s">
        <v>1</v>
      </c>
      <c r="E78" t="s">
        <v>59</v>
      </c>
      <c r="F78" t="s">
        <v>598</v>
      </c>
    </row>
    <row r="79" spans="1:6" x14ac:dyDescent="0.2">
      <c r="A79" s="2">
        <v>45629</v>
      </c>
      <c r="B79" t="s">
        <v>261</v>
      </c>
      <c r="C79" t="s">
        <v>11</v>
      </c>
      <c r="D79" t="s">
        <v>1</v>
      </c>
      <c r="E79" t="s">
        <v>61</v>
      </c>
      <c r="F79" t="s">
        <v>598</v>
      </c>
    </row>
    <row r="80" spans="1:6" x14ac:dyDescent="0.2">
      <c r="A80" s="2">
        <v>45629</v>
      </c>
      <c r="B80" t="s">
        <v>261</v>
      </c>
      <c r="C80" t="s">
        <v>11</v>
      </c>
      <c r="D80" t="s">
        <v>1</v>
      </c>
      <c r="E80" t="s">
        <v>61</v>
      </c>
      <c r="F80" t="s">
        <v>598</v>
      </c>
    </row>
    <row r="81" spans="1:6" x14ac:dyDescent="0.2">
      <c r="A81" s="2">
        <v>45630</v>
      </c>
      <c r="B81" t="s">
        <v>262</v>
      </c>
      <c r="C81" t="s">
        <v>11</v>
      </c>
      <c r="D81" t="s">
        <v>1</v>
      </c>
      <c r="E81" t="s">
        <v>62</v>
      </c>
      <c r="F81" t="s">
        <v>598</v>
      </c>
    </row>
    <row r="82" spans="1:6" x14ac:dyDescent="0.2">
      <c r="A82" s="2">
        <v>45630</v>
      </c>
      <c r="B82" t="s">
        <v>262</v>
      </c>
      <c r="C82" t="s">
        <v>11</v>
      </c>
      <c r="D82" t="s">
        <v>1</v>
      </c>
      <c r="E82" t="s">
        <v>62</v>
      </c>
      <c r="F82" t="s">
        <v>598</v>
      </c>
    </row>
    <row r="83" spans="1:6" x14ac:dyDescent="0.2">
      <c r="A83" s="2">
        <v>45631</v>
      </c>
      <c r="B83" t="s">
        <v>263</v>
      </c>
      <c r="C83" t="s">
        <v>11</v>
      </c>
      <c r="D83" t="s">
        <v>1</v>
      </c>
      <c r="E83" t="s">
        <v>3835</v>
      </c>
      <c r="F83" t="s">
        <v>598</v>
      </c>
    </row>
    <row r="84" spans="1:6" x14ac:dyDescent="0.2">
      <c r="A84" s="2">
        <v>45632</v>
      </c>
      <c r="B84" t="s">
        <v>264</v>
      </c>
      <c r="C84" t="s">
        <v>11</v>
      </c>
      <c r="D84" t="s">
        <v>1</v>
      </c>
      <c r="E84" t="s">
        <v>63</v>
      </c>
      <c r="F84" t="s">
        <v>598</v>
      </c>
    </row>
    <row r="85" spans="1:6" x14ac:dyDescent="0.2">
      <c r="A85" s="2">
        <v>45632</v>
      </c>
      <c r="B85" t="s">
        <v>264</v>
      </c>
      <c r="C85" t="s">
        <v>11</v>
      </c>
      <c r="D85" t="s">
        <v>1</v>
      </c>
      <c r="E85" t="s">
        <v>63</v>
      </c>
      <c r="F85" t="s">
        <v>598</v>
      </c>
    </row>
    <row r="86" spans="1:6" x14ac:dyDescent="0.2">
      <c r="A86" s="2">
        <v>45635</v>
      </c>
      <c r="B86" t="s">
        <v>265</v>
      </c>
      <c r="C86" t="s">
        <v>11</v>
      </c>
      <c r="D86" t="s">
        <v>1</v>
      </c>
      <c r="E86" t="s">
        <v>3836</v>
      </c>
      <c r="F86" t="s">
        <v>598</v>
      </c>
    </row>
    <row r="87" spans="1:6" x14ac:dyDescent="0.2">
      <c r="A87" s="2">
        <v>45635</v>
      </c>
      <c r="B87" t="s">
        <v>265</v>
      </c>
      <c r="C87" t="s">
        <v>11</v>
      </c>
      <c r="D87" t="s">
        <v>1</v>
      </c>
      <c r="E87" t="s">
        <v>3836</v>
      </c>
      <c r="F87" t="s">
        <v>598</v>
      </c>
    </row>
    <row r="88" spans="1:6" x14ac:dyDescent="0.2">
      <c r="A88" s="2">
        <v>45635</v>
      </c>
      <c r="B88" t="s">
        <v>265</v>
      </c>
      <c r="C88" t="s">
        <v>11</v>
      </c>
      <c r="D88" t="s">
        <v>1</v>
      </c>
      <c r="E88" t="s">
        <v>3836</v>
      </c>
      <c r="F88" t="s">
        <v>598</v>
      </c>
    </row>
    <row r="89" spans="1:6" x14ac:dyDescent="0.2">
      <c r="A89" s="2">
        <v>45636</v>
      </c>
      <c r="B89" t="s">
        <v>266</v>
      </c>
      <c r="C89" t="s">
        <v>11</v>
      </c>
      <c r="D89" t="s">
        <v>1</v>
      </c>
      <c r="E89" t="s">
        <v>65</v>
      </c>
      <c r="F89" t="s">
        <v>598</v>
      </c>
    </row>
    <row r="90" spans="1:6" x14ac:dyDescent="0.2">
      <c r="A90" s="2">
        <v>45636</v>
      </c>
      <c r="B90" t="s">
        <v>266</v>
      </c>
      <c r="C90" t="s">
        <v>11</v>
      </c>
      <c r="D90" t="s">
        <v>1</v>
      </c>
      <c r="E90" t="s">
        <v>65</v>
      </c>
      <c r="F90" t="s">
        <v>598</v>
      </c>
    </row>
    <row r="91" spans="1:6" x14ac:dyDescent="0.2">
      <c r="A91" s="2">
        <v>45637</v>
      </c>
      <c r="B91" t="s">
        <v>267</v>
      </c>
      <c r="C91" t="s">
        <v>11</v>
      </c>
      <c r="D91" t="s">
        <v>1</v>
      </c>
      <c r="E91" t="s">
        <v>67</v>
      </c>
      <c r="F91" t="s">
        <v>598</v>
      </c>
    </row>
    <row r="92" spans="1:6" x14ac:dyDescent="0.2">
      <c r="A92" s="2">
        <v>45637</v>
      </c>
      <c r="B92" t="s">
        <v>267</v>
      </c>
      <c r="C92" t="s">
        <v>11</v>
      </c>
      <c r="D92" t="s">
        <v>1</v>
      </c>
      <c r="E92" t="s">
        <v>67</v>
      </c>
      <c r="F92" t="s">
        <v>598</v>
      </c>
    </row>
    <row r="93" spans="1:6" x14ac:dyDescent="0.2">
      <c r="A93" s="2">
        <v>45637</v>
      </c>
      <c r="B93" t="s">
        <v>267</v>
      </c>
      <c r="C93" t="s">
        <v>11</v>
      </c>
      <c r="D93" t="s">
        <v>1</v>
      </c>
      <c r="E93" t="s">
        <v>67</v>
      </c>
      <c r="F93" t="s">
        <v>598</v>
      </c>
    </row>
    <row r="94" spans="1:6" x14ac:dyDescent="0.2">
      <c r="A94" s="2">
        <v>45638</v>
      </c>
      <c r="B94" t="s">
        <v>268</v>
      </c>
      <c r="C94" t="s">
        <v>11</v>
      </c>
      <c r="D94" t="s">
        <v>1</v>
      </c>
      <c r="E94" t="s">
        <v>69</v>
      </c>
      <c r="F94" t="s">
        <v>598</v>
      </c>
    </row>
    <row r="95" spans="1:6" x14ac:dyDescent="0.2">
      <c r="A95" s="2">
        <v>45638</v>
      </c>
      <c r="B95" t="s">
        <v>268</v>
      </c>
      <c r="C95" t="s">
        <v>11</v>
      </c>
      <c r="D95" t="s">
        <v>1</v>
      </c>
      <c r="E95" t="s">
        <v>69</v>
      </c>
      <c r="F95" t="s">
        <v>598</v>
      </c>
    </row>
    <row r="96" spans="1:6" x14ac:dyDescent="0.2">
      <c r="A96" s="2">
        <v>45639</v>
      </c>
      <c r="B96" t="s">
        <v>269</v>
      </c>
      <c r="C96" t="s">
        <v>11</v>
      </c>
      <c r="D96" t="s">
        <v>1</v>
      </c>
      <c r="E96" t="s">
        <v>70</v>
      </c>
      <c r="F96" t="s">
        <v>598</v>
      </c>
    </row>
    <row r="97" spans="1:6" x14ac:dyDescent="0.2">
      <c r="A97" s="2">
        <v>45639</v>
      </c>
      <c r="B97" t="s">
        <v>269</v>
      </c>
      <c r="C97" t="s">
        <v>11</v>
      </c>
      <c r="D97" t="s">
        <v>1</v>
      </c>
      <c r="E97" t="s">
        <v>70</v>
      </c>
      <c r="F97" t="s">
        <v>598</v>
      </c>
    </row>
    <row r="98" spans="1:6" x14ac:dyDescent="0.2">
      <c r="A98" s="2">
        <v>45642</v>
      </c>
      <c r="B98" t="s">
        <v>270</v>
      </c>
      <c r="C98" t="s">
        <v>11</v>
      </c>
      <c r="D98" t="s">
        <v>1</v>
      </c>
      <c r="E98" t="s">
        <v>72</v>
      </c>
      <c r="F98" t="s">
        <v>598</v>
      </c>
    </row>
    <row r="99" spans="1:6" x14ac:dyDescent="0.2">
      <c r="A99" s="2">
        <v>45642</v>
      </c>
      <c r="B99" t="s">
        <v>270</v>
      </c>
      <c r="C99" t="s">
        <v>11</v>
      </c>
      <c r="D99" t="s">
        <v>1</v>
      </c>
      <c r="E99" t="s">
        <v>72</v>
      </c>
      <c r="F99" t="s">
        <v>598</v>
      </c>
    </row>
    <row r="100" spans="1:6" x14ac:dyDescent="0.2">
      <c r="A100" s="2">
        <v>45643</v>
      </c>
      <c r="B100" t="s">
        <v>271</v>
      </c>
      <c r="C100" t="s">
        <v>11</v>
      </c>
      <c r="D100" t="s">
        <v>1</v>
      </c>
      <c r="E100" t="s">
        <v>73</v>
      </c>
      <c r="F100" t="s">
        <v>598</v>
      </c>
    </row>
    <row r="101" spans="1:6" x14ac:dyDescent="0.2">
      <c r="A101" s="2">
        <v>45643</v>
      </c>
      <c r="B101" t="s">
        <v>271</v>
      </c>
      <c r="C101" t="s">
        <v>11</v>
      </c>
      <c r="D101" t="s">
        <v>1</v>
      </c>
      <c r="E101" t="s">
        <v>73</v>
      </c>
      <c r="F101" t="s">
        <v>598</v>
      </c>
    </row>
    <row r="102" spans="1:6" x14ac:dyDescent="0.2">
      <c r="A102" s="2">
        <v>45644</v>
      </c>
      <c r="B102" t="s">
        <v>272</v>
      </c>
      <c r="C102" t="s">
        <v>11</v>
      </c>
      <c r="D102" t="s">
        <v>1</v>
      </c>
      <c r="E102" t="s">
        <v>74</v>
      </c>
      <c r="F102" t="s">
        <v>598</v>
      </c>
    </row>
    <row r="103" spans="1:6" x14ac:dyDescent="0.2">
      <c r="A103" s="2">
        <v>45644</v>
      </c>
      <c r="B103" t="s">
        <v>272</v>
      </c>
      <c r="C103" t="s">
        <v>11</v>
      </c>
      <c r="D103" t="s">
        <v>1</v>
      </c>
      <c r="E103" t="s">
        <v>74</v>
      </c>
      <c r="F103" t="s">
        <v>598</v>
      </c>
    </row>
    <row r="104" spans="1:6" x14ac:dyDescent="0.2">
      <c r="A104" s="2">
        <v>45644</v>
      </c>
      <c r="B104" t="s">
        <v>272</v>
      </c>
      <c r="C104" t="s">
        <v>11</v>
      </c>
      <c r="D104" t="s">
        <v>1</v>
      </c>
      <c r="E104" t="s">
        <v>74</v>
      </c>
      <c r="F104" t="s">
        <v>598</v>
      </c>
    </row>
    <row r="105" spans="1:6" x14ac:dyDescent="0.2">
      <c r="A105" s="2">
        <v>45645</v>
      </c>
      <c r="B105" t="s">
        <v>273</v>
      </c>
      <c r="C105" t="s">
        <v>11</v>
      </c>
      <c r="D105" t="s">
        <v>1</v>
      </c>
      <c r="E105" t="s">
        <v>76</v>
      </c>
      <c r="F105" t="s">
        <v>598</v>
      </c>
    </row>
    <row r="106" spans="1:6" x14ac:dyDescent="0.2">
      <c r="A106" s="2">
        <v>45645</v>
      </c>
      <c r="B106" t="s">
        <v>273</v>
      </c>
      <c r="C106" t="s">
        <v>11</v>
      </c>
      <c r="D106" t="s">
        <v>1</v>
      </c>
      <c r="E106" t="s">
        <v>76</v>
      </c>
      <c r="F106" t="s">
        <v>598</v>
      </c>
    </row>
    <row r="107" spans="1:6" x14ac:dyDescent="0.2">
      <c r="A107" s="2">
        <v>45645</v>
      </c>
      <c r="B107" t="s">
        <v>273</v>
      </c>
      <c r="C107" t="s">
        <v>11</v>
      </c>
      <c r="D107" t="s">
        <v>1</v>
      </c>
      <c r="E107" t="s">
        <v>76</v>
      </c>
      <c r="F107" t="s">
        <v>598</v>
      </c>
    </row>
    <row r="108" spans="1:6" x14ac:dyDescent="0.2">
      <c r="A108" s="2">
        <v>45646</v>
      </c>
      <c r="B108" t="s">
        <v>274</v>
      </c>
      <c r="C108" t="s">
        <v>11</v>
      </c>
      <c r="D108" t="s">
        <v>1</v>
      </c>
      <c r="E108" t="s">
        <v>78</v>
      </c>
      <c r="F108" t="s">
        <v>598</v>
      </c>
    </row>
    <row r="109" spans="1:6" x14ac:dyDescent="0.2">
      <c r="A109" s="2">
        <v>45646</v>
      </c>
      <c r="B109" t="s">
        <v>274</v>
      </c>
      <c r="C109" t="s">
        <v>11</v>
      </c>
      <c r="D109" t="s">
        <v>1</v>
      </c>
      <c r="E109" t="s">
        <v>78</v>
      </c>
      <c r="F109" t="s">
        <v>598</v>
      </c>
    </row>
    <row r="110" spans="1:6" x14ac:dyDescent="0.2">
      <c r="A110" s="2">
        <v>45646</v>
      </c>
      <c r="B110" t="s">
        <v>274</v>
      </c>
      <c r="C110" t="s">
        <v>11</v>
      </c>
      <c r="D110" t="s">
        <v>1</v>
      </c>
      <c r="E110" t="s">
        <v>78</v>
      </c>
      <c r="F110" t="s">
        <v>598</v>
      </c>
    </row>
    <row r="111" spans="1:6" x14ac:dyDescent="0.2">
      <c r="A111" s="2">
        <v>45650</v>
      </c>
      <c r="B111" t="s">
        <v>275</v>
      </c>
      <c r="C111" t="s">
        <v>11</v>
      </c>
      <c r="D111" t="s">
        <v>1</v>
      </c>
      <c r="E111" t="s">
        <v>80</v>
      </c>
      <c r="F111" t="s">
        <v>598</v>
      </c>
    </row>
    <row r="112" spans="1:6" x14ac:dyDescent="0.2">
      <c r="A112" s="2">
        <v>45652</v>
      </c>
      <c r="B112" t="s">
        <v>276</v>
      </c>
      <c r="C112" t="s">
        <v>11</v>
      </c>
      <c r="D112" t="s">
        <v>1</v>
      </c>
      <c r="E112" t="s">
        <v>81</v>
      </c>
      <c r="F112" t="s">
        <v>598</v>
      </c>
    </row>
    <row r="113" spans="1:6" x14ac:dyDescent="0.2">
      <c r="A113" s="2">
        <v>45652</v>
      </c>
      <c r="B113" t="s">
        <v>276</v>
      </c>
      <c r="C113" t="s">
        <v>11</v>
      </c>
      <c r="D113" t="s">
        <v>1</v>
      </c>
      <c r="E113" t="s">
        <v>81</v>
      </c>
      <c r="F113" t="s">
        <v>598</v>
      </c>
    </row>
    <row r="114" spans="1:6" x14ac:dyDescent="0.2">
      <c r="A114" s="2">
        <v>45652</v>
      </c>
      <c r="B114" t="s">
        <v>276</v>
      </c>
      <c r="C114" t="s">
        <v>11</v>
      </c>
      <c r="D114" t="s">
        <v>1</v>
      </c>
      <c r="E114" t="s">
        <v>81</v>
      </c>
      <c r="F114" t="s">
        <v>598</v>
      </c>
    </row>
    <row r="115" spans="1:6" x14ac:dyDescent="0.2">
      <c r="A115" s="2">
        <v>45653</v>
      </c>
      <c r="B115" t="s">
        <v>277</v>
      </c>
      <c r="C115" t="s">
        <v>11</v>
      </c>
      <c r="D115" t="s">
        <v>1</v>
      </c>
      <c r="E115" t="s">
        <v>83</v>
      </c>
      <c r="F115" t="s">
        <v>598</v>
      </c>
    </row>
    <row r="116" spans="1:6" x14ac:dyDescent="0.2">
      <c r="A116" s="2">
        <v>45653</v>
      </c>
      <c r="B116" t="s">
        <v>277</v>
      </c>
      <c r="C116" t="s">
        <v>11</v>
      </c>
      <c r="D116" t="s">
        <v>1</v>
      </c>
      <c r="E116" t="s">
        <v>83</v>
      </c>
      <c r="F116" t="s">
        <v>598</v>
      </c>
    </row>
    <row r="117" spans="1:6" x14ac:dyDescent="0.2">
      <c r="A117" s="2">
        <v>45653</v>
      </c>
      <c r="B117" t="s">
        <v>277</v>
      </c>
      <c r="C117" t="s">
        <v>11</v>
      </c>
      <c r="D117" t="s">
        <v>1</v>
      </c>
      <c r="E117" t="s">
        <v>83</v>
      </c>
      <c r="F117" t="s">
        <v>598</v>
      </c>
    </row>
    <row r="118" spans="1:6" x14ac:dyDescent="0.2">
      <c r="A118" s="2">
        <v>45656</v>
      </c>
      <c r="B118" t="s">
        <v>278</v>
      </c>
      <c r="C118" t="s">
        <v>11</v>
      </c>
      <c r="D118" t="s">
        <v>1</v>
      </c>
      <c r="E118" t="s">
        <v>85</v>
      </c>
      <c r="F118" t="s">
        <v>598</v>
      </c>
    </row>
    <row r="119" spans="1:6" x14ac:dyDescent="0.2">
      <c r="A119" s="2">
        <v>45657</v>
      </c>
      <c r="B119" t="s">
        <v>279</v>
      </c>
      <c r="C119" t="s">
        <v>11</v>
      </c>
      <c r="D119" t="s">
        <v>1</v>
      </c>
      <c r="E119" t="s">
        <v>87</v>
      </c>
      <c r="F119" t="s">
        <v>598</v>
      </c>
    </row>
    <row r="120" spans="1:6" x14ac:dyDescent="0.2">
      <c r="A120" s="2">
        <v>45657</v>
      </c>
      <c r="B120" t="s">
        <v>279</v>
      </c>
      <c r="C120" t="s">
        <v>11</v>
      </c>
      <c r="D120" t="s">
        <v>1</v>
      </c>
      <c r="E120" t="s">
        <v>87</v>
      </c>
      <c r="F120" t="s">
        <v>598</v>
      </c>
    </row>
    <row r="121" spans="1:6" x14ac:dyDescent="0.2">
      <c r="A121" s="2">
        <v>45657</v>
      </c>
      <c r="B121" t="s">
        <v>279</v>
      </c>
      <c r="C121" t="s">
        <v>11</v>
      </c>
      <c r="D121" t="s">
        <v>1</v>
      </c>
      <c r="E121" t="s">
        <v>87</v>
      </c>
      <c r="F121" t="s">
        <v>598</v>
      </c>
    </row>
    <row r="122" spans="1:6" x14ac:dyDescent="0.2">
      <c r="A122" s="2">
        <v>45659</v>
      </c>
      <c r="B122" t="s">
        <v>280</v>
      </c>
      <c r="C122" t="s">
        <v>11</v>
      </c>
      <c r="D122" t="s">
        <v>1</v>
      </c>
      <c r="E122" t="s">
        <v>89</v>
      </c>
      <c r="F122" t="s">
        <v>598</v>
      </c>
    </row>
    <row r="123" spans="1:6" x14ac:dyDescent="0.2">
      <c r="A123" s="2">
        <v>45660</v>
      </c>
      <c r="B123" t="s">
        <v>281</v>
      </c>
      <c r="C123" t="s">
        <v>11</v>
      </c>
      <c r="D123" t="s">
        <v>1</v>
      </c>
      <c r="E123" t="s">
        <v>91</v>
      </c>
      <c r="F123" t="s">
        <v>598</v>
      </c>
    </row>
    <row r="124" spans="1:6" x14ac:dyDescent="0.2">
      <c r="A124" s="2">
        <v>45660</v>
      </c>
      <c r="B124" t="s">
        <v>281</v>
      </c>
      <c r="C124" t="s">
        <v>11</v>
      </c>
      <c r="D124" t="s">
        <v>1</v>
      </c>
      <c r="E124" t="s">
        <v>91</v>
      </c>
      <c r="F124" t="s">
        <v>598</v>
      </c>
    </row>
    <row r="125" spans="1:6" x14ac:dyDescent="0.2">
      <c r="A125" s="2">
        <v>45663</v>
      </c>
      <c r="B125" t="s">
        <v>282</v>
      </c>
      <c r="C125" t="s">
        <v>11</v>
      </c>
      <c r="D125" t="s">
        <v>1</v>
      </c>
      <c r="E125" t="s">
        <v>92</v>
      </c>
      <c r="F125" t="s">
        <v>598</v>
      </c>
    </row>
    <row r="126" spans="1:6" x14ac:dyDescent="0.2">
      <c r="A126" s="2">
        <v>45663</v>
      </c>
      <c r="B126" t="s">
        <v>282</v>
      </c>
      <c r="C126" t="s">
        <v>11</v>
      </c>
      <c r="D126" t="s">
        <v>1</v>
      </c>
      <c r="E126" t="s">
        <v>92</v>
      </c>
      <c r="F126" t="s">
        <v>598</v>
      </c>
    </row>
    <row r="127" spans="1:6" x14ac:dyDescent="0.2">
      <c r="A127" s="2">
        <v>45664</v>
      </c>
      <c r="B127" t="s">
        <v>283</v>
      </c>
      <c r="C127" t="s">
        <v>11</v>
      </c>
      <c r="D127" t="s">
        <v>1</v>
      </c>
      <c r="E127" t="s">
        <v>94</v>
      </c>
      <c r="F127" t="s">
        <v>598</v>
      </c>
    </row>
    <row r="128" spans="1:6" x14ac:dyDescent="0.2">
      <c r="A128" s="2">
        <v>45664</v>
      </c>
      <c r="B128" t="s">
        <v>283</v>
      </c>
      <c r="C128" t="s">
        <v>11</v>
      </c>
      <c r="D128" t="s">
        <v>1</v>
      </c>
      <c r="E128" t="s">
        <v>94</v>
      </c>
      <c r="F128" t="s">
        <v>598</v>
      </c>
    </row>
    <row r="129" spans="1:6" x14ac:dyDescent="0.2">
      <c r="A129" s="2">
        <v>45665</v>
      </c>
      <c r="B129" t="s">
        <v>284</v>
      </c>
      <c r="C129" t="s">
        <v>11</v>
      </c>
      <c r="D129" t="s">
        <v>1</v>
      </c>
      <c r="E129" t="s">
        <v>95</v>
      </c>
      <c r="F129" t="s">
        <v>598</v>
      </c>
    </row>
    <row r="130" spans="1:6" x14ac:dyDescent="0.2">
      <c r="A130" s="2">
        <v>45665</v>
      </c>
      <c r="B130" t="s">
        <v>284</v>
      </c>
      <c r="C130" t="s">
        <v>11</v>
      </c>
      <c r="D130" t="s">
        <v>1</v>
      </c>
      <c r="E130" t="s">
        <v>95</v>
      </c>
      <c r="F130" t="s">
        <v>598</v>
      </c>
    </row>
    <row r="131" spans="1:6" x14ac:dyDescent="0.2">
      <c r="A131" s="2">
        <v>45665</v>
      </c>
      <c r="B131" t="s">
        <v>284</v>
      </c>
      <c r="C131" t="s">
        <v>11</v>
      </c>
      <c r="D131" t="s">
        <v>1</v>
      </c>
      <c r="E131" t="s">
        <v>95</v>
      </c>
      <c r="F131" t="s">
        <v>598</v>
      </c>
    </row>
    <row r="132" spans="1:6" x14ac:dyDescent="0.2">
      <c r="A132" s="2">
        <v>45667</v>
      </c>
      <c r="B132" t="s">
        <v>285</v>
      </c>
      <c r="C132" t="s">
        <v>11</v>
      </c>
      <c r="D132" t="s">
        <v>1</v>
      </c>
      <c r="E132" t="s">
        <v>96</v>
      </c>
      <c r="F132" t="s">
        <v>598</v>
      </c>
    </row>
    <row r="133" spans="1:6" x14ac:dyDescent="0.2">
      <c r="A133" s="2">
        <v>45668</v>
      </c>
      <c r="B133" t="s">
        <v>286</v>
      </c>
      <c r="C133" t="s">
        <v>11</v>
      </c>
      <c r="D133" t="s">
        <v>1</v>
      </c>
      <c r="E133" t="s">
        <v>97</v>
      </c>
      <c r="F133" t="s">
        <v>598</v>
      </c>
    </row>
    <row r="134" spans="1:6" x14ac:dyDescent="0.2">
      <c r="A134" s="2">
        <v>45668</v>
      </c>
      <c r="B134" t="s">
        <v>286</v>
      </c>
      <c r="C134" t="s">
        <v>11</v>
      </c>
      <c r="D134" t="s">
        <v>1</v>
      </c>
      <c r="E134" t="s">
        <v>97</v>
      </c>
      <c r="F134" t="s">
        <v>598</v>
      </c>
    </row>
    <row r="135" spans="1:6" x14ac:dyDescent="0.2">
      <c r="A135" s="2">
        <v>45670</v>
      </c>
      <c r="B135" t="s">
        <v>287</v>
      </c>
      <c r="C135" t="s">
        <v>11</v>
      </c>
      <c r="D135" t="s">
        <v>1</v>
      </c>
      <c r="E135" t="s">
        <v>3837</v>
      </c>
      <c r="F135" t="s">
        <v>598</v>
      </c>
    </row>
    <row r="136" spans="1:6" x14ac:dyDescent="0.2">
      <c r="A136" s="2">
        <v>45671</v>
      </c>
      <c r="B136" t="s">
        <v>288</v>
      </c>
      <c r="C136" t="s">
        <v>11</v>
      </c>
      <c r="D136" t="s">
        <v>1</v>
      </c>
      <c r="E136" t="s">
        <v>98</v>
      </c>
      <c r="F136" t="s">
        <v>598</v>
      </c>
    </row>
    <row r="137" spans="1:6" x14ac:dyDescent="0.2">
      <c r="A137" s="2">
        <v>45671</v>
      </c>
      <c r="B137" t="s">
        <v>288</v>
      </c>
      <c r="C137" t="s">
        <v>11</v>
      </c>
      <c r="D137" t="s">
        <v>1</v>
      </c>
      <c r="E137" t="s">
        <v>98</v>
      </c>
      <c r="F137" t="s">
        <v>598</v>
      </c>
    </row>
    <row r="138" spans="1:6" x14ac:dyDescent="0.2">
      <c r="A138" s="2">
        <v>45672</v>
      </c>
      <c r="B138" t="s">
        <v>289</v>
      </c>
      <c r="C138" t="s">
        <v>11</v>
      </c>
      <c r="D138" t="s">
        <v>1</v>
      </c>
      <c r="E138" t="s">
        <v>100</v>
      </c>
      <c r="F138" t="s">
        <v>598</v>
      </c>
    </row>
    <row r="139" spans="1:6" x14ac:dyDescent="0.2">
      <c r="A139" s="2">
        <v>45672</v>
      </c>
      <c r="B139" t="s">
        <v>289</v>
      </c>
      <c r="C139" t="s">
        <v>11</v>
      </c>
      <c r="D139" t="s">
        <v>1</v>
      </c>
      <c r="E139" t="s">
        <v>100</v>
      </c>
      <c r="F139" t="s">
        <v>598</v>
      </c>
    </row>
    <row r="140" spans="1:6" x14ac:dyDescent="0.2">
      <c r="A140" s="2">
        <v>45673</v>
      </c>
      <c r="B140" t="s">
        <v>290</v>
      </c>
      <c r="C140" t="s">
        <v>12</v>
      </c>
      <c r="D140" t="s">
        <v>1</v>
      </c>
      <c r="E140" t="s">
        <v>101</v>
      </c>
      <c r="F140" t="s">
        <v>598</v>
      </c>
    </row>
    <row r="141" spans="1:6" x14ac:dyDescent="0.2">
      <c r="A141" s="2">
        <v>45674</v>
      </c>
      <c r="B141" t="s">
        <v>291</v>
      </c>
      <c r="C141" t="s">
        <v>11</v>
      </c>
      <c r="D141" t="s">
        <v>1</v>
      </c>
      <c r="E141" t="s">
        <v>102</v>
      </c>
      <c r="F141" t="s">
        <v>598</v>
      </c>
    </row>
    <row r="142" spans="1:6" x14ac:dyDescent="0.2">
      <c r="A142" s="2">
        <v>45674</v>
      </c>
      <c r="B142" t="s">
        <v>291</v>
      </c>
      <c r="C142" t="s">
        <v>11</v>
      </c>
      <c r="D142" t="s">
        <v>1</v>
      </c>
      <c r="E142" t="s">
        <v>102</v>
      </c>
      <c r="F142" t="s">
        <v>598</v>
      </c>
    </row>
    <row r="143" spans="1:6" x14ac:dyDescent="0.2">
      <c r="A143" s="2">
        <v>45674</v>
      </c>
      <c r="B143" t="s">
        <v>291</v>
      </c>
      <c r="C143" t="s">
        <v>11</v>
      </c>
      <c r="D143" t="s">
        <v>1</v>
      </c>
      <c r="E143" t="s">
        <v>102</v>
      </c>
      <c r="F143" t="s">
        <v>598</v>
      </c>
    </row>
    <row r="144" spans="1:6" x14ac:dyDescent="0.2">
      <c r="A144" s="2">
        <v>45677</v>
      </c>
      <c r="B144" t="s">
        <v>292</v>
      </c>
      <c r="C144" t="s">
        <v>11</v>
      </c>
      <c r="D144" t="s">
        <v>1</v>
      </c>
      <c r="E144" t="s">
        <v>104</v>
      </c>
      <c r="F144" t="s">
        <v>598</v>
      </c>
    </row>
    <row r="145" spans="1:6" x14ac:dyDescent="0.2">
      <c r="A145" s="2">
        <v>45677</v>
      </c>
      <c r="B145" t="s">
        <v>292</v>
      </c>
      <c r="C145" t="s">
        <v>11</v>
      </c>
      <c r="D145" t="s">
        <v>1</v>
      </c>
      <c r="E145" t="s">
        <v>104</v>
      </c>
      <c r="F145" t="s">
        <v>598</v>
      </c>
    </row>
    <row r="146" spans="1:6" x14ac:dyDescent="0.2">
      <c r="A146" s="2">
        <v>45677</v>
      </c>
      <c r="B146" t="s">
        <v>292</v>
      </c>
      <c r="C146" t="s">
        <v>11</v>
      </c>
      <c r="D146" t="s">
        <v>1</v>
      </c>
      <c r="E146" t="s">
        <v>104</v>
      </c>
      <c r="F146" t="s">
        <v>598</v>
      </c>
    </row>
    <row r="147" spans="1:6" x14ac:dyDescent="0.2">
      <c r="A147" s="2">
        <v>45679</v>
      </c>
      <c r="B147" t="s">
        <v>293</v>
      </c>
      <c r="C147" t="s">
        <v>11</v>
      </c>
      <c r="D147" t="s">
        <v>1</v>
      </c>
      <c r="E147" t="s">
        <v>106</v>
      </c>
      <c r="F147" t="s">
        <v>598</v>
      </c>
    </row>
    <row r="148" spans="1:6" x14ac:dyDescent="0.2">
      <c r="A148" s="2">
        <v>45679</v>
      </c>
      <c r="B148" t="s">
        <v>293</v>
      </c>
      <c r="C148" t="s">
        <v>11</v>
      </c>
      <c r="D148" t="s">
        <v>1</v>
      </c>
      <c r="E148" t="s">
        <v>106</v>
      </c>
      <c r="F148" t="s">
        <v>598</v>
      </c>
    </row>
    <row r="149" spans="1:6" x14ac:dyDescent="0.2">
      <c r="A149" s="2">
        <v>45680</v>
      </c>
      <c r="B149" t="s">
        <v>294</v>
      </c>
      <c r="C149" t="s">
        <v>11</v>
      </c>
      <c r="D149" t="s">
        <v>1</v>
      </c>
      <c r="E149" t="s">
        <v>108</v>
      </c>
      <c r="F149" t="s">
        <v>598</v>
      </c>
    </row>
    <row r="150" spans="1:6" x14ac:dyDescent="0.2">
      <c r="A150" s="2">
        <v>45680</v>
      </c>
      <c r="B150" t="s">
        <v>294</v>
      </c>
      <c r="C150" t="s">
        <v>11</v>
      </c>
      <c r="D150" t="s">
        <v>1</v>
      </c>
      <c r="E150" t="s">
        <v>108</v>
      </c>
      <c r="F150" t="s">
        <v>598</v>
      </c>
    </row>
    <row r="151" spans="1:6" x14ac:dyDescent="0.2">
      <c r="A151" s="2">
        <v>45681</v>
      </c>
      <c r="B151" t="s">
        <v>295</v>
      </c>
      <c r="C151" t="s">
        <v>11</v>
      </c>
      <c r="D151" t="s">
        <v>1</v>
      </c>
      <c r="E151" t="s">
        <v>109</v>
      </c>
      <c r="F151" t="s">
        <v>598</v>
      </c>
    </row>
    <row r="152" spans="1:6" x14ac:dyDescent="0.2">
      <c r="A152" s="2">
        <v>45681</v>
      </c>
      <c r="B152" t="s">
        <v>295</v>
      </c>
      <c r="C152" t="s">
        <v>11</v>
      </c>
      <c r="D152" t="s">
        <v>1</v>
      </c>
      <c r="E152" t="s">
        <v>109</v>
      </c>
      <c r="F152" t="s">
        <v>598</v>
      </c>
    </row>
    <row r="153" spans="1:6" x14ac:dyDescent="0.2">
      <c r="A153" s="2">
        <v>45681</v>
      </c>
      <c r="B153" t="s">
        <v>295</v>
      </c>
      <c r="C153" t="s">
        <v>11</v>
      </c>
      <c r="D153" t="s">
        <v>1</v>
      </c>
      <c r="E153" t="s">
        <v>109</v>
      </c>
      <c r="F153" t="s">
        <v>598</v>
      </c>
    </row>
    <row r="154" spans="1:6" x14ac:dyDescent="0.2">
      <c r="A154" s="2">
        <v>45684</v>
      </c>
      <c r="B154" t="s">
        <v>296</v>
      </c>
      <c r="C154" t="s">
        <v>11</v>
      </c>
      <c r="D154" t="s">
        <v>1</v>
      </c>
      <c r="E154" t="s">
        <v>111</v>
      </c>
      <c r="F154" t="s">
        <v>598</v>
      </c>
    </row>
    <row r="155" spans="1:6" x14ac:dyDescent="0.2">
      <c r="A155" s="2">
        <v>45684</v>
      </c>
      <c r="B155" t="s">
        <v>296</v>
      </c>
      <c r="C155" t="s">
        <v>11</v>
      </c>
      <c r="D155" t="s">
        <v>1</v>
      </c>
      <c r="E155" t="s">
        <v>111</v>
      </c>
      <c r="F155" t="s">
        <v>598</v>
      </c>
    </row>
    <row r="156" spans="1:6" x14ac:dyDescent="0.2">
      <c r="A156" s="2">
        <v>45684</v>
      </c>
      <c r="B156" t="s">
        <v>296</v>
      </c>
      <c r="C156" t="s">
        <v>11</v>
      </c>
      <c r="D156" t="s">
        <v>1</v>
      </c>
      <c r="E156" t="s">
        <v>111</v>
      </c>
      <c r="F156" t="s">
        <v>598</v>
      </c>
    </row>
    <row r="157" spans="1:6" x14ac:dyDescent="0.2">
      <c r="A157" s="2">
        <v>45685</v>
      </c>
      <c r="B157" t="s">
        <v>297</v>
      </c>
      <c r="C157" t="s">
        <v>11</v>
      </c>
      <c r="D157" t="s">
        <v>1</v>
      </c>
      <c r="E157" t="s">
        <v>3838</v>
      </c>
      <c r="F157" t="s">
        <v>598</v>
      </c>
    </row>
    <row r="158" spans="1:6" x14ac:dyDescent="0.2">
      <c r="A158" s="2">
        <v>45685</v>
      </c>
      <c r="B158" t="s">
        <v>297</v>
      </c>
      <c r="C158" t="s">
        <v>11</v>
      </c>
      <c r="D158" t="s">
        <v>1</v>
      </c>
      <c r="E158" t="s">
        <v>3838</v>
      </c>
      <c r="F158" t="s">
        <v>598</v>
      </c>
    </row>
    <row r="159" spans="1:6" x14ac:dyDescent="0.2">
      <c r="A159" s="2">
        <v>45685</v>
      </c>
      <c r="B159" t="s">
        <v>297</v>
      </c>
      <c r="C159" t="s">
        <v>11</v>
      </c>
      <c r="D159" t="s">
        <v>1</v>
      </c>
      <c r="E159" t="s">
        <v>3838</v>
      </c>
      <c r="F159" t="s">
        <v>598</v>
      </c>
    </row>
    <row r="160" spans="1:6" x14ac:dyDescent="0.2">
      <c r="A160" s="2">
        <v>45686</v>
      </c>
      <c r="B160" t="s">
        <v>298</v>
      </c>
      <c r="C160" t="s">
        <v>11</v>
      </c>
      <c r="D160" t="s">
        <v>1</v>
      </c>
      <c r="E160" t="s">
        <v>112</v>
      </c>
      <c r="F160" t="s">
        <v>598</v>
      </c>
    </row>
    <row r="161" spans="1:6" x14ac:dyDescent="0.2">
      <c r="A161" s="2">
        <v>45687</v>
      </c>
      <c r="B161" t="s">
        <v>299</v>
      </c>
      <c r="C161" t="s">
        <v>11</v>
      </c>
      <c r="D161" t="s">
        <v>1</v>
      </c>
      <c r="E161" t="s">
        <v>113</v>
      </c>
      <c r="F161" t="s">
        <v>598</v>
      </c>
    </row>
    <row r="162" spans="1:6" x14ac:dyDescent="0.2">
      <c r="A162" s="2">
        <v>45687</v>
      </c>
      <c r="B162" t="s">
        <v>299</v>
      </c>
      <c r="C162" t="s">
        <v>11</v>
      </c>
      <c r="D162" t="s">
        <v>1</v>
      </c>
      <c r="E162" t="s">
        <v>113</v>
      </c>
      <c r="F162" t="s">
        <v>598</v>
      </c>
    </row>
    <row r="163" spans="1:6" x14ac:dyDescent="0.2">
      <c r="A163" s="2">
        <v>45688</v>
      </c>
      <c r="B163" t="s">
        <v>300</v>
      </c>
      <c r="C163" t="s">
        <v>11</v>
      </c>
      <c r="D163" t="s">
        <v>1</v>
      </c>
      <c r="E163" t="s">
        <v>114</v>
      </c>
      <c r="F163" t="s">
        <v>598</v>
      </c>
    </row>
    <row r="164" spans="1:6" x14ac:dyDescent="0.2">
      <c r="A164" s="2">
        <v>45688</v>
      </c>
      <c r="B164" t="s">
        <v>300</v>
      </c>
      <c r="C164" t="s">
        <v>11</v>
      </c>
      <c r="D164" t="s">
        <v>1</v>
      </c>
      <c r="E164" t="s">
        <v>114</v>
      </c>
      <c r="F164" t="s">
        <v>598</v>
      </c>
    </row>
    <row r="165" spans="1:6" x14ac:dyDescent="0.2">
      <c r="A165" s="2">
        <v>45688</v>
      </c>
      <c r="B165" t="s">
        <v>300</v>
      </c>
      <c r="C165" t="s">
        <v>11</v>
      </c>
      <c r="D165" t="s">
        <v>1</v>
      </c>
      <c r="E165" t="s">
        <v>114</v>
      </c>
      <c r="F165" t="s">
        <v>598</v>
      </c>
    </row>
    <row r="166" spans="1:6" x14ac:dyDescent="0.2">
      <c r="A166" s="2">
        <v>45691</v>
      </c>
      <c r="B166" t="s">
        <v>301</v>
      </c>
      <c r="C166" t="s">
        <v>11</v>
      </c>
      <c r="D166" t="s">
        <v>1</v>
      </c>
      <c r="E166" t="s">
        <v>116</v>
      </c>
      <c r="F166" t="s">
        <v>598</v>
      </c>
    </row>
    <row r="167" spans="1:6" x14ac:dyDescent="0.2">
      <c r="A167" s="2">
        <v>45692</v>
      </c>
      <c r="B167" t="s">
        <v>302</v>
      </c>
      <c r="C167" t="s">
        <v>11</v>
      </c>
      <c r="D167" t="s">
        <v>1</v>
      </c>
      <c r="E167" t="s">
        <v>117</v>
      </c>
      <c r="F167" t="s">
        <v>598</v>
      </c>
    </row>
    <row r="168" spans="1:6" x14ac:dyDescent="0.2">
      <c r="A168" s="2">
        <v>45692</v>
      </c>
      <c r="B168" t="s">
        <v>302</v>
      </c>
      <c r="C168" t="s">
        <v>11</v>
      </c>
      <c r="D168" t="s">
        <v>1</v>
      </c>
      <c r="E168" t="s">
        <v>117</v>
      </c>
      <c r="F168" t="s">
        <v>598</v>
      </c>
    </row>
    <row r="169" spans="1:6" x14ac:dyDescent="0.2">
      <c r="A169" s="2">
        <v>45692</v>
      </c>
      <c r="B169" t="s">
        <v>302</v>
      </c>
      <c r="C169" t="s">
        <v>11</v>
      </c>
      <c r="D169" t="s">
        <v>1</v>
      </c>
      <c r="E169" t="s">
        <v>117</v>
      </c>
      <c r="F169" t="s">
        <v>598</v>
      </c>
    </row>
    <row r="170" spans="1:6" x14ac:dyDescent="0.2">
      <c r="A170" s="2">
        <v>45693</v>
      </c>
      <c r="B170" t="s">
        <v>303</v>
      </c>
      <c r="C170" t="s">
        <v>11</v>
      </c>
      <c r="D170" t="s">
        <v>1</v>
      </c>
      <c r="E170" t="s">
        <v>3839</v>
      </c>
      <c r="F170" t="s">
        <v>598</v>
      </c>
    </row>
    <row r="171" spans="1:6" x14ac:dyDescent="0.2">
      <c r="A171" s="2">
        <v>45693</v>
      </c>
      <c r="B171" t="s">
        <v>303</v>
      </c>
      <c r="C171" t="s">
        <v>11</v>
      </c>
      <c r="D171" t="s">
        <v>1</v>
      </c>
      <c r="E171" t="s">
        <v>3839</v>
      </c>
      <c r="F171" t="s">
        <v>598</v>
      </c>
    </row>
    <row r="172" spans="1:6" x14ac:dyDescent="0.2">
      <c r="A172" s="2">
        <v>45693</v>
      </c>
      <c r="B172" t="s">
        <v>303</v>
      </c>
      <c r="C172" t="s">
        <v>11</v>
      </c>
      <c r="D172" t="s">
        <v>1</v>
      </c>
      <c r="E172" t="s">
        <v>3839</v>
      </c>
      <c r="F172" t="s">
        <v>598</v>
      </c>
    </row>
    <row r="173" spans="1:6" x14ac:dyDescent="0.2">
      <c r="A173" s="2">
        <v>45694</v>
      </c>
      <c r="B173" t="s">
        <v>304</v>
      </c>
      <c r="C173" t="s">
        <v>11</v>
      </c>
      <c r="D173" t="s">
        <v>1</v>
      </c>
      <c r="E173" t="s">
        <v>120</v>
      </c>
      <c r="F173" t="s">
        <v>598</v>
      </c>
    </row>
    <row r="174" spans="1:6" x14ac:dyDescent="0.2">
      <c r="A174" s="2">
        <v>45695</v>
      </c>
      <c r="B174" t="s">
        <v>305</v>
      </c>
      <c r="C174" t="s">
        <v>11</v>
      </c>
      <c r="D174" t="s">
        <v>1</v>
      </c>
      <c r="E174" t="s">
        <v>121</v>
      </c>
      <c r="F174" t="s">
        <v>598</v>
      </c>
    </row>
    <row r="175" spans="1:6" x14ac:dyDescent="0.2">
      <c r="A175" s="2">
        <v>45695</v>
      </c>
      <c r="B175" t="s">
        <v>305</v>
      </c>
      <c r="C175" t="s">
        <v>11</v>
      </c>
      <c r="D175" t="s">
        <v>1</v>
      </c>
      <c r="E175" t="s">
        <v>121</v>
      </c>
      <c r="F175" t="s">
        <v>598</v>
      </c>
    </row>
    <row r="176" spans="1:6" x14ac:dyDescent="0.2">
      <c r="A176" s="2">
        <v>45696</v>
      </c>
      <c r="B176" t="s">
        <v>306</v>
      </c>
      <c r="C176" t="s">
        <v>11</v>
      </c>
      <c r="D176" t="s">
        <v>1</v>
      </c>
      <c r="E176" t="s">
        <v>123</v>
      </c>
      <c r="F176" t="s">
        <v>598</v>
      </c>
    </row>
    <row r="177" spans="1:6" x14ac:dyDescent="0.2">
      <c r="A177" s="2">
        <v>45696</v>
      </c>
      <c r="B177" t="s">
        <v>306</v>
      </c>
      <c r="C177" t="s">
        <v>11</v>
      </c>
      <c r="D177" t="s">
        <v>1</v>
      </c>
      <c r="E177" t="s">
        <v>123</v>
      </c>
      <c r="F177" t="s">
        <v>598</v>
      </c>
    </row>
    <row r="178" spans="1:6" x14ac:dyDescent="0.2">
      <c r="A178" s="2">
        <v>45699</v>
      </c>
      <c r="B178" t="s">
        <v>307</v>
      </c>
      <c r="C178" t="s">
        <v>11</v>
      </c>
      <c r="D178" t="s">
        <v>1</v>
      </c>
      <c r="E178" t="s">
        <v>124</v>
      </c>
      <c r="F178" t="s">
        <v>598</v>
      </c>
    </row>
    <row r="179" spans="1:6" x14ac:dyDescent="0.2">
      <c r="A179" s="2">
        <v>45699</v>
      </c>
      <c r="B179" t="s">
        <v>307</v>
      </c>
      <c r="C179" t="s">
        <v>11</v>
      </c>
      <c r="D179" t="s">
        <v>1</v>
      </c>
      <c r="E179" t="s">
        <v>124</v>
      </c>
      <c r="F179" t="s">
        <v>598</v>
      </c>
    </row>
    <row r="180" spans="1:6" x14ac:dyDescent="0.2">
      <c r="A180" s="2">
        <v>45700</v>
      </c>
      <c r="B180" t="s">
        <v>308</v>
      </c>
      <c r="C180" t="s">
        <v>11</v>
      </c>
      <c r="D180" t="s">
        <v>1</v>
      </c>
      <c r="E180" t="s">
        <v>125</v>
      </c>
      <c r="F180" t="s">
        <v>598</v>
      </c>
    </row>
    <row r="181" spans="1:6" x14ac:dyDescent="0.2">
      <c r="A181" s="2">
        <v>45700</v>
      </c>
      <c r="B181" t="s">
        <v>308</v>
      </c>
      <c r="C181" t="s">
        <v>11</v>
      </c>
      <c r="D181" t="s">
        <v>1</v>
      </c>
      <c r="E181" t="s">
        <v>125</v>
      </c>
      <c r="F181" t="s">
        <v>598</v>
      </c>
    </row>
    <row r="182" spans="1:6" x14ac:dyDescent="0.2">
      <c r="A182" s="2">
        <v>45700</v>
      </c>
      <c r="B182" t="s">
        <v>308</v>
      </c>
      <c r="C182" t="s">
        <v>11</v>
      </c>
      <c r="D182" t="s">
        <v>1</v>
      </c>
      <c r="E182" t="s">
        <v>125</v>
      </c>
      <c r="F182" t="s">
        <v>598</v>
      </c>
    </row>
    <row r="183" spans="1:6" x14ac:dyDescent="0.2">
      <c r="A183" s="2">
        <v>45701</v>
      </c>
      <c r="B183" t="s">
        <v>309</v>
      </c>
      <c r="C183" t="s">
        <v>11</v>
      </c>
      <c r="D183" t="s">
        <v>1</v>
      </c>
      <c r="E183" t="s">
        <v>127</v>
      </c>
      <c r="F183" t="s">
        <v>598</v>
      </c>
    </row>
    <row r="184" spans="1:6" x14ac:dyDescent="0.2">
      <c r="A184" s="2">
        <v>45701</v>
      </c>
      <c r="B184" t="s">
        <v>309</v>
      </c>
      <c r="C184" t="s">
        <v>11</v>
      </c>
      <c r="D184" t="s">
        <v>1</v>
      </c>
      <c r="E184" t="s">
        <v>127</v>
      </c>
      <c r="F184" t="s">
        <v>598</v>
      </c>
    </row>
    <row r="185" spans="1:6" x14ac:dyDescent="0.2">
      <c r="A185" s="2">
        <v>45702</v>
      </c>
      <c r="B185" t="s">
        <v>310</v>
      </c>
      <c r="C185" t="s">
        <v>11</v>
      </c>
      <c r="D185" t="s">
        <v>1</v>
      </c>
      <c r="E185" t="s">
        <v>129</v>
      </c>
      <c r="F185" t="s">
        <v>598</v>
      </c>
    </row>
    <row r="186" spans="1:6" x14ac:dyDescent="0.2">
      <c r="A186" s="2">
        <v>45705</v>
      </c>
      <c r="B186" t="s">
        <v>311</v>
      </c>
      <c r="C186" t="s">
        <v>11</v>
      </c>
      <c r="D186" t="s">
        <v>1</v>
      </c>
      <c r="E186" t="s">
        <v>130</v>
      </c>
      <c r="F186" t="s">
        <v>598</v>
      </c>
    </row>
    <row r="187" spans="1:6" x14ac:dyDescent="0.2">
      <c r="A187" s="2">
        <v>45705</v>
      </c>
      <c r="B187" t="s">
        <v>311</v>
      </c>
      <c r="C187" t="s">
        <v>11</v>
      </c>
      <c r="D187" t="s">
        <v>1</v>
      </c>
      <c r="E187" t="s">
        <v>130</v>
      </c>
      <c r="F187" t="s">
        <v>598</v>
      </c>
    </row>
    <row r="188" spans="1:6" x14ac:dyDescent="0.2">
      <c r="A188" s="2">
        <v>45706</v>
      </c>
      <c r="B188" t="s">
        <v>312</v>
      </c>
      <c r="C188" t="s">
        <v>11</v>
      </c>
      <c r="D188" t="s">
        <v>1</v>
      </c>
      <c r="E188" t="s">
        <v>132</v>
      </c>
      <c r="F188" t="s">
        <v>598</v>
      </c>
    </row>
    <row r="189" spans="1:6" x14ac:dyDescent="0.2">
      <c r="A189" s="2">
        <v>45706</v>
      </c>
      <c r="B189" t="s">
        <v>312</v>
      </c>
      <c r="C189" t="s">
        <v>11</v>
      </c>
      <c r="D189" t="s">
        <v>1</v>
      </c>
      <c r="E189" t="s">
        <v>132</v>
      </c>
      <c r="F189" t="s">
        <v>598</v>
      </c>
    </row>
    <row r="190" spans="1:6" x14ac:dyDescent="0.2">
      <c r="A190" s="2">
        <v>45707</v>
      </c>
      <c r="B190" t="s">
        <v>313</v>
      </c>
      <c r="C190" t="s">
        <v>11</v>
      </c>
      <c r="D190" t="s">
        <v>1</v>
      </c>
      <c r="E190" t="s">
        <v>134</v>
      </c>
      <c r="F190" t="s">
        <v>598</v>
      </c>
    </row>
    <row r="191" spans="1:6" x14ac:dyDescent="0.2">
      <c r="A191" s="2">
        <v>45708</v>
      </c>
      <c r="B191" t="s">
        <v>314</v>
      </c>
      <c r="C191" t="s">
        <v>11</v>
      </c>
      <c r="D191" t="s">
        <v>1</v>
      </c>
      <c r="E191" t="s">
        <v>135</v>
      </c>
      <c r="F191" t="s">
        <v>598</v>
      </c>
    </row>
    <row r="192" spans="1:6" x14ac:dyDescent="0.2">
      <c r="A192" s="2">
        <v>45708</v>
      </c>
      <c r="B192" t="s">
        <v>314</v>
      </c>
      <c r="C192" t="s">
        <v>11</v>
      </c>
      <c r="D192" t="s">
        <v>1</v>
      </c>
      <c r="E192" t="s">
        <v>135</v>
      </c>
      <c r="F192" t="s">
        <v>598</v>
      </c>
    </row>
    <row r="193" spans="1:6" x14ac:dyDescent="0.2">
      <c r="A193" s="2">
        <v>45709</v>
      </c>
      <c r="B193" t="s">
        <v>315</v>
      </c>
      <c r="C193" t="s">
        <v>11</v>
      </c>
      <c r="D193" t="s">
        <v>1</v>
      </c>
      <c r="E193" t="s">
        <v>3840</v>
      </c>
      <c r="F193" t="s">
        <v>598</v>
      </c>
    </row>
    <row r="194" spans="1:6" x14ac:dyDescent="0.2">
      <c r="A194" s="2">
        <v>45710</v>
      </c>
      <c r="B194" t="s">
        <v>316</v>
      </c>
      <c r="C194" t="s">
        <v>11</v>
      </c>
      <c r="D194" t="s">
        <v>1</v>
      </c>
      <c r="E194" t="s">
        <v>137</v>
      </c>
      <c r="F194" t="s">
        <v>598</v>
      </c>
    </row>
    <row r="195" spans="1:6" x14ac:dyDescent="0.2">
      <c r="A195" s="2">
        <v>45710</v>
      </c>
      <c r="B195" t="s">
        <v>316</v>
      </c>
      <c r="C195" t="s">
        <v>11</v>
      </c>
      <c r="D195" t="s">
        <v>1</v>
      </c>
      <c r="E195" t="s">
        <v>137</v>
      </c>
      <c r="F195" t="s">
        <v>598</v>
      </c>
    </row>
    <row r="196" spans="1:6" x14ac:dyDescent="0.2">
      <c r="A196" s="2">
        <v>45712</v>
      </c>
      <c r="B196" t="s">
        <v>317</v>
      </c>
      <c r="C196" t="s">
        <v>11</v>
      </c>
      <c r="D196" t="s">
        <v>2</v>
      </c>
      <c r="E196" t="s">
        <v>3841</v>
      </c>
      <c r="F196" t="s">
        <v>599</v>
      </c>
    </row>
    <row r="197" spans="1:6" x14ac:dyDescent="0.2">
      <c r="A197" s="2">
        <v>45713</v>
      </c>
      <c r="B197" t="s">
        <v>318</v>
      </c>
      <c r="C197" t="s">
        <v>11</v>
      </c>
      <c r="D197" t="s">
        <v>1</v>
      </c>
      <c r="E197" t="s">
        <v>138</v>
      </c>
      <c r="F197" t="s">
        <v>598</v>
      </c>
    </row>
    <row r="198" spans="1:6" x14ac:dyDescent="0.2">
      <c r="A198" s="2">
        <v>45713</v>
      </c>
      <c r="B198" t="s">
        <v>318</v>
      </c>
      <c r="C198" t="s">
        <v>11</v>
      </c>
      <c r="D198" t="s">
        <v>1</v>
      </c>
      <c r="E198" t="s">
        <v>138</v>
      </c>
      <c r="F198" t="s">
        <v>598</v>
      </c>
    </row>
    <row r="199" spans="1:6" x14ac:dyDescent="0.2">
      <c r="A199" s="2">
        <v>45713</v>
      </c>
      <c r="B199" t="s">
        <v>318</v>
      </c>
      <c r="C199" t="s">
        <v>11</v>
      </c>
      <c r="D199" t="s">
        <v>1</v>
      </c>
      <c r="E199" t="s">
        <v>138</v>
      </c>
      <c r="F199" t="s">
        <v>598</v>
      </c>
    </row>
    <row r="200" spans="1:6" x14ac:dyDescent="0.2">
      <c r="A200" s="2">
        <v>45715</v>
      </c>
      <c r="B200" t="s">
        <v>319</v>
      </c>
      <c r="C200" t="s">
        <v>11</v>
      </c>
      <c r="D200" t="s">
        <v>1</v>
      </c>
      <c r="E200" t="s">
        <v>140</v>
      </c>
      <c r="F200" t="s">
        <v>598</v>
      </c>
    </row>
    <row r="201" spans="1:6" x14ac:dyDescent="0.2">
      <c r="A201" s="2">
        <v>45715</v>
      </c>
      <c r="B201" t="s">
        <v>319</v>
      </c>
      <c r="C201" t="s">
        <v>11</v>
      </c>
      <c r="D201" t="s">
        <v>1</v>
      </c>
      <c r="E201" t="s">
        <v>140</v>
      </c>
      <c r="F201" t="s">
        <v>598</v>
      </c>
    </row>
    <row r="202" spans="1:6" x14ac:dyDescent="0.2">
      <c r="A202" s="2">
        <v>45715</v>
      </c>
      <c r="B202" t="s">
        <v>319</v>
      </c>
      <c r="C202" t="s">
        <v>11</v>
      </c>
      <c r="D202" t="s">
        <v>1</v>
      </c>
      <c r="E202" t="s">
        <v>140</v>
      </c>
      <c r="F202" t="s">
        <v>598</v>
      </c>
    </row>
    <row r="203" spans="1:6" x14ac:dyDescent="0.2">
      <c r="A203" s="2">
        <v>45716</v>
      </c>
      <c r="B203" t="s">
        <v>320</v>
      </c>
      <c r="C203" t="s">
        <v>11</v>
      </c>
      <c r="D203" t="s">
        <v>1</v>
      </c>
      <c r="E203" t="s">
        <v>142</v>
      </c>
      <c r="F203" t="s">
        <v>598</v>
      </c>
    </row>
    <row r="204" spans="1:6" x14ac:dyDescent="0.2">
      <c r="A204" s="2">
        <v>45720</v>
      </c>
      <c r="B204" t="s">
        <v>321</v>
      </c>
      <c r="C204" t="s">
        <v>11</v>
      </c>
      <c r="D204" t="s">
        <v>1</v>
      </c>
      <c r="E204" t="s">
        <v>3842</v>
      </c>
      <c r="F204" t="s">
        <v>598</v>
      </c>
    </row>
    <row r="205" spans="1:6" x14ac:dyDescent="0.2">
      <c r="A205" s="2">
        <v>45720</v>
      </c>
      <c r="B205" t="s">
        <v>321</v>
      </c>
      <c r="C205" t="s">
        <v>11</v>
      </c>
      <c r="D205" t="s">
        <v>1</v>
      </c>
      <c r="E205" t="s">
        <v>3842</v>
      </c>
      <c r="F205" t="s">
        <v>598</v>
      </c>
    </row>
    <row r="206" spans="1:6" x14ac:dyDescent="0.2">
      <c r="A206" s="2">
        <v>45721</v>
      </c>
      <c r="B206" t="s">
        <v>322</v>
      </c>
      <c r="C206" t="s">
        <v>11</v>
      </c>
      <c r="D206" t="s">
        <v>1</v>
      </c>
      <c r="E206" t="s">
        <v>95</v>
      </c>
      <c r="F206" t="s">
        <v>598</v>
      </c>
    </row>
    <row r="207" spans="1:6" x14ac:dyDescent="0.2">
      <c r="A207" s="2">
        <v>45721</v>
      </c>
      <c r="B207" t="s">
        <v>322</v>
      </c>
      <c r="C207" t="s">
        <v>11</v>
      </c>
      <c r="D207" t="s">
        <v>1</v>
      </c>
      <c r="E207" t="s">
        <v>95</v>
      </c>
      <c r="F207" t="s">
        <v>598</v>
      </c>
    </row>
    <row r="208" spans="1:6" x14ac:dyDescent="0.2">
      <c r="A208" s="2">
        <v>45722</v>
      </c>
      <c r="B208" t="s">
        <v>323</v>
      </c>
      <c r="C208" t="s">
        <v>11</v>
      </c>
      <c r="D208" t="s">
        <v>1</v>
      </c>
      <c r="E208" t="s">
        <v>145</v>
      </c>
      <c r="F208" t="s">
        <v>598</v>
      </c>
    </row>
    <row r="209" spans="1:6" x14ac:dyDescent="0.2">
      <c r="A209" s="2">
        <v>45722</v>
      </c>
      <c r="B209" t="s">
        <v>323</v>
      </c>
      <c r="C209" t="s">
        <v>11</v>
      </c>
      <c r="D209" t="s">
        <v>1</v>
      </c>
      <c r="E209" t="s">
        <v>145</v>
      </c>
      <c r="F209" t="s">
        <v>598</v>
      </c>
    </row>
    <row r="210" spans="1:6" x14ac:dyDescent="0.2">
      <c r="A210" s="2">
        <v>45724</v>
      </c>
      <c r="B210" t="s">
        <v>324</v>
      </c>
      <c r="C210" t="s">
        <v>11</v>
      </c>
      <c r="D210" t="s">
        <v>1</v>
      </c>
      <c r="E210" t="s">
        <v>3843</v>
      </c>
      <c r="F210" t="s">
        <v>598</v>
      </c>
    </row>
    <row r="211" spans="1:6" x14ac:dyDescent="0.2">
      <c r="A211" s="2">
        <v>45726</v>
      </c>
      <c r="B211" t="s">
        <v>325</v>
      </c>
      <c r="C211" t="s">
        <v>11</v>
      </c>
      <c r="D211" t="s">
        <v>1</v>
      </c>
      <c r="E211" t="s">
        <v>146</v>
      </c>
      <c r="F211" t="s">
        <v>598</v>
      </c>
    </row>
    <row r="212" spans="1:6" x14ac:dyDescent="0.2">
      <c r="A212" s="2">
        <v>45726</v>
      </c>
      <c r="B212" t="s">
        <v>325</v>
      </c>
      <c r="C212" t="s">
        <v>11</v>
      </c>
      <c r="D212" t="s">
        <v>1</v>
      </c>
      <c r="E212" t="s">
        <v>146</v>
      </c>
      <c r="F212" t="s">
        <v>598</v>
      </c>
    </row>
    <row r="213" spans="1:6" x14ac:dyDescent="0.2">
      <c r="A213" s="2">
        <v>45727</v>
      </c>
      <c r="B213" t="s">
        <v>326</v>
      </c>
      <c r="C213" t="s">
        <v>11</v>
      </c>
      <c r="D213" t="s">
        <v>1</v>
      </c>
      <c r="E213" t="s">
        <v>148</v>
      </c>
      <c r="F213" t="s">
        <v>598</v>
      </c>
    </row>
    <row r="214" spans="1:6" x14ac:dyDescent="0.2">
      <c r="A214" s="2">
        <v>45727</v>
      </c>
      <c r="B214" t="s">
        <v>326</v>
      </c>
      <c r="C214" t="s">
        <v>11</v>
      </c>
      <c r="D214" t="s">
        <v>1</v>
      </c>
      <c r="E214" t="s">
        <v>148</v>
      </c>
      <c r="F214" t="s">
        <v>598</v>
      </c>
    </row>
    <row r="215" spans="1:6" x14ac:dyDescent="0.2">
      <c r="A215" s="2">
        <v>45728</v>
      </c>
      <c r="B215" t="s">
        <v>327</v>
      </c>
      <c r="C215" t="s">
        <v>11</v>
      </c>
      <c r="D215" t="s">
        <v>1</v>
      </c>
      <c r="E215" t="s">
        <v>3844</v>
      </c>
      <c r="F215" t="s">
        <v>598</v>
      </c>
    </row>
    <row r="216" spans="1:6" x14ac:dyDescent="0.2">
      <c r="A216" s="2">
        <v>45728</v>
      </c>
      <c r="B216" t="s">
        <v>327</v>
      </c>
      <c r="C216" t="s">
        <v>11</v>
      </c>
      <c r="D216" t="s">
        <v>1</v>
      </c>
      <c r="E216" t="s">
        <v>3844</v>
      </c>
      <c r="F216" t="s">
        <v>598</v>
      </c>
    </row>
    <row r="217" spans="1:6" x14ac:dyDescent="0.2">
      <c r="A217" s="2">
        <v>45728</v>
      </c>
      <c r="B217" t="s">
        <v>327</v>
      </c>
      <c r="C217" t="s">
        <v>11</v>
      </c>
      <c r="D217" t="s">
        <v>1</v>
      </c>
      <c r="E217" t="s">
        <v>3844</v>
      </c>
      <c r="F217" t="s">
        <v>598</v>
      </c>
    </row>
    <row r="218" spans="1:6" x14ac:dyDescent="0.2">
      <c r="A218" s="2">
        <v>45729</v>
      </c>
      <c r="B218" t="s">
        <v>328</v>
      </c>
      <c r="C218" t="s">
        <v>11</v>
      </c>
      <c r="D218" t="s">
        <v>1</v>
      </c>
      <c r="E218" t="s">
        <v>3845</v>
      </c>
      <c r="F218" t="s">
        <v>598</v>
      </c>
    </row>
    <row r="219" spans="1:6" x14ac:dyDescent="0.2">
      <c r="A219" s="2">
        <v>45729</v>
      </c>
      <c r="B219" t="s">
        <v>328</v>
      </c>
      <c r="C219" t="s">
        <v>11</v>
      </c>
      <c r="D219" t="s">
        <v>1</v>
      </c>
      <c r="E219" t="s">
        <v>3845</v>
      </c>
      <c r="F219" t="s">
        <v>598</v>
      </c>
    </row>
    <row r="220" spans="1:6" x14ac:dyDescent="0.2">
      <c r="A220" s="2">
        <v>45730</v>
      </c>
      <c r="B220" t="s">
        <v>329</v>
      </c>
      <c r="C220" t="s">
        <v>11</v>
      </c>
      <c r="D220" t="s">
        <v>1</v>
      </c>
      <c r="E220" t="s">
        <v>150</v>
      </c>
      <c r="F220" t="s">
        <v>598</v>
      </c>
    </row>
    <row r="221" spans="1:6" x14ac:dyDescent="0.2">
      <c r="A221" s="2">
        <v>45730</v>
      </c>
      <c r="B221" t="s">
        <v>329</v>
      </c>
      <c r="C221" t="s">
        <v>11</v>
      </c>
      <c r="D221" t="s">
        <v>1</v>
      </c>
      <c r="E221" t="s">
        <v>150</v>
      </c>
      <c r="F221" t="s">
        <v>598</v>
      </c>
    </row>
    <row r="222" spans="1:6" x14ac:dyDescent="0.2">
      <c r="A222" s="2">
        <v>45733</v>
      </c>
      <c r="B222" t="s">
        <v>330</v>
      </c>
      <c r="C222" t="s">
        <v>11</v>
      </c>
      <c r="D222" t="s">
        <v>1</v>
      </c>
      <c r="E222" t="s">
        <v>152</v>
      </c>
      <c r="F222" t="s">
        <v>598</v>
      </c>
    </row>
    <row r="223" spans="1:6" x14ac:dyDescent="0.2">
      <c r="A223" s="2">
        <v>45733</v>
      </c>
      <c r="B223" t="s">
        <v>330</v>
      </c>
      <c r="C223" t="s">
        <v>11</v>
      </c>
      <c r="D223" t="s">
        <v>1</v>
      </c>
      <c r="E223" t="s">
        <v>152</v>
      </c>
      <c r="F223" t="s">
        <v>598</v>
      </c>
    </row>
    <row r="224" spans="1:6" x14ac:dyDescent="0.2">
      <c r="A224" s="2">
        <v>45733</v>
      </c>
      <c r="B224" t="s">
        <v>330</v>
      </c>
      <c r="C224" t="s">
        <v>11</v>
      </c>
      <c r="D224" t="s">
        <v>1</v>
      </c>
      <c r="E224" t="s">
        <v>152</v>
      </c>
      <c r="F224" t="s">
        <v>598</v>
      </c>
    </row>
    <row r="225" spans="1:6" x14ac:dyDescent="0.2">
      <c r="A225" s="2">
        <v>45734</v>
      </c>
      <c r="B225" t="s">
        <v>331</v>
      </c>
      <c r="C225" t="s">
        <v>11</v>
      </c>
      <c r="D225" t="s">
        <v>1</v>
      </c>
      <c r="E225" t="s">
        <v>24</v>
      </c>
      <c r="F225" t="s">
        <v>598</v>
      </c>
    </row>
    <row r="226" spans="1:6" x14ac:dyDescent="0.2">
      <c r="A226" s="2">
        <v>45734</v>
      </c>
      <c r="B226" t="s">
        <v>331</v>
      </c>
      <c r="C226" t="s">
        <v>11</v>
      </c>
      <c r="D226" t="s">
        <v>1</v>
      </c>
      <c r="E226" t="s">
        <v>24</v>
      </c>
      <c r="F226" t="s">
        <v>598</v>
      </c>
    </row>
    <row r="227" spans="1:6" x14ac:dyDescent="0.2">
      <c r="A227" s="2">
        <v>45735</v>
      </c>
      <c r="B227" t="s">
        <v>332</v>
      </c>
      <c r="C227" t="s">
        <v>11</v>
      </c>
      <c r="D227" t="s">
        <v>1</v>
      </c>
      <c r="E227" t="s">
        <v>155</v>
      </c>
      <c r="F227" t="s">
        <v>598</v>
      </c>
    </row>
    <row r="228" spans="1:6" x14ac:dyDescent="0.2">
      <c r="A228" s="2">
        <v>45735</v>
      </c>
      <c r="B228" t="s">
        <v>332</v>
      </c>
      <c r="C228" t="s">
        <v>11</v>
      </c>
      <c r="D228" t="s">
        <v>1</v>
      </c>
      <c r="E228" t="s">
        <v>155</v>
      </c>
      <c r="F228" t="s">
        <v>598</v>
      </c>
    </row>
    <row r="229" spans="1:6" x14ac:dyDescent="0.2">
      <c r="A229" s="2">
        <v>45736</v>
      </c>
      <c r="B229" t="s">
        <v>333</v>
      </c>
      <c r="C229" t="s">
        <v>11</v>
      </c>
      <c r="D229" t="s">
        <v>1</v>
      </c>
      <c r="E229" t="s">
        <v>157</v>
      </c>
      <c r="F229" t="s">
        <v>598</v>
      </c>
    </row>
    <row r="230" spans="1:6" x14ac:dyDescent="0.2">
      <c r="A230" s="2">
        <v>45736</v>
      </c>
      <c r="B230" t="s">
        <v>333</v>
      </c>
      <c r="C230" t="s">
        <v>11</v>
      </c>
      <c r="D230" t="s">
        <v>1</v>
      </c>
      <c r="E230" t="s">
        <v>157</v>
      </c>
      <c r="F230" t="s">
        <v>598</v>
      </c>
    </row>
    <row r="231" spans="1:6" x14ac:dyDescent="0.2">
      <c r="A231" s="2">
        <v>45736</v>
      </c>
      <c r="B231" t="s">
        <v>333</v>
      </c>
      <c r="C231" t="s">
        <v>11</v>
      </c>
      <c r="D231" t="s">
        <v>1</v>
      </c>
      <c r="E231" t="s">
        <v>157</v>
      </c>
      <c r="F231" t="s">
        <v>598</v>
      </c>
    </row>
    <row r="232" spans="1:6" x14ac:dyDescent="0.2">
      <c r="A232" s="2">
        <v>45737</v>
      </c>
      <c r="B232" t="s">
        <v>334</v>
      </c>
      <c r="C232" t="s">
        <v>11</v>
      </c>
      <c r="D232" t="s">
        <v>1</v>
      </c>
      <c r="E232" t="s">
        <v>158</v>
      </c>
      <c r="F232" t="s">
        <v>598</v>
      </c>
    </row>
    <row r="233" spans="1:6" x14ac:dyDescent="0.2">
      <c r="A233" s="2">
        <v>45737</v>
      </c>
      <c r="B233" t="s">
        <v>334</v>
      </c>
      <c r="C233" t="s">
        <v>11</v>
      </c>
      <c r="D233" t="s">
        <v>1</v>
      </c>
      <c r="E233" t="s">
        <v>158</v>
      </c>
      <c r="F233" t="s">
        <v>598</v>
      </c>
    </row>
    <row r="234" spans="1:6" x14ac:dyDescent="0.2">
      <c r="A234" s="2">
        <v>45740</v>
      </c>
      <c r="B234" t="s">
        <v>335</v>
      </c>
      <c r="C234" t="s">
        <v>11</v>
      </c>
      <c r="D234" t="s">
        <v>1</v>
      </c>
      <c r="E234" t="s">
        <v>159</v>
      </c>
      <c r="F234" t="s">
        <v>598</v>
      </c>
    </row>
    <row r="235" spans="1:6" x14ac:dyDescent="0.2">
      <c r="A235" s="2">
        <v>45740</v>
      </c>
      <c r="B235" t="s">
        <v>335</v>
      </c>
      <c r="C235" t="s">
        <v>11</v>
      </c>
      <c r="D235" t="s">
        <v>1</v>
      </c>
      <c r="E235" t="s">
        <v>159</v>
      </c>
      <c r="F235" t="s">
        <v>598</v>
      </c>
    </row>
    <row r="236" spans="1:6" x14ac:dyDescent="0.2">
      <c r="A236" s="2">
        <v>45741</v>
      </c>
      <c r="B236" t="s">
        <v>336</v>
      </c>
      <c r="C236" t="s">
        <v>11</v>
      </c>
      <c r="D236" t="s">
        <v>1</v>
      </c>
      <c r="E236" t="s">
        <v>161</v>
      </c>
      <c r="F236" t="s">
        <v>598</v>
      </c>
    </row>
    <row r="237" spans="1:6" x14ac:dyDescent="0.2">
      <c r="A237" s="2">
        <v>45741</v>
      </c>
      <c r="B237" t="s">
        <v>336</v>
      </c>
      <c r="C237" t="s">
        <v>11</v>
      </c>
      <c r="D237" t="s">
        <v>1</v>
      </c>
      <c r="E237" t="s">
        <v>161</v>
      </c>
      <c r="F237" t="s">
        <v>598</v>
      </c>
    </row>
    <row r="238" spans="1:6" x14ac:dyDescent="0.2">
      <c r="A238" s="2">
        <v>45741</v>
      </c>
      <c r="B238" t="s">
        <v>336</v>
      </c>
      <c r="C238" t="s">
        <v>11</v>
      </c>
      <c r="D238" t="s">
        <v>1</v>
      </c>
      <c r="E238" t="s">
        <v>161</v>
      </c>
      <c r="F238" t="s">
        <v>598</v>
      </c>
    </row>
    <row r="239" spans="1:6" x14ac:dyDescent="0.2">
      <c r="A239" s="2">
        <v>45743</v>
      </c>
      <c r="B239" t="s">
        <v>337</v>
      </c>
      <c r="C239" t="s">
        <v>11</v>
      </c>
      <c r="D239" t="s">
        <v>1</v>
      </c>
      <c r="E239" t="s">
        <v>3846</v>
      </c>
      <c r="F239" t="s">
        <v>598</v>
      </c>
    </row>
    <row r="240" spans="1:6" x14ac:dyDescent="0.2">
      <c r="A240" s="2">
        <v>45743</v>
      </c>
      <c r="B240" t="s">
        <v>337</v>
      </c>
      <c r="C240" t="s">
        <v>11</v>
      </c>
      <c r="D240" t="s">
        <v>1</v>
      </c>
      <c r="E240" t="s">
        <v>3846</v>
      </c>
      <c r="F240" t="s">
        <v>598</v>
      </c>
    </row>
    <row r="241" spans="1:6" x14ac:dyDescent="0.2">
      <c r="A241" s="2">
        <v>45744</v>
      </c>
      <c r="B241" t="s">
        <v>338</v>
      </c>
      <c r="C241" t="s">
        <v>11</v>
      </c>
      <c r="D241" t="s">
        <v>1</v>
      </c>
      <c r="E241" t="s">
        <v>163</v>
      </c>
      <c r="F241" t="s">
        <v>598</v>
      </c>
    </row>
    <row r="242" spans="1:6" x14ac:dyDescent="0.2">
      <c r="A242" s="2">
        <v>45744</v>
      </c>
      <c r="B242" t="s">
        <v>338</v>
      </c>
      <c r="C242" t="s">
        <v>11</v>
      </c>
      <c r="D242" t="s">
        <v>1</v>
      </c>
      <c r="E242" t="s">
        <v>163</v>
      </c>
      <c r="F242" t="s">
        <v>598</v>
      </c>
    </row>
    <row r="243" spans="1:6" x14ac:dyDescent="0.2">
      <c r="A243" s="2">
        <v>45744</v>
      </c>
      <c r="B243" t="s">
        <v>338</v>
      </c>
      <c r="C243" t="s">
        <v>11</v>
      </c>
      <c r="D243" t="s">
        <v>1</v>
      </c>
      <c r="E243" t="s">
        <v>163</v>
      </c>
      <c r="F243" t="s">
        <v>598</v>
      </c>
    </row>
    <row r="244" spans="1:6" x14ac:dyDescent="0.2">
      <c r="A244" s="2">
        <v>45749</v>
      </c>
      <c r="B244" t="s">
        <v>339</v>
      </c>
      <c r="C244" t="s">
        <v>11</v>
      </c>
      <c r="D244" t="s">
        <v>1</v>
      </c>
      <c r="E244" t="s">
        <v>165</v>
      </c>
      <c r="F244" t="s">
        <v>598</v>
      </c>
    </row>
    <row r="245" spans="1:6" x14ac:dyDescent="0.2">
      <c r="A245" s="2">
        <v>45749</v>
      </c>
      <c r="B245" t="s">
        <v>339</v>
      </c>
      <c r="C245" t="s">
        <v>11</v>
      </c>
      <c r="D245" t="s">
        <v>1</v>
      </c>
      <c r="E245" t="s">
        <v>165</v>
      </c>
      <c r="F245" t="s">
        <v>598</v>
      </c>
    </row>
    <row r="246" spans="1:6" x14ac:dyDescent="0.2">
      <c r="A246" s="2">
        <v>45749</v>
      </c>
      <c r="B246" t="s">
        <v>339</v>
      </c>
      <c r="C246" t="s">
        <v>11</v>
      </c>
      <c r="D246" t="s">
        <v>1</v>
      </c>
      <c r="E246" t="s">
        <v>165</v>
      </c>
      <c r="F246" t="s">
        <v>598</v>
      </c>
    </row>
    <row r="247" spans="1:6" x14ac:dyDescent="0.2">
      <c r="A247" s="2">
        <v>45750</v>
      </c>
      <c r="B247" t="s">
        <v>340</v>
      </c>
      <c r="C247" t="s">
        <v>11</v>
      </c>
      <c r="D247" t="s">
        <v>1</v>
      </c>
      <c r="E247" t="s">
        <v>167</v>
      </c>
      <c r="F247" t="s">
        <v>598</v>
      </c>
    </row>
    <row r="248" spans="1:6" x14ac:dyDescent="0.2">
      <c r="A248" s="2">
        <v>45750</v>
      </c>
      <c r="B248" t="s">
        <v>340</v>
      </c>
      <c r="C248" t="s">
        <v>11</v>
      </c>
      <c r="D248" t="s">
        <v>1</v>
      </c>
      <c r="E248" t="s">
        <v>167</v>
      </c>
      <c r="F248" t="s">
        <v>598</v>
      </c>
    </row>
    <row r="249" spans="1:6" x14ac:dyDescent="0.2">
      <c r="A249" s="2">
        <v>45754</v>
      </c>
      <c r="B249" t="s">
        <v>341</v>
      </c>
      <c r="C249" t="s">
        <v>11</v>
      </c>
      <c r="D249" t="s">
        <v>1</v>
      </c>
      <c r="E249" t="s">
        <v>168</v>
      </c>
      <c r="F249" t="s">
        <v>598</v>
      </c>
    </row>
    <row r="250" spans="1:6" x14ac:dyDescent="0.2">
      <c r="A250" s="2">
        <v>45754</v>
      </c>
      <c r="B250" t="s">
        <v>341</v>
      </c>
      <c r="C250" t="s">
        <v>11</v>
      </c>
      <c r="D250" t="s">
        <v>1</v>
      </c>
      <c r="E250" t="s">
        <v>168</v>
      </c>
      <c r="F250" t="s">
        <v>598</v>
      </c>
    </row>
    <row r="251" spans="1:6" x14ac:dyDescent="0.2">
      <c r="A251" s="2">
        <v>45754</v>
      </c>
      <c r="B251" t="s">
        <v>341</v>
      </c>
      <c r="C251" t="s">
        <v>11</v>
      </c>
      <c r="D251" t="s">
        <v>1</v>
      </c>
      <c r="E251" t="s">
        <v>168</v>
      </c>
      <c r="F251" t="s">
        <v>598</v>
      </c>
    </row>
    <row r="252" spans="1:6" x14ac:dyDescent="0.2">
      <c r="A252" s="2">
        <v>45755</v>
      </c>
      <c r="B252" t="s">
        <v>342</v>
      </c>
      <c r="C252" t="s">
        <v>11</v>
      </c>
      <c r="D252" t="s">
        <v>1</v>
      </c>
      <c r="E252" t="s">
        <v>170</v>
      </c>
      <c r="F252" t="s">
        <v>598</v>
      </c>
    </row>
    <row r="253" spans="1:6" x14ac:dyDescent="0.2">
      <c r="A253" s="2">
        <v>45755</v>
      </c>
      <c r="B253" t="s">
        <v>342</v>
      </c>
      <c r="C253" t="s">
        <v>11</v>
      </c>
      <c r="D253" t="s">
        <v>1</v>
      </c>
      <c r="E253" t="s">
        <v>170</v>
      </c>
      <c r="F253" t="s">
        <v>598</v>
      </c>
    </row>
    <row r="254" spans="1:6" x14ac:dyDescent="0.2">
      <c r="A254" s="2">
        <v>45756</v>
      </c>
      <c r="B254" t="s">
        <v>343</v>
      </c>
      <c r="C254" t="s">
        <v>11</v>
      </c>
      <c r="D254" t="s">
        <v>1</v>
      </c>
      <c r="E254" t="s">
        <v>172</v>
      </c>
      <c r="F254" t="s">
        <v>598</v>
      </c>
    </row>
    <row r="255" spans="1:6" x14ac:dyDescent="0.2">
      <c r="A255" s="2">
        <v>45756</v>
      </c>
      <c r="B255" t="s">
        <v>343</v>
      </c>
      <c r="C255" t="s">
        <v>11</v>
      </c>
      <c r="D255" t="s">
        <v>1</v>
      </c>
      <c r="E255" t="s">
        <v>172</v>
      </c>
      <c r="F255" t="s">
        <v>598</v>
      </c>
    </row>
    <row r="256" spans="1:6" x14ac:dyDescent="0.2">
      <c r="A256" s="2">
        <v>45757</v>
      </c>
      <c r="B256" t="s">
        <v>344</v>
      </c>
      <c r="C256" t="s">
        <v>11</v>
      </c>
      <c r="D256" t="s">
        <v>1</v>
      </c>
      <c r="E256" t="s">
        <v>173</v>
      </c>
      <c r="F256" t="s">
        <v>598</v>
      </c>
    </row>
    <row r="257" spans="1:6" x14ac:dyDescent="0.2">
      <c r="A257" s="2">
        <v>45757</v>
      </c>
      <c r="B257" t="s">
        <v>344</v>
      </c>
      <c r="C257" t="s">
        <v>11</v>
      </c>
      <c r="D257" t="s">
        <v>1</v>
      </c>
      <c r="E257" t="s">
        <v>173</v>
      </c>
      <c r="F257" t="s">
        <v>598</v>
      </c>
    </row>
    <row r="258" spans="1:6" x14ac:dyDescent="0.2">
      <c r="A258" s="2">
        <v>45758</v>
      </c>
      <c r="B258" t="s">
        <v>345</v>
      </c>
      <c r="C258" t="s">
        <v>11</v>
      </c>
      <c r="D258" t="s">
        <v>1</v>
      </c>
      <c r="E258" t="s">
        <v>175</v>
      </c>
      <c r="F258" t="s">
        <v>598</v>
      </c>
    </row>
    <row r="259" spans="1:6" x14ac:dyDescent="0.2">
      <c r="A259" s="2">
        <v>45758</v>
      </c>
      <c r="B259" t="s">
        <v>345</v>
      </c>
      <c r="C259" t="s">
        <v>11</v>
      </c>
      <c r="D259" t="s">
        <v>1</v>
      </c>
      <c r="E259" t="s">
        <v>175</v>
      </c>
      <c r="F259" t="s">
        <v>598</v>
      </c>
    </row>
    <row r="260" spans="1:6" x14ac:dyDescent="0.2">
      <c r="A260" s="2">
        <v>45761</v>
      </c>
      <c r="B260" t="s">
        <v>346</v>
      </c>
      <c r="C260" t="s">
        <v>11</v>
      </c>
      <c r="D260" t="s">
        <v>1</v>
      </c>
      <c r="E260" t="s">
        <v>176</v>
      </c>
      <c r="F260" t="s">
        <v>598</v>
      </c>
    </row>
    <row r="261" spans="1:6" x14ac:dyDescent="0.2">
      <c r="A261" s="2">
        <v>45761</v>
      </c>
      <c r="B261" t="s">
        <v>346</v>
      </c>
      <c r="C261" t="s">
        <v>11</v>
      </c>
      <c r="D261" t="s">
        <v>1</v>
      </c>
      <c r="E261" t="s">
        <v>176</v>
      </c>
      <c r="F261" t="s">
        <v>598</v>
      </c>
    </row>
    <row r="262" spans="1:6" x14ac:dyDescent="0.2">
      <c r="A262" s="2">
        <v>45762</v>
      </c>
      <c r="B262" t="s">
        <v>347</v>
      </c>
      <c r="C262" t="s">
        <v>11</v>
      </c>
      <c r="D262" t="s">
        <v>1</v>
      </c>
      <c r="E262" t="s">
        <v>57</v>
      </c>
      <c r="F262" t="s">
        <v>598</v>
      </c>
    </row>
    <row r="263" spans="1:6" x14ac:dyDescent="0.2">
      <c r="A263" s="2">
        <v>45762</v>
      </c>
      <c r="B263" t="s">
        <v>347</v>
      </c>
      <c r="C263" t="s">
        <v>11</v>
      </c>
      <c r="D263" t="s">
        <v>1</v>
      </c>
      <c r="E263" t="s">
        <v>57</v>
      </c>
      <c r="F263" t="s">
        <v>598</v>
      </c>
    </row>
    <row r="264" spans="1:6" x14ac:dyDescent="0.2">
      <c r="A264" s="2">
        <v>45763</v>
      </c>
      <c r="B264" t="s">
        <v>348</v>
      </c>
      <c r="C264" t="s">
        <v>11</v>
      </c>
      <c r="D264" t="s">
        <v>1</v>
      </c>
      <c r="E264" t="s">
        <v>3847</v>
      </c>
      <c r="F264" t="s">
        <v>598</v>
      </c>
    </row>
    <row r="265" spans="1:6" x14ac:dyDescent="0.2">
      <c r="A265" s="2">
        <v>45763</v>
      </c>
      <c r="B265" t="s">
        <v>348</v>
      </c>
      <c r="C265" t="s">
        <v>11</v>
      </c>
      <c r="D265" t="s">
        <v>1</v>
      </c>
      <c r="E265" t="s">
        <v>3847</v>
      </c>
      <c r="F265" t="s">
        <v>598</v>
      </c>
    </row>
    <row r="266" spans="1:6" x14ac:dyDescent="0.2">
      <c r="A266" s="2">
        <v>45764</v>
      </c>
      <c r="B266" t="s">
        <v>349</v>
      </c>
      <c r="C266" t="s">
        <v>11</v>
      </c>
      <c r="D266" t="s">
        <v>1</v>
      </c>
      <c r="E266" t="s">
        <v>179</v>
      </c>
      <c r="F266" t="s">
        <v>598</v>
      </c>
    </row>
    <row r="267" spans="1:6" x14ac:dyDescent="0.2">
      <c r="A267" s="2">
        <v>45764</v>
      </c>
      <c r="B267" t="s">
        <v>349</v>
      </c>
      <c r="C267" t="s">
        <v>11</v>
      </c>
      <c r="D267" t="s">
        <v>1</v>
      </c>
      <c r="E267" t="s">
        <v>179</v>
      </c>
      <c r="F267" t="s">
        <v>598</v>
      </c>
    </row>
    <row r="268" spans="1:6" x14ac:dyDescent="0.2">
      <c r="A268" s="2">
        <v>45765</v>
      </c>
      <c r="B268" t="s">
        <v>350</v>
      </c>
      <c r="C268" t="s">
        <v>12</v>
      </c>
      <c r="D268" t="s">
        <v>1</v>
      </c>
      <c r="E268" t="s">
        <v>181</v>
      </c>
      <c r="F268" t="s">
        <v>598</v>
      </c>
    </row>
    <row r="269" spans="1:6" x14ac:dyDescent="0.2">
      <c r="A269" s="2">
        <v>45768</v>
      </c>
      <c r="B269" t="s">
        <v>351</v>
      </c>
      <c r="C269" t="s">
        <v>11</v>
      </c>
      <c r="D269" t="s">
        <v>1</v>
      </c>
      <c r="E269" t="s">
        <v>182</v>
      </c>
      <c r="F269" t="s">
        <v>598</v>
      </c>
    </row>
    <row r="270" spans="1:6" x14ac:dyDescent="0.2">
      <c r="A270" s="2">
        <v>45768</v>
      </c>
      <c r="B270" t="s">
        <v>351</v>
      </c>
      <c r="C270" t="s">
        <v>11</v>
      </c>
      <c r="D270" t="s">
        <v>1</v>
      </c>
      <c r="E270" t="s">
        <v>182</v>
      </c>
      <c r="F270" t="s">
        <v>598</v>
      </c>
    </row>
    <row r="271" spans="1:6" x14ac:dyDescent="0.2">
      <c r="A271" s="2">
        <v>45769</v>
      </c>
      <c r="B271" t="s">
        <v>352</v>
      </c>
      <c r="C271" t="s">
        <v>11</v>
      </c>
      <c r="D271" t="s">
        <v>1</v>
      </c>
      <c r="E271" t="s">
        <v>183</v>
      </c>
      <c r="F271" t="s">
        <v>598</v>
      </c>
    </row>
    <row r="272" spans="1:6" x14ac:dyDescent="0.2">
      <c r="A272" s="2">
        <v>45769</v>
      </c>
      <c r="B272" t="s">
        <v>352</v>
      </c>
      <c r="C272" t="s">
        <v>11</v>
      </c>
      <c r="D272" t="s">
        <v>1</v>
      </c>
      <c r="E272" t="s">
        <v>183</v>
      </c>
      <c r="F272" t="s">
        <v>598</v>
      </c>
    </row>
    <row r="273" spans="1:6" x14ac:dyDescent="0.2">
      <c r="A273" s="2">
        <v>45769</v>
      </c>
      <c r="B273" t="s">
        <v>352</v>
      </c>
      <c r="C273" t="s">
        <v>11</v>
      </c>
      <c r="D273" t="s">
        <v>1</v>
      </c>
      <c r="E273" t="s">
        <v>183</v>
      </c>
      <c r="F273" t="s">
        <v>598</v>
      </c>
    </row>
    <row r="274" spans="1:6" x14ac:dyDescent="0.2">
      <c r="A274" s="2">
        <v>45770</v>
      </c>
      <c r="B274" t="s">
        <v>353</v>
      </c>
      <c r="C274" t="s">
        <v>11</v>
      </c>
      <c r="D274" t="s">
        <v>1</v>
      </c>
      <c r="E274" t="s">
        <v>184</v>
      </c>
      <c r="F274" t="s">
        <v>598</v>
      </c>
    </row>
    <row r="275" spans="1:6" x14ac:dyDescent="0.2">
      <c r="A275" s="2">
        <v>45771</v>
      </c>
      <c r="B275" t="s">
        <v>354</v>
      </c>
      <c r="C275" t="s">
        <v>11</v>
      </c>
      <c r="D275" t="s">
        <v>1</v>
      </c>
      <c r="E275" t="s">
        <v>185</v>
      </c>
      <c r="F275" t="s">
        <v>598</v>
      </c>
    </row>
    <row r="276" spans="1:6" x14ac:dyDescent="0.2">
      <c r="A276" s="2">
        <v>45771</v>
      </c>
      <c r="B276" t="s">
        <v>354</v>
      </c>
      <c r="C276" t="s">
        <v>11</v>
      </c>
      <c r="D276" t="s">
        <v>1</v>
      </c>
      <c r="E276" t="s">
        <v>185</v>
      </c>
      <c r="F276" t="s">
        <v>598</v>
      </c>
    </row>
    <row r="277" spans="1:6" x14ac:dyDescent="0.2">
      <c r="A277" s="2">
        <v>45772</v>
      </c>
      <c r="B277" t="s">
        <v>355</v>
      </c>
      <c r="C277" t="s">
        <v>11</v>
      </c>
      <c r="D277" t="s">
        <v>1</v>
      </c>
      <c r="E277" t="s">
        <v>186</v>
      </c>
      <c r="F277" t="s">
        <v>598</v>
      </c>
    </row>
    <row r="278" spans="1:6" x14ac:dyDescent="0.2">
      <c r="A278" s="2">
        <v>45772</v>
      </c>
      <c r="B278" t="s">
        <v>355</v>
      </c>
      <c r="C278" t="s">
        <v>11</v>
      </c>
      <c r="D278" t="s">
        <v>1</v>
      </c>
      <c r="E278" t="s">
        <v>186</v>
      </c>
      <c r="F278" t="s">
        <v>598</v>
      </c>
    </row>
    <row r="279" spans="1:6" x14ac:dyDescent="0.2">
      <c r="A279" s="2">
        <v>45772</v>
      </c>
      <c r="B279" t="s">
        <v>355</v>
      </c>
      <c r="C279" t="s">
        <v>11</v>
      </c>
      <c r="D279" t="s">
        <v>1</v>
      </c>
      <c r="E279" t="s">
        <v>186</v>
      </c>
      <c r="F279" t="s">
        <v>598</v>
      </c>
    </row>
    <row r="280" spans="1:6" x14ac:dyDescent="0.2">
      <c r="A280" s="2">
        <v>45775</v>
      </c>
      <c r="B280" t="s">
        <v>356</v>
      </c>
      <c r="C280" t="s">
        <v>11</v>
      </c>
      <c r="D280" t="s">
        <v>1</v>
      </c>
      <c r="E280" t="s">
        <v>188</v>
      </c>
      <c r="F280" t="s">
        <v>598</v>
      </c>
    </row>
    <row r="281" spans="1:6" x14ac:dyDescent="0.2">
      <c r="A281" s="2">
        <v>45775</v>
      </c>
      <c r="B281" t="s">
        <v>356</v>
      </c>
      <c r="C281" t="s">
        <v>11</v>
      </c>
      <c r="D281" t="s">
        <v>1</v>
      </c>
      <c r="E281" t="s">
        <v>188</v>
      </c>
      <c r="F281" t="s">
        <v>598</v>
      </c>
    </row>
    <row r="282" spans="1:6" x14ac:dyDescent="0.2">
      <c r="A282" s="2">
        <v>45776</v>
      </c>
      <c r="B282" t="s">
        <v>357</v>
      </c>
      <c r="C282" t="s">
        <v>11</v>
      </c>
      <c r="D282" t="s">
        <v>1</v>
      </c>
      <c r="E282" t="s">
        <v>190</v>
      </c>
      <c r="F282" t="s">
        <v>598</v>
      </c>
    </row>
    <row r="283" spans="1:6" x14ac:dyDescent="0.2">
      <c r="A283" s="2">
        <v>45776</v>
      </c>
      <c r="B283" t="s">
        <v>357</v>
      </c>
      <c r="C283" t="s">
        <v>11</v>
      </c>
      <c r="D283" t="s">
        <v>1</v>
      </c>
      <c r="E283" t="s">
        <v>190</v>
      </c>
      <c r="F283" t="s">
        <v>598</v>
      </c>
    </row>
    <row r="284" spans="1:6" x14ac:dyDescent="0.2">
      <c r="A284" s="2">
        <v>45777</v>
      </c>
      <c r="B284" t="s">
        <v>358</v>
      </c>
      <c r="C284" t="s">
        <v>11</v>
      </c>
      <c r="D284" t="s">
        <v>1</v>
      </c>
      <c r="E284" t="s">
        <v>3848</v>
      </c>
      <c r="F284" t="s">
        <v>598</v>
      </c>
    </row>
    <row r="285" spans="1:6" x14ac:dyDescent="0.2">
      <c r="A285" s="2">
        <v>45777</v>
      </c>
      <c r="B285" t="s">
        <v>358</v>
      </c>
      <c r="C285" t="s">
        <v>11</v>
      </c>
      <c r="D285" t="s">
        <v>1</v>
      </c>
      <c r="E285" t="s">
        <v>3848</v>
      </c>
      <c r="F285" t="s">
        <v>598</v>
      </c>
    </row>
    <row r="286" spans="1:6" x14ac:dyDescent="0.2">
      <c r="A286" s="2">
        <v>45780</v>
      </c>
      <c r="B286" t="s">
        <v>359</v>
      </c>
      <c r="C286" t="s">
        <v>11</v>
      </c>
      <c r="D286" t="s">
        <v>1</v>
      </c>
      <c r="E286" t="s">
        <v>192</v>
      </c>
      <c r="F286" t="s">
        <v>598</v>
      </c>
    </row>
    <row r="287" spans="1:6" x14ac:dyDescent="0.2">
      <c r="A287" s="2">
        <v>45780</v>
      </c>
      <c r="B287" t="s">
        <v>359</v>
      </c>
      <c r="C287" t="s">
        <v>11</v>
      </c>
      <c r="D287" t="s">
        <v>1</v>
      </c>
      <c r="E287" t="s">
        <v>192</v>
      </c>
      <c r="F287" t="s">
        <v>598</v>
      </c>
    </row>
    <row r="288" spans="1:6" x14ac:dyDescent="0.2">
      <c r="A288" s="2">
        <v>45782</v>
      </c>
      <c r="B288" t="s">
        <v>360</v>
      </c>
      <c r="C288" t="s">
        <v>11</v>
      </c>
      <c r="D288" t="s">
        <v>1</v>
      </c>
      <c r="E288" t="s">
        <v>193</v>
      </c>
      <c r="F288" t="s">
        <v>598</v>
      </c>
    </row>
    <row r="289" spans="1:6" x14ac:dyDescent="0.2">
      <c r="A289" s="2">
        <v>45782</v>
      </c>
      <c r="B289" t="s">
        <v>360</v>
      </c>
      <c r="C289" t="s">
        <v>11</v>
      </c>
      <c r="D289" t="s">
        <v>1</v>
      </c>
      <c r="E289" t="s">
        <v>193</v>
      </c>
      <c r="F289" t="s">
        <v>598</v>
      </c>
    </row>
    <row r="290" spans="1:6" x14ac:dyDescent="0.2">
      <c r="A290" s="2">
        <v>45783</v>
      </c>
      <c r="B290" t="s">
        <v>361</v>
      </c>
      <c r="C290" t="s">
        <v>11</v>
      </c>
      <c r="D290" t="s">
        <v>1</v>
      </c>
      <c r="E290" t="s">
        <v>3849</v>
      </c>
      <c r="F290" t="s">
        <v>598</v>
      </c>
    </row>
    <row r="291" spans="1:6" x14ac:dyDescent="0.2">
      <c r="A291" s="2">
        <v>45783</v>
      </c>
      <c r="B291" t="s">
        <v>361</v>
      </c>
      <c r="C291" t="s">
        <v>11</v>
      </c>
      <c r="D291" t="s">
        <v>1</v>
      </c>
      <c r="E291" t="s">
        <v>3849</v>
      </c>
      <c r="F291" t="s">
        <v>598</v>
      </c>
    </row>
    <row r="292" spans="1:6" x14ac:dyDescent="0.2">
      <c r="A292" s="2">
        <v>45784</v>
      </c>
      <c r="B292" t="s">
        <v>362</v>
      </c>
      <c r="C292" t="s">
        <v>11</v>
      </c>
      <c r="D292" t="s">
        <v>1</v>
      </c>
      <c r="E292" t="s">
        <v>196</v>
      </c>
      <c r="F292" t="s">
        <v>598</v>
      </c>
    </row>
    <row r="293" spans="1:6" x14ac:dyDescent="0.2">
      <c r="A293" s="2">
        <v>45784</v>
      </c>
      <c r="B293" t="s">
        <v>362</v>
      </c>
      <c r="C293" t="s">
        <v>11</v>
      </c>
      <c r="D293" t="s">
        <v>1</v>
      </c>
      <c r="E293" t="s">
        <v>196</v>
      </c>
      <c r="F293" t="s">
        <v>598</v>
      </c>
    </row>
    <row r="294" spans="1:6" x14ac:dyDescent="0.2">
      <c r="A294" s="2">
        <v>45785</v>
      </c>
      <c r="B294" t="s">
        <v>363</v>
      </c>
      <c r="C294" t="s">
        <v>11</v>
      </c>
      <c r="D294" t="s">
        <v>1</v>
      </c>
      <c r="E294" t="s">
        <v>197</v>
      </c>
      <c r="F294" t="s">
        <v>598</v>
      </c>
    </row>
    <row r="295" spans="1:6" x14ac:dyDescent="0.2">
      <c r="A295" s="2">
        <v>45785</v>
      </c>
      <c r="B295" t="s">
        <v>363</v>
      </c>
      <c r="C295" t="s">
        <v>11</v>
      </c>
      <c r="D295" t="s">
        <v>1</v>
      </c>
      <c r="E295" t="s">
        <v>197</v>
      </c>
      <c r="F295" t="s">
        <v>598</v>
      </c>
    </row>
    <row r="296" spans="1:6" x14ac:dyDescent="0.2">
      <c r="A296" s="2">
        <v>45786</v>
      </c>
      <c r="B296" t="s">
        <v>364</v>
      </c>
      <c r="C296" t="s">
        <v>11</v>
      </c>
      <c r="D296" t="s">
        <v>1</v>
      </c>
      <c r="E296" t="s">
        <v>199</v>
      </c>
      <c r="F296" t="s">
        <v>598</v>
      </c>
    </row>
    <row r="297" spans="1:6" x14ac:dyDescent="0.2">
      <c r="A297" s="2">
        <v>45789</v>
      </c>
      <c r="B297" t="s">
        <v>365</v>
      </c>
      <c r="C297" t="s">
        <v>12</v>
      </c>
      <c r="D297" t="s">
        <v>1</v>
      </c>
      <c r="E297" t="s">
        <v>200</v>
      </c>
      <c r="F297" t="s">
        <v>598</v>
      </c>
    </row>
    <row r="298" spans="1:6" x14ac:dyDescent="0.2">
      <c r="A298" s="2">
        <v>45790</v>
      </c>
      <c r="B298" t="s">
        <v>366</v>
      </c>
      <c r="C298" t="s">
        <v>11</v>
      </c>
      <c r="D298" t="s">
        <v>1</v>
      </c>
      <c r="E298" t="s">
        <v>201</v>
      </c>
      <c r="F298" t="s">
        <v>598</v>
      </c>
    </row>
    <row r="299" spans="1:6" x14ac:dyDescent="0.2">
      <c r="A299" s="2">
        <v>45790</v>
      </c>
      <c r="B299" t="s">
        <v>366</v>
      </c>
      <c r="C299" t="s">
        <v>11</v>
      </c>
      <c r="D299" t="s">
        <v>1</v>
      </c>
      <c r="E299" t="s">
        <v>201</v>
      </c>
      <c r="F299" t="s">
        <v>598</v>
      </c>
    </row>
    <row r="300" spans="1:6" x14ac:dyDescent="0.2">
      <c r="A300" s="2">
        <v>45790</v>
      </c>
      <c r="B300" t="s">
        <v>366</v>
      </c>
      <c r="C300" t="s">
        <v>11</v>
      </c>
      <c r="D300" t="s">
        <v>1</v>
      </c>
      <c r="E300" t="s">
        <v>201</v>
      </c>
      <c r="F300" t="s">
        <v>598</v>
      </c>
    </row>
    <row r="301" spans="1:6" x14ac:dyDescent="0.2">
      <c r="A301" s="2">
        <v>45791</v>
      </c>
      <c r="B301" t="s">
        <v>367</v>
      </c>
      <c r="C301" t="s">
        <v>11</v>
      </c>
      <c r="D301" t="s">
        <v>1</v>
      </c>
      <c r="E301" t="s">
        <v>202</v>
      </c>
      <c r="F301" t="s">
        <v>598</v>
      </c>
    </row>
    <row r="302" spans="1:6" x14ac:dyDescent="0.2">
      <c r="A302" s="2">
        <v>45792</v>
      </c>
      <c r="B302" t="s">
        <v>368</v>
      </c>
      <c r="C302" t="s">
        <v>11</v>
      </c>
      <c r="D302" t="s">
        <v>1</v>
      </c>
      <c r="E302" t="s">
        <v>3850</v>
      </c>
      <c r="F302" t="s">
        <v>598</v>
      </c>
    </row>
    <row r="303" spans="1:6" x14ac:dyDescent="0.2">
      <c r="A303" s="2">
        <v>45792</v>
      </c>
      <c r="B303" t="s">
        <v>368</v>
      </c>
      <c r="C303" t="s">
        <v>11</v>
      </c>
      <c r="D303" t="s">
        <v>1</v>
      </c>
      <c r="E303" t="s">
        <v>3850</v>
      </c>
      <c r="F303" t="s">
        <v>598</v>
      </c>
    </row>
    <row r="304" spans="1:6" x14ac:dyDescent="0.2">
      <c r="A304" s="2">
        <v>45793</v>
      </c>
      <c r="B304" t="s">
        <v>369</v>
      </c>
      <c r="C304" t="s">
        <v>11</v>
      </c>
      <c r="D304" t="s">
        <v>1</v>
      </c>
      <c r="E304" t="s">
        <v>205</v>
      </c>
      <c r="F304" t="s">
        <v>598</v>
      </c>
    </row>
    <row r="305" spans="1:6" x14ac:dyDescent="0.2">
      <c r="A305" s="2">
        <v>45793</v>
      </c>
      <c r="B305" t="s">
        <v>369</v>
      </c>
      <c r="C305" t="s">
        <v>11</v>
      </c>
      <c r="D305" t="s">
        <v>1</v>
      </c>
      <c r="E305" t="s">
        <v>205</v>
      </c>
      <c r="F305" t="s">
        <v>598</v>
      </c>
    </row>
    <row r="306" spans="1:6" x14ac:dyDescent="0.2">
      <c r="A306" s="2">
        <v>45793</v>
      </c>
      <c r="B306" t="s">
        <v>369</v>
      </c>
      <c r="C306" t="s">
        <v>11</v>
      </c>
      <c r="D306" t="s">
        <v>1</v>
      </c>
      <c r="E306" t="s">
        <v>205</v>
      </c>
      <c r="F306" t="s">
        <v>598</v>
      </c>
    </row>
    <row r="307" spans="1:6" x14ac:dyDescent="0.2">
      <c r="A307" s="2">
        <v>45794</v>
      </c>
      <c r="B307" t="s">
        <v>370</v>
      </c>
      <c r="C307" t="s">
        <v>11</v>
      </c>
      <c r="D307" t="s">
        <v>1</v>
      </c>
      <c r="E307" t="s">
        <v>207</v>
      </c>
      <c r="F307" t="s">
        <v>598</v>
      </c>
    </row>
    <row r="308" spans="1:6" x14ac:dyDescent="0.2">
      <c r="A308" s="2">
        <v>45796</v>
      </c>
      <c r="B308" t="s">
        <v>371</v>
      </c>
      <c r="C308" t="s">
        <v>11</v>
      </c>
      <c r="D308" t="s">
        <v>1</v>
      </c>
      <c r="E308" t="s">
        <v>208</v>
      </c>
      <c r="F308" t="s">
        <v>598</v>
      </c>
    </row>
    <row r="309" spans="1:6" x14ac:dyDescent="0.2">
      <c r="A309" s="2">
        <v>45796</v>
      </c>
      <c r="B309" t="s">
        <v>371</v>
      </c>
      <c r="C309" t="s">
        <v>11</v>
      </c>
      <c r="D309" t="s">
        <v>1</v>
      </c>
      <c r="E309" t="s">
        <v>208</v>
      </c>
      <c r="F309" t="s">
        <v>598</v>
      </c>
    </row>
    <row r="310" spans="1:6" x14ac:dyDescent="0.2">
      <c r="A310" s="2">
        <v>45797</v>
      </c>
      <c r="B310" t="s">
        <v>372</v>
      </c>
      <c r="C310" t="s">
        <v>11</v>
      </c>
      <c r="D310" t="s">
        <v>1</v>
      </c>
      <c r="E310" t="s">
        <v>210</v>
      </c>
      <c r="F310" t="s">
        <v>598</v>
      </c>
    </row>
    <row r="311" spans="1:6" x14ac:dyDescent="0.2">
      <c r="A311" s="2">
        <v>45797</v>
      </c>
      <c r="B311" t="s">
        <v>372</v>
      </c>
      <c r="C311" t="s">
        <v>11</v>
      </c>
      <c r="D311" t="s">
        <v>1</v>
      </c>
      <c r="E311" t="s">
        <v>210</v>
      </c>
      <c r="F311" t="s">
        <v>598</v>
      </c>
    </row>
    <row r="312" spans="1:6" x14ac:dyDescent="0.2">
      <c r="A312" s="2">
        <v>45799</v>
      </c>
      <c r="B312" t="s">
        <v>373</v>
      </c>
      <c r="C312" t="s">
        <v>11</v>
      </c>
      <c r="D312" t="s">
        <v>1</v>
      </c>
      <c r="E312" t="s">
        <v>212</v>
      </c>
      <c r="F312" t="s">
        <v>598</v>
      </c>
    </row>
    <row r="313" spans="1:6" x14ac:dyDescent="0.2">
      <c r="A313" s="2">
        <v>45799</v>
      </c>
      <c r="B313" t="s">
        <v>373</v>
      </c>
      <c r="C313" t="s">
        <v>11</v>
      </c>
      <c r="D313" t="s">
        <v>1</v>
      </c>
      <c r="E313" t="s">
        <v>212</v>
      </c>
      <c r="F313" t="s">
        <v>598</v>
      </c>
    </row>
    <row r="314" spans="1:6" x14ac:dyDescent="0.2">
      <c r="A314" s="2">
        <v>45800</v>
      </c>
      <c r="B314" t="s">
        <v>374</v>
      </c>
      <c r="C314" t="s">
        <v>11</v>
      </c>
      <c r="D314" t="s">
        <v>1</v>
      </c>
      <c r="E314" t="s">
        <v>3851</v>
      </c>
      <c r="F314" t="s">
        <v>598</v>
      </c>
    </row>
    <row r="315" spans="1:6" x14ac:dyDescent="0.2">
      <c r="A315" s="2">
        <v>45800</v>
      </c>
      <c r="B315" t="s">
        <v>374</v>
      </c>
      <c r="C315" t="s">
        <v>11</v>
      </c>
      <c r="D315" t="s">
        <v>1</v>
      </c>
      <c r="E315" t="s">
        <v>3851</v>
      </c>
      <c r="F315" t="s">
        <v>598</v>
      </c>
    </row>
    <row r="316" spans="1:6" x14ac:dyDescent="0.2">
      <c r="A316" s="2">
        <v>45801</v>
      </c>
      <c r="B316" t="s">
        <v>375</v>
      </c>
      <c r="C316" t="s">
        <v>11</v>
      </c>
      <c r="D316" t="s">
        <v>2</v>
      </c>
      <c r="E316" t="s">
        <v>3852</v>
      </c>
      <c r="F316" t="s">
        <v>599</v>
      </c>
    </row>
    <row r="317" spans="1:6" x14ac:dyDescent="0.2">
      <c r="A317" s="2">
        <v>45803</v>
      </c>
      <c r="B317" t="s">
        <v>376</v>
      </c>
      <c r="C317" t="s">
        <v>11</v>
      </c>
      <c r="D317" t="s">
        <v>1</v>
      </c>
      <c r="E317" t="s">
        <v>215</v>
      </c>
      <c r="F317" t="s">
        <v>598</v>
      </c>
    </row>
    <row r="318" spans="1:6" x14ac:dyDescent="0.2">
      <c r="A318" s="2">
        <v>45803</v>
      </c>
      <c r="B318" t="s">
        <v>376</v>
      </c>
      <c r="C318" t="s">
        <v>11</v>
      </c>
      <c r="D318" t="s">
        <v>1</v>
      </c>
      <c r="E318" t="s">
        <v>215</v>
      </c>
      <c r="F318" t="s">
        <v>598</v>
      </c>
    </row>
    <row r="319" spans="1:6" x14ac:dyDescent="0.2">
      <c r="A319" s="2">
        <v>45803</v>
      </c>
      <c r="B319" t="s">
        <v>376</v>
      </c>
      <c r="C319" t="s">
        <v>11</v>
      </c>
      <c r="D319" t="s">
        <v>1</v>
      </c>
      <c r="E319" t="s">
        <v>215</v>
      </c>
      <c r="F319" t="s">
        <v>598</v>
      </c>
    </row>
    <row r="320" spans="1:6" x14ac:dyDescent="0.2">
      <c r="A320" s="2">
        <v>45804</v>
      </c>
      <c r="B320" t="s">
        <v>377</v>
      </c>
      <c r="C320" t="s">
        <v>11</v>
      </c>
      <c r="D320" t="s">
        <v>1</v>
      </c>
      <c r="E320" t="s">
        <v>217</v>
      </c>
      <c r="F320" t="s">
        <v>598</v>
      </c>
    </row>
    <row r="321" spans="1:6" x14ac:dyDescent="0.2">
      <c r="A321" s="2">
        <v>45804</v>
      </c>
      <c r="B321" t="s">
        <v>377</v>
      </c>
      <c r="C321" t="s">
        <v>11</v>
      </c>
      <c r="D321" t="s">
        <v>1</v>
      </c>
      <c r="E321" t="s">
        <v>217</v>
      </c>
      <c r="F321" t="s">
        <v>598</v>
      </c>
    </row>
    <row r="322" spans="1:6" x14ac:dyDescent="0.2">
      <c r="A322" s="2">
        <v>45804</v>
      </c>
      <c r="B322" t="s">
        <v>377</v>
      </c>
      <c r="C322" t="s">
        <v>11</v>
      </c>
      <c r="D322" t="s">
        <v>1</v>
      </c>
      <c r="E322" t="s">
        <v>217</v>
      </c>
      <c r="F322" t="s">
        <v>598</v>
      </c>
    </row>
    <row r="323" spans="1:6" x14ac:dyDescent="0.2">
      <c r="A323" s="2">
        <v>45805</v>
      </c>
      <c r="B323" t="s">
        <v>378</v>
      </c>
      <c r="C323" t="s">
        <v>11</v>
      </c>
      <c r="D323" t="s">
        <v>1</v>
      </c>
      <c r="E323" t="s">
        <v>219</v>
      </c>
      <c r="F323" t="s">
        <v>598</v>
      </c>
    </row>
    <row r="324" spans="1:6" x14ac:dyDescent="0.2">
      <c r="A324" s="2">
        <v>45806</v>
      </c>
      <c r="B324" t="s">
        <v>379</v>
      </c>
      <c r="C324" t="s">
        <v>11</v>
      </c>
      <c r="D324" t="s">
        <v>1</v>
      </c>
      <c r="E324" t="s">
        <v>192</v>
      </c>
      <c r="F324" t="s">
        <v>598</v>
      </c>
    </row>
    <row r="325" spans="1:6" x14ac:dyDescent="0.2">
      <c r="A325" s="2">
        <v>45806</v>
      </c>
      <c r="B325" t="s">
        <v>379</v>
      </c>
      <c r="C325" t="s">
        <v>11</v>
      </c>
      <c r="D325" t="s">
        <v>1</v>
      </c>
      <c r="E325" t="s">
        <v>192</v>
      </c>
      <c r="F325" t="s">
        <v>598</v>
      </c>
    </row>
    <row r="326" spans="1:6" x14ac:dyDescent="0.2">
      <c r="A326" s="2">
        <v>45807</v>
      </c>
      <c r="B326" t="s">
        <v>380</v>
      </c>
      <c r="C326" t="s">
        <v>11</v>
      </c>
      <c r="D326" t="s">
        <v>1</v>
      </c>
      <c r="E326" t="s">
        <v>221</v>
      </c>
      <c r="F326" t="s">
        <v>598</v>
      </c>
    </row>
    <row r="327" spans="1:6" x14ac:dyDescent="0.2">
      <c r="A327" s="2">
        <v>45807</v>
      </c>
      <c r="B327" t="s">
        <v>380</v>
      </c>
      <c r="C327" t="s">
        <v>11</v>
      </c>
      <c r="D327" t="s">
        <v>1</v>
      </c>
      <c r="E327" t="s">
        <v>221</v>
      </c>
      <c r="F327" t="s">
        <v>598</v>
      </c>
    </row>
    <row r="328" spans="1:6" x14ac:dyDescent="0.2">
      <c r="A328" s="2">
        <v>45807</v>
      </c>
      <c r="B328" t="s">
        <v>380</v>
      </c>
      <c r="C328" t="s">
        <v>11</v>
      </c>
      <c r="D328" t="s">
        <v>1</v>
      </c>
      <c r="E328" t="s">
        <v>221</v>
      </c>
      <c r="F328" t="s">
        <v>598</v>
      </c>
    </row>
    <row r="329" spans="1:6" x14ac:dyDescent="0.2">
      <c r="A329" s="2">
        <v>45810</v>
      </c>
      <c r="B329" t="s">
        <v>381</v>
      </c>
      <c r="C329" t="s">
        <v>11</v>
      </c>
      <c r="D329" t="s">
        <v>1</v>
      </c>
      <c r="E329" t="s">
        <v>3853</v>
      </c>
      <c r="F329" t="s">
        <v>598</v>
      </c>
    </row>
    <row r="330" spans="1:6" x14ac:dyDescent="0.2">
      <c r="A330" s="2">
        <v>45811</v>
      </c>
      <c r="B330" t="s">
        <v>382</v>
      </c>
      <c r="C330" t="s">
        <v>11</v>
      </c>
      <c r="D330" t="s">
        <v>1</v>
      </c>
      <c r="E330" t="s">
        <v>3854</v>
      </c>
      <c r="F330" t="s">
        <v>598</v>
      </c>
    </row>
    <row r="331" spans="1:6" x14ac:dyDescent="0.2">
      <c r="A331" s="2">
        <v>45811</v>
      </c>
      <c r="B331" t="s">
        <v>382</v>
      </c>
      <c r="C331" t="s">
        <v>11</v>
      </c>
      <c r="D331" t="s">
        <v>1</v>
      </c>
      <c r="E331" t="s">
        <v>3854</v>
      </c>
      <c r="F331" t="s">
        <v>598</v>
      </c>
    </row>
    <row r="332" spans="1:6" x14ac:dyDescent="0.2">
      <c r="A332" s="2">
        <v>45811</v>
      </c>
      <c r="B332" t="s">
        <v>382</v>
      </c>
      <c r="C332" t="s">
        <v>11</v>
      </c>
      <c r="D332" t="s">
        <v>1</v>
      </c>
      <c r="E332" t="s">
        <v>3854</v>
      </c>
      <c r="F332" t="s">
        <v>598</v>
      </c>
    </row>
    <row r="333" spans="1:6" x14ac:dyDescent="0.2">
      <c r="A333" s="2">
        <v>45812</v>
      </c>
      <c r="B333" t="s">
        <v>383</v>
      </c>
      <c r="C333" t="s">
        <v>11</v>
      </c>
      <c r="D333" t="s">
        <v>1</v>
      </c>
      <c r="E333" t="s">
        <v>3855</v>
      </c>
      <c r="F333" t="s">
        <v>598</v>
      </c>
    </row>
    <row r="334" spans="1:6" x14ac:dyDescent="0.2">
      <c r="A334" s="2">
        <v>45813</v>
      </c>
      <c r="B334" t="s">
        <v>384</v>
      </c>
      <c r="C334" t="s">
        <v>11</v>
      </c>
      <c r="D334" t="s">
        <v>1</v>
      </c>
      <c r="E334" t="s">
        <v>206</v>
      </c>
      <c r="F334" t="s">
        <v>598</v>
      </c>
    </row>
    <row r="335" spans="1:6" x14ac:dyDescent="0.2">
      <c r="A335" s="2">
        <v>45813</v>
      </c>
      <c r="B335" t="s">
        <v>384</v>
      </c>
      <c r="C335" t="s">
        <v>11</v>
      </c>
      <c r="D335" t="s">
        <v>1</v>
      </c>
      <c r="E335" t="s">
        <v>206</v>
      </c>
      <c r="F335" t="s">
        <v>598</v>
      </c>
    </row>
    <row r="336" spans="1:6" x14ac:dyDescent="0.2">
      <c r="A336" s="2">
        <v>45813</v>
      </c>
      <c r="B336" t="s">
        <v>384</v>
      </c>
      <c r="C336" t="s">
        <v>11</v>
      </c>
      <c r="D336" t="s">
        <v>1</v>
      </c>
      <c r="E336" t="s">
        <v>206</v>
      </c>
      <c r="F336" t="s">
        <v>598</v>
      </c>
    </row>
    <row r="337" spans="1:6" x14ac:dyDescent="0.2">
      <c r="A337" s="2">
        <v>45814</v>
      </c>
      <c r="B337" t="s">
        <v>385</v>
      </c>
      <c r="C337" t="s">
        <v>11</v>
      </c>
      <c r="D337" t="s">
        <v>1</v>
      </c>
      <c r="E337" t="s">
        <v>3856</v>
      </c>
      <c r="F337" t="s">
        <v>598</v>
      </c>
    </row>
    <row r="338" spans="1:6" x14ac:dyDescent="0.2">
      <c r="A338" s="2">
        <v>45814</v>
      </c>
      <c r="B338" t="s">
        <v>385</v>
      </c>
      <c r="C338" t="s">
        <v>11</v>
      </c>
      <c r="D338" t="s">
        <v>1</v>
      </c>
      <c r="E338" t="s">
        <v>3856</v>
      </c>
      <c r="F338" t="s">
        <v>598</v>
      </c>
    </row>
    <row r="339" spans="1:6" x14ac:dyDescent="0.2">
      <c r="A339" s="2">
        <v>45815</v>
      </c>
      <c r="B339" t="s">
        <v>386</v>
      </c>
      <c r="C339" t="s">
        <v>11</v>
      </c>
      <c r="D339" t="s">
        <v>1</v>
      </c>
      <c r="E339" t="s">
        <v>3857</v>
      </c>
      <c r="F339" t="s">
        <v>598</v>
      </c>
    </row>
    <row r="340" spans="1:6" x14ac:dyDescent="0.2">
      <c r="A340" s="2">
        <v>45817</v>
      </c>
      <c r="B340" t="s">
        <v>387</v>
      </c>
      <c r="C340" t="s">
        <v>12</v>
      </c>
      <c r="D340" t="s">
        <v>1</v>
      </c>
      <c r="E340" t="s">
        <v>3858</v>
      </c>
      <c r="F340" t="s">
        <v>598</v>
      </c>
    </row>
    <row r="341" spans="1:6" x14ac:dyDescent="0.2">
      <c r="A341" s="2">
        <v>45818</v>
      </c>
      <c r="B341" t="s">
        <v>388</v>
      </c>
      <c r="C341" t="s">
        <v>11</v>
      </c>
      <c r="D341" t="s">
        <v>1</v>
      </c>
      <c r="E341" t="s">
        <v>3859</v>
      </c>
      <c r="F341" t="s">
        <v>598</v>
      </c>
    </row>
    <row r="342" spans="1:6" x14ac:dyDescent="0.2">
      <c r="A342" s="2">
        <v>45818</v>
      </c>
      <c r="B342" t="s">
        <v>388</v>
      </c>
      <c r="C342" t="s">
        <v>11</v>
      </c>
      <c r="D342" t="s">
        <v>1</v>
      </c>
      <c r="E342" t="s">
        <v>3859</v>
      </c>
      <c r="F342" t="s">
        <v>598</v>
      </c>
    </row>
    <row r="343" spans="1:6" x14ac:dyDescent="0.2">
      <c r="A343" s="2">
        <v>45819</v>
      </c>
      <c r="B343" t="s">
        <v>389</v>
      </c>
      <c r="C343" t="s">
        <v>11</v>
      </c>
      <c r="D343" t="s">
        <v>1</v>
      </c>
      <c r="E343" t="s">
        <v>3860</v>
      </c>
      <c r="F343" t="s">
        <v>598</v>
      </c>
    </row>
    <row r="344" spans="1:6" x14ac:dyDescent="0.2">
      <c r="A344" s="2">
        <v>45819</v>
      </c>
      <c r="B344" t="s">
        <v>389</v>
      </c>
      <c r="C344" t="s">
        <v>11</v>
      </c>
      <c r="D344" t="s">
        <v>1</v>
      </c>
      <c r="E344" t="s">
        <v>3860</v>
      </c>
      <c r="F344" t="s">
        <v>598</v>
      </c>
    </row>
    <row r="345" spans="1:6" x14ac:dyDescent="0.2">
      <c r="A345" s="2">
        <v>45820</v>
      </c>
      <c r="B345" t="s">
        <v>390</v>
      </c>
      <c r="C345" t="s">
        <v>11</v>
      </c>
      <c r="D345" t="s">
        <v>1</v>
      </c>
      <c r="E345" t="s">
        <v>3861</v>
      </c>
      <c r="F345" t="s">
        <v>598</v>
      </c>
    </row>
    <row r="346" spans="1:6" x14ac:dyDescent="0.2">
      <c r="A346" s="2">
        <v>45820</v>
      </c>
      <c r="B346" t="s">
        <v>390</v>
      </c>
      <c r="C346" t="s">
        <v>11</v>
      </c>
      <c r="D346" t="s">
        <v>1</v>
      </c>
      <c r="E346" t="s">
        <v>3861</v>
      </c>
      <c r="F346" t="s">
        <v>598</v>
      </c>
    </row>
    <row r="347" spans="1:6" x14ac:dyDescent="0.2">
      <c r="A347" s="2">
        <v>45820</v>
      </c>
      <c r="B347" t="s">
        <v>390</v>
      </c>
      <c r="C347" t="s">
        <v>11</v>
      </c>
      <c r="D347" t="s">
        <v>1</v>
      </c>
      <c r="E347" t="s">
        <v>3861</v>
      </c>
      <c r="F347" t="s">
        <v>598</v>
      </c>
    </row>
    <row r="348" spans="1:6" x14ac:dyDescent="0.2">
      <c r="A348" s="2">
        <v>45821</v>
      </c>
      <c r="B348" t="s">
        <v>391</v>
      </c>
      <c r="C348" t="s">
        <v>11</v>
      </c>
      <c r="D348" t="s">
        <v>1</v>
      </c>
      <c r="E348" t="s">
        <v>3862</v>
      </c>
      <c r="F348" t="s">
        <v>598</v>
      </c>
    </row>
    <row r="349" spans="1:6" x14ac:dyDescent="0.2">
      <c r="A349" s="2">
        <v>45821</v>
      </c>
      <c r="B349" t="s">
        <v>391</v>
      </c>
      <c r="C349" t="s">
        <v>11</v>
      </c>
      <c r="D349" t="s">
        <v>1</v>
      </c>
      <c r="E349" t="s">
        <v>3862</v>
      </c>
      <c r="F349" t="s">
        <v>598</v>
      </c>
    </row>
    <row r="350" spans="1:6" x14ac:dyDescent="0.2">
      <c r="A350" s="2">
        <v>45822</v>
      </c>
      <c r="B350" t="s">
        <v>392</v>
      </c>
      <c r="C350" t="s">
        <v>11</v>
      </c>
      <c r="D350" t="s">
        <v>1</v>
      </c>
      <c r="E350" t="s">
        <v>3863</v>
      </c>
      <c r="F350" t="s">
        <v>598</v>
      </c>
    </row>
    <row r="351" spans="1:6" x14ac:dyDescent="0.2">
      <c r="A351" s="2">
        <v>45824</v>
      </c>
      <c r="B351" t="s">
        <v>393</v>
      </c>
      <c r="C351" t="s">
        <v>11</v>
      </c>
      <c r="D351" t="s">
        <v>1</v>
      </c>
      <c r="E351" t="s">
        <v>3864</v>
      </c>
      <c r="F351" t="s">
        <v>598</v>
      </c>
    </row>
    <row r="352" spans="1:6" x14ac:dyDescent="0.2">
      <c r="A352" s="2">
        <v>45824</v>
      </c>
      <c r="B352" t="s">
        <v>393</v>
      </c>
      <c r="C352" t="s">
        <v>11</v>
      </c>
      <c r="D352" t="s">
        <v>1</v>
      </c>
      <c r="E352" t="s">
        <v>3864</v>
      </c>
      <c r="F352" t="s">
        <v>598</v>
      </c>
    </row>
    <row r="353" spans="1:6" x14ac:dyDescent="0.2">
      <c r="A353" s="2">
        <v>45825</v>
      </c>
      <c r="B353" t="s">
        <v>394</v>
      </c>
      <c r="C353" t="s">
        <v>11</v>
      </c>
      <c r="D353" t="s">
        <v>1</v>
      </c>
      <c r="E353" t="s">
        <v>3865</v>
      </c>
      <c r="F353" t="s">
        <v>598</v>
      </c>
    </row>
    <row r="354" spans="1:6" x14ac:dyDescent="0.2">
      <c r="A354" s="2">
        <v>45825</v>
      </c>
      <c r="B354" t="s">
        <v>394</v>
      </c>
      <c r="C354" t="s">
        <v>11</v>
      </c>
      <c r="D354" t="s">
        <v>1</v>
      </c>
      <c r="E354" t="s">
        <v>3865</v>
      </c>
      <c r="F354" t="s">
        <v>598</v>
      </c>
    </row>
    <row r="355" spans="1:6" x14ac:dyDescent="0.2">
      <c r="A355" s="2">
        <v>45825</v>
      </c>
      <c r="B355" t="s">
        <v>394</v>
      </c>
      <c r="C355" t="s">
        <v>11</v>
      </c>
      <c r="D355" t="s">
        <v>1</v>
      </c>
      <c r="E355" t="s">
        <v>3865</v>
      </c>
      <c r="F355" t="s">
        <v>598</v>
      </c>
    </row>
    <row r="356" spans="1:6" x14ac:dyDescent="0.2">
      <c r="A356" s="2">
        <v>45826</v>
      </c>
      <c r="B356" t="s">
        <v>395</v>
      </c>
      <c r="C356" t="s">
        <v>11</v>
      </c>
      <c r="D356" t="s">
        <v>1</v>
      </c>
      <c r="E356" t="s">
        <v>3866</v>
      </c>
      <c r="F356" t="s">
        <v>598</v>
      </c>
    </row>
    <row r="357" spans="1:6" x14ac:dyDescent="0.2">
      <c r="A357" s="2">
        <v>45826</v>
      </c>
      <c r="B357" t="s">
        <v>395</v>
      </c>
      <c r="C357" t="s">
        <v>11</v>
      </c>
      <c r="D357" t="s">
        <v>1</v>
      </c>
      <c r="E357" t="s">
        <v>3866</v>
      </c>
      <c r="F357" t="s">
        <v>598</v>
      </c>
    </row>
    <row r="358" spans="1:6" x14ac:dyDescent="0.2">
      <c r="A358" s="2">
        <v>45826</v>
      </c>
      <c r="B358" t="s">
        <v>395</v>
      </c>
      <c r="C358" t="s">
        <v>11</v>
      </c>
      <c r="D358" t="s">
        <v>1</v>
      </c>
      <c r="E358" t="s">
        <v>3866</v>
      </c>
      <c r="F358" t="s">
        <v>598</v>
      </c>
    </row>
    <row r="359" spans="1:6" x14ac:dyDescent="0.2">
      <c r="A359" s="2">
        <v>45827</v>
      </c>
      <c r="B359" t="s">
        <v>396</v>
      </c>
      <c r="C359" t="s">
        <v>11</v>
      </c>
      <c r="D359" t="s">
        <v>1</v>
      </c>
      <c r="E359" t="s">
        <v>3867</v>
      </c>
      <c r="F359" t="s">
        <v>598</v>
      </c>
    </row>
    <row r="360" spans="1:6" x14ac:dyDescent="0.2">
      <c r="A360" s="2">
        <v>45827</v>
      </c>
      <c r="B360" t="s">
        <v>396</v>
      </c>
      <c r="C360" t="s">
        <v>11</v>
      </c>
      <c r="D360" t="s">
        <v>1</v>
      </c>
      <c r="E360" t="s">
        <v>3867</v>
      </c>
      <c r="F360" t="s">
        <v>598</v>
      </c>
    </row>
    <row r="361" spans="1:6" x14ac:dyDescent="0.2">
      <c r="A361" s="2">
        <v>45828</v>
      </c>
      <c r="B361" t="s">
        <v>397</v>
      </c>
      <c r="C361" t="s">
        <v>11</v>
      </c>
      <c r="D361" t="s">
        <v>1</v>
      </c>
      <c r="E361" t="s">
        <v>3868</v>
      </c>
      <c r="F361" t="s">
        <v>598</v>
      </c>
    </row>
    <row r="362" spans="1:6" x14ac:dyDescent="0.2">
      <c r="A362" s="2">
        <v>45832</v>
      </c>
      <c r="B362" t="s">
        <v>398</v>
      </c>
      <c r="C362" t="s">
        <v>11</v>
      </c>
      <c r="D362" t="s">
        <v>1</v>
      </c>
      <c r="E362" t="s">
        <v>3869</v>
      </c>
      <c r="F362" t="s">
        <v>598</v>
      </c>
    </row>
    <row r="363" spans="1:6" x14ac:dyDescent="0.2">
      <c r="A363" s="2">
        <v>45832</v>
      </c>
      <c r="B363" t="s">
        <v>398</v>
      </c>
      <c r="C363" t="s">
        <v>11</v>
      </c>
      <c r="D363" t="s">
        <v>1</v>
      </c>
      <c r="E363" t="s">
        <v>3869</v>
      </c>
      <c r="F363" t="s">
        <v>598</v>
      </c>
    </row>
    <row r="364" spans="1:6" x14ac:dyDescent="0.2">
      <c r="A364" s="2">
        <v>45833</v>
      </c>
      <c r="B364" t="s">
        <v>399</v>
      </c>
      <c r="C364" t="s">
        <v>11</v>
      </c>
      <c r="D364" t="s">
        <v>1</v>
      </c>
      <c r="E364" t="s">
        <v>3870</v>
      </c>
      <c r="F364" t="s">
        <v>598</v>
      </c>
    </row>
    <row r="365" spans="1:6" x14ac:dyDescent="0.2">
      <c r="A365" s="2">
        <v>45833</v>
      </c>
      <c r="B365" t="s">
        <v>399</v>
      </c>
      <c r="C365" t="s">
        <v>11</v>
      </c>
      <c r="D365" t="s">
        <v>1</v>
      </c>
      <c r="E365" t="s">
        <v>3870</v>
      </c>
      <c r="F365" t="s">
        <v>598</v>
      </c>
    </row>
    <row r="366" spans="1:6" x14ac:dyDescent="0.2">
      <c r="A366" s="2">
        <v>45833</v>
      </c>
      <c r="B366" t="s">
        <v>399</v>
      </c>
      <c r="C366" t="s">
        <v>11</v>
      </c>
      <c r="D366" t="s">
        <v>1</v>
      </c>
      <c r="E366" t="s">
        <v>3870</v>
      </c>
      <c r="F366" t="s">
        <v>598</v>
      </c>
    </row>
    <row r="367" spans="1:6" x14ac:dyDescent="0.2">
      <c r="A367" s="2">
        <v>45834</v>
      </c>
      <c r="B367" t="s">
        <v>400</v>
      </c>
      <c r="C367" t="s">
        <v>11</v>
      </c>
      <c r="D367" t="s">
        <v>1</v>
      </c>
      <c r="E367" t="s">
        <v>3871</v>
      </c>
      <c r="F367" t="s">
        <v>598</v>
      </c>
    </row>
    <row r="368" spans="1:6" x14ac:dyDescent="0.2">
      <c r="A368" s="2">
        <v>45835</v>
      </c>
      <c r="B368" t="s">
        <v>401</v>
      </c>
      <c r="C368" t="s">
        <v>11</v>
      </c>
      <c r="D368" t="s">
        <v>1</v>
      </c>
      <c r="E368" t="s">
        <v>3872</v>
      </c>
      <c r="F368" t="s">
        <v>598</v>
      </c>
    </row>
    <row r="369" spans="1:6" x14ac:dyDescent="0.2">
      <c r="A369" s="2">
        <v>45835</v>
      </c>
      <c r="B369" t="s">
        <v>401</v>
      </c>
      <c r="C369" t="s">
        <v>11</v>
      </c>
      <c r="D369" t="s">
        <v>1</v>
      </c>
      <c r="E369" t="s">
        <v>3872</v>
      </c>
      <c r="F369" t="s">
        <v>598</v>
      </c>
    </row>
    <row r="370" spans="1:6" x14ac:dyDescent="0.2">
      <c r="A370" s="2">
        <v>45838</v>
      </c>
      <c r="B370" t="s">
        <v>403</v>
      </c>
      <c r="C370" t="s">
        <v>11</v>
      </c>
      <c r="D370" t="s">
        <v>1</v>
      </c>
      <c r="E370" t="s">
        <v>3873</v>
      </c>
      <c r="F370" t="s">
        <v>598</v>
      </c>
    </row>
    <row r="371" spans="1:6" x14ac:dyDescent="0.2">
      <c r="A371" s="2">
        <v>45839</v>
      </c>
      <c r="B371" t="s">
        <v>404</v>
      </c>
      <c r="C371" t="s">
        <v>11</v>
      </c>
      <c r="D371" t="s">
        <v>1</v>
      </c>
      <c r="E371" t="s">
        <v>3874</v>
      </c>
      <c r="F371" t="s">
        <v>598</v>
      </c>
    </row>
    <row r="372" spans="1:6" x14ac:dyDescent="0.2">
      <c r="A372" s="2">
        <v>45840</v>
      </c>
      <c r="B372" t="s">
        <v>405</v>
      </c>
      <c r="C372" t="s">
        <v>11</v>
      </c>
      <c r="D372" t="s">
        <v>1</v>
      </c>
      <c r="E372" t="s">
        <v>3875</v>
      </c>
      <c r="F372" t="s">
        <v>598</v>
      </c>
    </row>
    <row r="373" spans="1:6" x14ac:dyDescent="0.2">
      <c r="A373" s="2">
        <v>45841</v>
      </c>
      <c r="B373" t="s">
        <v>406</v>
      </c>
      <c r="C373" t="s">
        <v>11</v>
      </c>
      <c r="D373" t="s">
        <v>1</v>
      </c>
      <c r="E373" t="s">
        <v>3876</v>
      </c>
      <c r="F373" t="s">
        <v>598</v>
      </c>
    </row>
    <row r="374" spans="1:6" x14ac:dyDescent="0.2">
      <c r="A374" s="2">
        <v>45842</v>
      </c>
      <c r="B374" t="s">
        <v>407</v>
      </c>
      <c r="C374" t="s">
        <v>11</v>
      </c>
      <c r="D374" t="s">
        <v>1</v>
      </c>
      <c r="E374" t="s">
        <v>178</v>
      </c>
      <c r="F374" t="s">
        <v>598</v>
      </c>
    </row>
    <row r="375" spans="1:6" x14ac:dyDescent="0.2">
      <c r="A375" s="2">
        <v>45845</v>
      </c>
      <c r="B375" t="s">
        <v>408</v>
      </c>
      <c r="C375" t="s">
        <v>11</v>
      </c>
      <c r="D375" t="s">
        <v>1</v>
      </c>
      <c r="E375" t="s">
        <v>3877</v>
      </c>
      <c r="F375" t="s">
        <v>598</v>
      </c>
    </row>
    <row r="376" spans="1:6" x14ac:dyDescent="0.2">
      <c r="A376" s="2">
        <v>45845</v>
      </c>
      <c r="B376" t="s">
        <v>408</v>
      </c>
      <c r="C376" t="s">
        <v>11</v>
      </c>
      <c r="D376" t="s">
        <v>1</v>
      </c>
      <c r="E376" t="s">
        <v>3877</v>
      </c>
      <c r="F376" t="s">
        <v>598</v>
      </c>
    </row>
    <row r="377" spans="1:6" x14ac:dyDescent="0.2">
      <c r="A377" s="2">
        <v>45846</v>
      </c>
      <c r="B377" t="s">
        <v>409</v>
      </c>
      <c r="C377" t="s">
        <v>11</v>
      </c>
      <c r="D377" t="s">
        <v>1</v>
      </c>
      <c r="E377" t="s">
        <v>3878</v>
      </c>
      <c r="F377" t="s">
        <v>598</v>
      </c>
    </row>
    <row r="378" spans="1:6" x14ac:dyDescent="0.2">
      <c r="A378" s="2">
        <v>45846</v>
      </c>
      <c r="B378" t="s">
        <v>409</v>
      </c>
      <c r="C378" t="s">
        <v>11</v>
      </c>
      <c r="D378" t="s">
        <v>1</v>
      </c>
      <c r="E378" t="s">
        <v>3878</v>
      </c>
      <c r="F378" t="s">
        <v>598</v>
      </c>
    </row>
    <row r="379" spans="1:6" x14ac:dyDescent="0.2">
      <c r="A379" s="2">
        <v>45847</v>
      </c>
      <c r="B379" t="s">
        <v>410</v>
      </c>
      <c r="C379" t="s">
        <v>11</v>
      </c>
      <c r="D379" t="s">
        <v>1</v>
      </c>
      <c r="E379" t="s">
        <v>3879</v>
      </c>
      <c r="F379" t="s">
        <v>598</v>
      </c>
    </row>
    <row r="380" spans="1:6" x14ac:dyDescent="0.2">
      <c r="A380" s="2">
        <v>45848</v>
      </c>
      <c r="B380" t="s">
        <v>411</v>
      </c>
      <c r="C380" t="s">
        <v>11</v>
      </c>
      <c r="D380" t="s">
        <v>1</v>
      </c>
      <c r="E380" t="s">
        <v>3834</v>
      </c>
      <c r="F380" t="s">
        <v>598</v>
      </c>
    </row>
    <row r="381" spans="1:6" x14ac:dyDescent="0.2">
      <c r="A381" s="2">
        <v>45849</v>
      </c>
      <c r="B381" t="s">
        <v>412</v>
      </c>
      <c r="C381" t="s">
        <v>11</v>
      </c>
      <c r="D381" t="s">
        <v>1</v>
      </c>
      <c r="E381" t="s">
        <v>3880</v>
      </c>
      <c r="F381" t="s">
        <v>598</v>
      </c>
    </row>
    <row r="382" spans="1:6" x14ac:dyDescent="0.2">
      <c r="A382" s="2">
        <v>45853</v>
      </c>
      <c r="B382" t="s">
        <v>413</v>
      </c>
      <c r="C382" t="s">
        <v>11</v>
      </c>
      <c r="D382" t="s">
        <v>1</v>
      </c>
      <c r="E382" t="s">
        <v>3881</v>
      </c>
      <c r="F382" t="s">
        <v>598</v>
      </c>
    </row>
    <row r="383" spans="1:6" x14ac:dyDescent="0.2">
      <c r="A383" s="2">
        <v>45854</v>
      </c>
      <c r="B383" t="s">
        <v>414</v>
      </c>
      <c r="C383" t="s">
        <v>11</v>
      </c>
      <c r="D383" t="s">
        <v>1</v>
      </c>
      <c r="E383" t="s">
        <v>3882</v>
      </c>
      <c r="F383" t="s">
        <v>598</v>
      </c>
    </row>
    <row r="384" spans="1:6" x14ac:dyDescent="0.2">
      <c r="A384" s="2">
        <v>45855</v>
      </c>
      <c r="B384" t="s">
        <v>415</v>
      </c>
      <c r="C384" t="s">
        <v>11</v>
      </c>
      <c r="D384" t="s">
        <v>1</v>
      </c>
      <c r="E384" t="s">
        <v>3883</v>
      </c>
      <c r="F384" t="s">
        <v>598</v>
      </c>
    </row>
    <row r="385" spans="1:6" x14ac:dyDescent="0.2">
      <c r="A385" s="2">
        <v>45855</v>
      </c>
      <c r="B385" t="s">
        <v>415</v>
      </c>
      <c r="C385" t="s">
        <v>11</v>
      </c>
      <c r="D385" t="s">
        <v>1</v>
      </c>
      <c r="E385" t="s">
        <v>3883</v>
      </c>
      <c r="F385" t="s">
        <v>598</v>
      </c>
    </row>
    <row r="386" spans="1:6" x14ac:dyDescent="0.2">
      <c r="A386" s="2">
        <v>45856</v>
      </c>
      <c r="B386" t="s">
        <v>416</v>
      </c>
      <c r="C386" t="s">
        <v>11</v>
      </c>
      <c r="D386" t="s">
        <v>1</v>
      </c>
      <c r="E386" t="s">
        <v>3879</v>
      </c>
      <c r="F386" t="s">
        <v>598</v>
      </c>
    </row>
    <row r="387" spans="1:6" x14ac:dyDescent="0.2">
      <c r="A387" s="2">
        <v>45856</v>
      </c>
      <c r="B387" t="s">
        <v>416</v>
      </c>
      <c r="C387" t="s">
        <v>11</v>
      </c>
      <c r="D387" t="s">
        <v>1</v>
      </c>
      <c r="E387" t="s">
        <v>3879</v>
      </c>
      <c r="F387" t="s">
        <v>598</v>
      </c>
    </row>
    <row r="388" spans="1:6" x14ac:dyDescent="0.2">
      <c r="A388" s="2">
        <v>45857</v>
      </c>
      <c r="B388" t="s">
        <v>417</v>
      </c>
      <c r="C388" t="s">
        <v>11</v>
      </c>
      <c r="D388" t="s">
        <v>1</v>
      </c>
      <c r="E388" t="s">
        <v>3884</v>
      </c>
      <c r="F388" t="s">
        <v>598</v>
      </c>
    </row>
    <row r="389" spans="1:6" x14ac:dyDescent="0.2">
      <c r="A389" s="2">
        <v>45857</v>
      </c>
      <c r="B389" t="s">
        <v>417</v>
      </c>
      <c r="C389" t="s">
        <v>11</v>
      </c>
      <c r="D389" t="s">
        <v>1</v>
      </c>
      <c r="E389" t="s">
        <v>3884</v>
      </c>
      <c r="F389" t="s">
        <v>598</v>
      </c>
    </row>
    <row r="390" spans="1:6" x14ac:dyDescent="0.2">
      <c r="A390" s="2">
        <v>45857</v>
      </c>
      <c r="B390" t="s">
        <v>417</v>
      </c>
      <c r="C390" t="s">
        <v>11</v>
      </c>
      <c r="D390" t="s">
        <v>1</v>
      </c>
      <c r="E390" t="s">
        <v>3884</v>
      </c>
      <c r="F390" t="s">
        <v>598</v>
      </c>
    </row>
    <row r="391" spans="1:6" x14ac:dyDescent="0.2">
      <c r="A391" s="2">
        <v>45859</v>
      </c>
      <c r="B391" t="s">
        <v>418</v>
      </c>
      <c r="C391" t="s">
        <v>11</v>
      </c>
      <c r="D391" t="s">
        <v>1</v>
      </c>
      <c r="E391" t="s">
        <v>3885</v>
      </c>
      <c r="F391" t="s">
        <v>598</v>
      </c>
    </row>
    <row r="392" spans="1:6" x14ac:dyDescent="0.2">
      <c r="A392" s="2">
        <v>45860</v>
      </c>
      <c r="B392" t="s">
        <v>419</v>
      </c>
      <c r="C392" t="s">
        <v>11</v>
      </c>
      <c r="D392" t="s">
        <v>1</v>
      </c>
      <c r="E392" t="s">
        <v>3886</v>
      </c>
      <c r="F392" t="s">
        <v>598</v>
      </c>
    </row>
    <row r="393" spans="1:6" x14ac:dyDescent="0.2">
      <c r="A393" s="2">
        <v>45861</v>
      </c>
      <c r="B393" t="s">
        <v>420</v>
      </c>
      <c r="C393" t="s">
        <v>11</v>
      </c>
      <c r="D393" t="s">
        <v>1</v>
      </c>
      <c r="E393" t="s">
        <v>3887</v>
      </c>
      <c r="F393" t="s">
        <v>598</v>
      </c>
    </row>
    <row r="394" spans="1:6" x14ac:dyDescent="0.2">
      <c r="A394" s="2">
        <v>45861</v>
      </c>
      <c r="B394" t="s">
        <v>420</v>
      </c>
      <c r="C394" t="s">
        <v>11</v>
      </c>
      <c r="D394" t="s">
        <v>1</v>
      </c>
      <c r="E394" t="s">
        <v>3887</v>
      </c>
      <c r="F394" t="s">
        <v>598</v>
      </c>
    </row>
    <row r="395" spans="1:6" x14ac:dyDescent="0.2">
      <c r="A395" s="2">
        <v>45862</v>
      </c>
      <c r="B395" t="s">
        <v>421</v>
      </c>
      <c r="C395" t="s">
        <v>11</v>
      </c>
      <c r="D395" t="s">
        <v>1</v>
      </c>
      <c r="E395" t="s">
        <v>3888</v>
      </c>
      <c r="F395" t="s">
        <v>598</v>
      </c>
    </row>
    <row r="396" spans="1:6" x14ac:dyDescent="0.2">
      <c r="A396" s="2">
        <v>45863</v>
      </c>
      <c r="B396" t="s">
        <v>422</v>
      </c>
      <c r="C396" t="s">
        <v>11</v>
      </c>
      <c r="D396" t="s">
        <v>1</v>
      </c>
      <c r="E396" t="s">
        <v>3889</v>
      </c>
      <c r="F396" t="s">
        <v>598</v>
      </c>
    </row>
    <row r="397" spans="1:6" x14ac:dyDescent="0.2">
      <c r="A397" s="2">
        <v>45864</v>
      </c>
      <c r="B397" t="s">
        <v>423</v>
      </c>
      <c r="C397" t="s">
        <v>11</v>
      </c>
      <c r="D397" t="s">
        <v>1</v>
      </c>
      <c r="E397" t="s">
        <v>3890</v>
      </c>
      <c r="F397" t="s">
        <v>598</v>
      </c>
    </row>
    <row r="398" spans="1:6" x14ac:dyDescent="0.2">
      <c r="A398" s="2">
        <v>45864</v>
      </c>
      <c r="B398" t="s">
        <v>423</v>
      </c>
      <c r="C398" t="s">
        <v>11</v>
      </c>
      <c r="D398" t="s">
        <v>1</v>
      </c>
      <c r="E398" t="s">
        <v>3890</v>
      </c>
      <c r="F398" t="s">
        <v>598</v>
      </c>
    </row>
    <row r="399" spans="1:6" x14ac:dyDescent="0.2">
      <c r="A399" s="2">
        <v>45866</v>
      </c>
      <c r="B399" t="s">
        <v>424</v>
      </c>
      <c r="C399" t="s">
        <v>11</v>
      </c>
      <c r="D399" t="s">
        <v>1</v>
      </c>
      <c r="E399" t="s">
        <v>3891</v>
      </c>
      <c r="F399" t="s">
        <v>598</v>
      </c>
    </row>
    <row r="400" spans="1:6" x14ac:dyDescent="0.2">
      <c r="A400" s="2">
        <v>45867</v>
      </c>
      <c r="B400" t="s">
        <v>425</v>
      </c>
      <c r="C400" t="s">
        <v>11</v>
      </c>
      <c r="D400" t="s">
        <v>1</v>
      </c>
      <c r="E400" t="s">
        <v>3888</v>
      </c>
      <c r="F400" t="s">
        <v>598</v>
      </c>
    </row>
    <row r="401" spans="1:6" x14ac:dyDescent="0.2">
      <c r="A401" s="2">
        <v>45867</v>
      </c>
      <c r="B401" t="s">
        <v>425</v>
      </c>
      <c r="C401" t="s">
        <v>11</v>
      </c>
      <c r="D401" t="s">
        <v>1</v>
      </c>
      <c r="E401" t="s">
        <v>3888</v>
      </c>
      <c r="F401" t="s">
        <v>598</v>
      </c>
    </row>
    <row r="402" spans="1:6" x14ac:dyDescent="0.2">
      <c r="A402" s="2">
        <v>45868</v>
      </c>
      <c r="B402" t="s">
        <v>426</v>
      </c>
      <c r="C402" t="s">
        <v>11</v>
      </c>
      <c r="D402" t="s">
        <v>1</v>
      </c>
      <c r="E402" t="s">
        <v>3892</v>
      </c>
      <c r="F402" t="s">
        <v>598</v>
      </c>
    </row>
    <row r="403" spans="1:6" x14ac:dyDescent="0.2">
      <c r="A403" s="2">
        <v>45869</v>
      </c>
      <c r="B403" t="s">
        <v>427</v>
      </c>
      <c r="C403" t="s">
        <v>11</v>
      </c>
      <c r="D403" t="s">
        <v>1</v>
      </c>
      <c r="E403" t="s">
        <v>189</v>
      </c>
      <c r="F403" t="s">
        <v>598</v>
      </c>
    </row>
    <row r="404" spans="1:6" x14ac:dyDescent="0.2">
      <c r="A404" s="2">
        <v>45870</v>
      </c>
      <c r="B404" t="s">
        <v>428</v>
      </c>
      <c r="C404" t="s">
        <v>11</v>
      </c>
      <c r="D404" t="s">
        <v>1</v>
      </c>
      <c r="E404" t="s">
        <v>3893</v>
      </c>
      <c r="F404" t="s">
        <v>598</v>
      </c>
    </row>
    <row r="405" spans="1:6" x14ac:dyDescent="0.2">
      <c r="A405" s="2">
        <v>45871</v>
      </c>
      <c r="B405" t="s">
        <v>429</v>
      </c>
      <c r="C405" t="s">
        <v>11</v>
      </c>
      <c r="D405" t="s">
        <v>1</v>
      </c>
      <c r="E405" t="s">
        <v>3894</v>
      </c>
      <c r="F405" t="s">
        <v>598</v>
      </c>
    </row>
    <row r="406" spans="1:6" x14ac:dyDescent="0.2">
      <c r="A406" s="2">
        <v>45871</v>
      </c>
      <c r="B406" t="s">
        <v>429</v>
      </c>
      <c r="C406" t="s">
        <v>11</v>
      </c>
      <c r="D406" t="s">
        <v>1</v>
      </c>
      <c r="E406" t="s">
        <v>3894</v>
      </c>
      <c r="F406" t="s">
        <v>598</v>
      </c>
    </row>
    <row r="407" spans="1:6" x14ac:dyDescent="0.2">
      <c r="A407" s="2">
        <v>45874</v>
      </c>
      <c r="B407" t="s">
        <v>430</v>
      </c>
      <c r="C407" t="s">
        <v>11</v>
      </c>
      <c r="D407" t="s">
        <v>1</v>
      </c>
      <c r="E407" t="s">
        <v>3895</v>
      </c>
      <c r="F407" t="s">
        <v>598</v>
      </c>
    </row>
    <row r="408" spans="1:6" x14ac:dyDescent="0.2">
      <c r="A408" s="2">
        <v>45874</v>
      </c>
      <c r="B408" t="s">
        <v>430</v>
      </c>
      <c r="C408" t="s">
        <v>11</v>
      </c>
      <c r="D408" t="s">
        <v>1</v>
      </c>
      <c r="E408" t="s">
        <v>3895</v>
      </c>
      <c r="F408" t="s">
        <v>598</v>
      </c>
    </row>
    <row r="409" spans="1:6" x14ac:dyDescent="0.2">
      <c r="A409" s="2">
        <v>45875</v>
      </c>
      <c r="B409" t="s">
        <v>431</v>
      </c>
      <c r="C409" t="s">
        <v>11</v>
      </c>
      <c r="D409" t="s">
        <v>1</v>
      </c>
      <c r="E409" t="s">
        <v>3896</v>
      </c>
      <c r="F409" t="s">
        <v>598</v>
      </c>
    </row>
    <row r="410" spans="1:6" x14ac:dyDescent="0.2">
      <c r="A410" s="2">
        <v>45876</v>
      </c>
      <c r="B410" t="s">
        <v>432</v>
      </c>
      <c r="C410" t="s">
        <v>11</v>
      </c>
      <c r="D410" t="s">
        <v>1</v>
      </c>
      <c r="E410" t="s">
        <v>3897</v>
      </c>
      <c r="F410" t="s">
        <v>598</v>
      </c>
    </row>
    <row r="411" spans="1:6" x14ac:dyDescent="0.2">
      <c r="A411" s="2">
        <v>45877</v>
      </c>
      <c r="B411" t="s">
        <v>433</v>
      </c>
      <c r="C411" t="s">
        <v>11</v>
      </c>
      <c r="D411" t="s">
        <v>1</v>
      </c>
      <c r="E411" t="s">
        <v>3898</v>
      </c>
      <c r="F411" t="s">
        <v>598</v>
      </c>
    </row>
    <row r="412" spans="1:6" x14ac:dyDescent="0.2">
      <c r="A412" s="2">
        <v>45877</v>
      </c>
      <c r="B412" t="s">
        <v>433</v>
      </c>
      <c r="C412" t="s">
        <v>11</v>
      </c>
      <c r="D412" t="s">
        <v>1</v>
      </c>
      <c r="E412" t="s">
        <v>3898</v>
      </c>
      <c r="F412" t="s">
        <v>598</v>
      </c>
    </row>
    <row r="413" spans="1:6" x14ac:dyDescent="0.2">
      <c r="A413" s="2">
        <v>45880</v>
      </c>
      <c r="B413" t="s">
        <v>434</v>
      </c>
      <c r="C413" t="s">
        <v>11</v>
      </c>
      <c r="D413" t="s">
        <v>1</v>
      </c>
      <c r="E413" t="s">
        <v>3899</v>
      </c>
      <c r="F413" t="s">
        <v>598</v>
      </c>
    </row>
    <row r="414" spans="1:6" x14ac:dyDescent="0.2">
      <c r="A414" s="2">
        <v>45881</v>
      </c>
      <c r="B414" t="s">
        <v>435</v>
      </c>
      <c r="C414" t="s">
        <v>11</v>
      </c>
      <c r="D414" t="s">
        <v>1</v>
      </c>
      <c r="E414" t="s">
        <v>3900</v>
      </c>
      <c r="F414" t="s">
        <v>598</v>
      </c>
    </row>
    <row r="415" spans="1:6" x14ac:dyDescent="0.2">
      <c r="A415" s="2">
        <v>45881</v>
      </c>
      <c r="B415" t="s">
        <v>435</v>
      </c>
      <c r="C415" t="s">
        <v>11</v>
      </c>
      <c r="D415" t="s">
        <v>1</v>
      </c>
      <c r="E415" t="s">
        <v>3900</v>
      </c>
      <c r="F415" t="s">
        <v>598</v>
      </c>
    </row>
    <row r="416" spans="1:6" x14ac:dyDescent="0.2">
      <c r="A416" s="2">
        <v>45882</v>
      </c>
      <c r="B416" t="s">
        <v>436</v>
      </c>
      <c r="C416" t="s">
        <v>11</v>
      </c>
      <c r="D416" t="s">
        <v>1</v>
      </c>
      <c r="E416" t="s">
        <v>3901</v>
      </c>
      <c r="F416" t="s">
        <v>598</v>
      </c>
    </row>
    <row r="417" spans="1:6" x14ac:dyDescent="0.2">
      <c r="A417" s="2">
        <v>45882</v>
      </c>
      <c r="B417" t="s">
        <v>436</v>
      </c>
      <c r="C417" t="s">
        <v>11</v>
      </c>
      <c r="D417" t="s">
        <v>1</v>
      </c>
      <c r="E417" t="s">
        <v>3901</v>
      </c>
      <c r="F417" t="s">
        <v>598</v>
      </c>
    </row>
    <row r="418" spans="1:6" x14ac:dyDescent="0.2">
      <c r="A418" s="2">
        <v>45883</v>
      </c>
      <c r="B418" t="s">
        <v>437</v>
      </c>
      <c r="C418" t="s">
        <v>11</v>
      </c>
      <c r="D418" t="s">
        <v>1</v>
      </c>
      <c r="E418" t="s">
        <v>3902</v>
      </c>
      <c r="F418" t="s">
        <v>598</v>
      </c>
    </row>
    <row r="419" spans="1:6" x14ac:dyDescent="0.2">
      <c r="A419" s="2">
        <v>45883</v>
      </c>
      <c r="B419" t="s">
        <v>437</v>
      </c>
      <c r="C419" t="s">
        <v>11</v>
      </c>
      <c r="D419" t="s">
        <v>1</v>
      </c>
      <c r="E419" t="s">
        <v>3902</v>
      </c>
      <c r="F419" t="s">
        <v>598</v>
      </c>
    </row>
    <row r="420" spans="1:6" x14ac:dyDescent="0.2">
      <c r="A420" s="2">
        <v>45884</v>
      </c>
      <c r="B420" t="s">
        <v>438</v>
      </c>
      <c r="C420" t="s">
        <v>11</v>
      </c>
      <c r="D420" t="s">
        <v>1</v>
      </c>
      <c r="E420" t="s">
        <v>3884</v>
      </c>
      <c r="F420" t="s">
        <v>598</v>
      </c>
    </row>
    <row r="421" spans="1:6" x14ac:dyDescent="0.2">
      <c r="A421" s="2">
        <v>45884</v>
      </c>
      <c r="B421" t="s">
        <v>438</v>
      </c>
      <c r="C421" t="s">
        <v>11</v>
      </c>
      <c r="D421" t="s">
        <v>1</v>
      </c>
      <c r="E421" t="s">
        <v>3884</v>
      </c>
      <c r="F421" t="s">
        <v>598</v>
      </c>
    </row>
    <row r="422" spans="1:6" x14ac:dyDescent="0.2">
      <c r="A422" s="2">
        <v>45887</v>
      </c>
      <c r="B422" t="s">
        <v>439</v>
      </c>
      <c r="C422" t="s">
        <v>11</v>
      </c>
      <c r="D422" t="s">
        <v>1</v>
      </c>
      <c r="E422" t="s">
        <v>3903</v>
      </c>
      <c r="F422" t="s">
        <v>598</v>
      </c>
    </row>
    <row r="423" spans="1:6" x14ac:dyDescent="0.2">
      <c r="A423" s="2">
        <v>45887</v>
      </c>
      <c r="B423" t="s">
        <v>439</v>
      </c>
      <c r="C423" t="s">
        <v>11</v>
      </c>
      <c r="D423" t="s">
        <v>1</v>
      </c>
      <c r="E423" t="s">
        <v>3903</v>
      </c>
      <c r="F423" t="s">
        <v>598</v>
      </c>
    </row>
    <row r="424" spans="1:6" x14ac:dyDescent="0.2">
      <c r="A424" s="2">
        <v>45888</v>
      </c>
      <c r="B424" t="s">
        <v>440</v>
      </c>
      <c r="C424" t="s">
        <v>11</v>
      </c>
      <c r="D424" t="s">
        <v>1</v>
      </c>
      <c r="E424" t="s">
        <v>3904</v>
      </c>
      <c r="F424" t="s">
        <v>598</v>
      </c>
    </row>
    <row r="425" spans="1:6" x14ac:dyDescent="0.2">
      <c r="A425" s="2">
        <v>45888</v>
      </c>
      <c r="B425" t="s">
        <v>440</v>
      </c>
      <c r="C425" t="s">
        <v>11</v>
      </c>
      <c r="D425" t="s">
        <v>1</v>
      </c>
      <c r="E425" t="s">
        <v>3904</v>
      </c>
      <c r="F425" t="s">
        <v>598</v>
      </c>
    </row>
    <row r="426" spans="1:6" x14ac:dyDescent="0.2">
      <c r="A426" s="2">
        <v>45889</v>
      </c>
      <c r="B426" t="s">
        <v>441</v>
      </c>
      <c r="C426" t="s">
        <v>11</v>
      </c>
      <c r="D426" t="s">
        <v>1</v>
      </c>
      <c r="E426" t="s">
        <v>3905</v>
      </c>
      <c r="F426" t="s">
        <v>598</v>
      </c>
    </row>
    <row r="427" spans="1:6" x14ac:dyDescent="0.2">
      <c r="A427" s="2">
        <v>45890</v>
      </c>
      <c r="B427" t="s">
        <v>442</v>
      </c>
      <c r="C427" t="s">
        <v>11</v>
      </c>
      <c r="D427" t="s">
        <v>1</v>
      </c>
      <c r="E427" t="s">
        <v>3906</v>
      </c>
      <c r="F427" t="s">
        <v>598</v>
      </c>
    </row>
    <row r="428" spans="1:6" x14ac:dyDescent="0.2">
      <c r="A428" s="2">
        <v>45890</v>
      </c>
      <c r="B428" t="s">
        <v>442</v>
      </c>
      <c r="C428" t="s">
        <v>11</v>
      </c>
      <c r="D428" t="s">
        <v>1</v>
      </c>
      <c r="E428" t="s">
        <v>3906</v>
      </c>
      <c r="F428" t="s">
        <v>598</v>
      </c>
    </row>
    <row r="429" spans="1:6" x14ac:dyDescent="0.2">
      <c r="A429" s="2">
        <v>45891</v>
      </c>
      <c r="B429" t="s">
        <v>443</v>
      </c>
      <c r="C429" t="s">
        <v>11</v>
      </c>
      <c r="D429" t="s">
        <v>1</v>
      </c>
      <c r="E429" t="s">
        <v>3907</v>
      </c>
      <c r="F429" t="s">
        <v>598</v>
      </c>
    </row>
    <row r="430" spans="1:6" x14ac:dyDescent="0.2">
      <c r="A430" s="2">
        <v>45894</v>
      </c>
      <c r="B430" t="s">
        <v>444</v>
      </c>
      <c r="C430" t="s">
        <v>11</v>
      </c>
      <c r="D430" t="s">
        <v>1</v>
      </c>
      <c r="E430" t="s">
        <v>3908</v>
      </c>
      <c r="F430" t="s">
        <v>598</v>
      </c>
    </row>
    <row r="431" spans="1:6" x14ac:dyDescent="0.2">
      <c r="A431" s="2">
        <v>45894</v>
      </c>
      <c r="B431" t="s">
        <v>444</v>
      </c>
      <c r="C431" t="s">
        <v>11</v>
      </c>
      <c r="D431" t="s">
        <v>1</v>
      </c>
      <c r="E431" t="s">
        <v>3908</v>
      </c>
      <c r="F431" t="s">
        <v>598</v>
      </c>
    </row>
    <row r="432" spans="1:6" x14ac:dyDescent="0.2">
      <c r="A432" s="2">
        <v>45895</v>
      </c>
      <c r="B432" t="s">
        <v>445</v>
      </c>
      <c r="C432" t="s">
        <v>11</v>
      </c>
      <c r="D432" t="s">
        <v>1</v>
      </c>
      <c r="E432" t="s">
        <v>3909</v>
      </c>
      <c r="F432" t="s">
        <v>598</v>
      </c>
    </row>
    <row r="433" spans="1:6" x14ac:dyDescent="0.2">
      <c r="A433" s="2">
        <v>45895</v>
      </c>
      <c r="B433" t="s">
        <v>445</v>
      </c>
      <c r="C433" t="s">
        <v>11</v>
      </c>
      <c r="D433" t="s">
        <v>1</v>
      </c>
      <c r="E433" t="s">
        <v>3909</v>
      </c>
      <c r="F433" t="s">
        <v>598</v>
      </c>
    </row>
    <row r="434" spans="1:6" x14ac:dyDescent="0.2">
      <c r="A434" s="2">
        <v>45896</v>
      </c>
      <c r="B434" t="s">
        <v>446</v>
      </c>
      <c r="C434" t="s">
        <v>11</v>
      </c>
      <c r="D434" t="s">
        <v>1</v>
      </c>
      <c r="E434" t="s">
        <v>3910</v>
      </c>
      <c r="F434" t="s">
        <v>598</v>
      </c>
    </row>
    <row r="435" spans="1:6" x14ac:dyDescent="0.2">
      <c r="A435" s="2">
        <v>45902</v>
      </c>
      <c r="B435" t="s">
        <v>447</v>
      </c>
      <c r="C435" t="s">
        <v>11</v>
      </c>
      <c r="D435" t="s">
        <v>1</v>
      </c>
      <c r="E435" t="s">
        <v>3911</v>
      </c>
      <c r="F435" t="s">
        <v>598</v>
      </c>
    </row>
    <row r="436" spans="1:6" x14ac:dyDescent="0.2">
      <c r="A436" s="2">
        <v>45903</v>
      </c>
      <c r="B436" t="s">
        <v>448</v>
      </c>
      <c r="C436" t="s">
        <v>11</v>
      </c>
      <c r="D436" t="s">
        <v>1</v>
      </c>
      <c r="E436" t="s">
        <v>3912</v>
      </c>
      <c r="F436" t="s">
        <v>598</v>
      </c>
    </row>
    <row r="437" spans="1:6" x14ac:dyDescent="0.2">
      <c r="A437" s="2">
        <v>45903</v>
      </c>
      <c r="B437" t="s">
        <v>448</v>
      </c>
      <c r="C437" t="s">
        <v>11</v>
      </c>
      <c r="D437" t="s">
        <v>1</v>
      </c>
      <c r="E437" t="s">
        <v>3912</v>
      </c>
      <c r="F437" t="s">
        <v>598</v>
      </c>
    </row>
    <row r="438" spans="1:6" x14ac:dyDescent="0.2">
      <c r="A438" s="2">
        <v>45904</v>
      </c>
      <c r="B438" t="s">
        <v>449</v>
      </c>
      <c r="C438" t="s">
        <v>11</v>
      </c>
      <c r="D438" t="s">
        <v>1</v>
      </c>
      <c r="E438" t="s">
        <v>3913</v>
      </c>
      <c r="F438" t="s">
        <v>598</v>
      </c>
    </row>
    <row r="439" spans="1:6" x14ac:dyDescent="0.2">
      <c r="A439" s="2">
        <v>45905</v>
      </c>
      <c r="B439" t="s">
        <v>450</v>
      </c>
      <c r="C439" t="s">
        <v>11</v>
      </c>
      <c r="D439" t="s">
        <v>1</v>
      </c>
      <c r="E439" t="s">
        <v>3914</v>
      </c>
      <c r="F439" t="s">
        <v>598</v>
      </c>
    </row>
    <row r="440" spans="1:6" x14ac:dyDescent="0.2">
      <c r="A440" s="2">
        <v>45906</v>
      </c>
      <c r="B440" t="s">
        <v>451</v>
      </c>
      <c r="C440" t="s">
        <v>11</v>
      </c>
      <c r="D440" t="s">
        <v>1</v>
      </c>
      <c r="E440" t="s">
        <v>3915</v>
      </c>
      <c r="F440" t="s">
        <v>598</v>
      </c>
    </row>
    <row r="441" spans="1:6" x14ac:dyDescent="0.2">
      <c r="A441" s="2">
        <v>45906</v>
      </c>
      <c r="B441" t="s">
        <v>451</v>
      </c>
      <c r="C441" t="s">
        <v>11</v>
      </c>
      <c r="D441" t="s">
        <v>1</v>
      </c>
      <c r="E441" t="s">
        <v>3915</v>
      </c>
      <c r="F441" t="s">
        <v>598</v>
      </c>
    </row>
    <row r="442" spans="1:6" x14ac:dyDescent="0.2">
      <c r="A442" s="2">
        <v>45908</v>
      </c>
      <c r="B442" t="s">
        <v>452</v>
      </c>
      <c r="C442" t="s">
        <v>11</v>
      </c>
      <c r="D442" t="s">
        <v>1</v>
      </c>
      <c r="E442" t="s">
        <v>3916</v>
      </c>
      <c r="F442" t="s">
        <v>598</v>
      </c>
    </row>
    <row r="443" spans="1:6" x14ac:dyDescent="0.2">
      <c r="A443" s="2">
        <v>45908</v>
      </c>
      <c r="B443" t="s">
        <v>452</v>
      </c>
      <c r="C443" t="s">
        <v>11</v>
      </c>
      <c r="D443" t="s">
        <v>1</v>
      </c>
      <c r="E443" t="s">
        <v>3916</v>
      </c>
      <c r="F443" t="s">
        <v>598</v>
      </c>
    </row>
    <row r="444" spans="1:6" x14ac:dyDescent="0.2">
      <c r="A444" s="2">
        <v>45910</v>
      </c>
      <c r="B444" t="s">
        <v>453</v>
      </c>
      <c r="C444" t="s">
        <v>11</v>
      </c>
      <c r="D444" t="s">
        <v>1</v>
      </c>
      <c r="E444" t="s">
        <v>3917</v>
      </c>
      <c r="F444" t="s">
        <v>598</v>
      </c>
    </row>
    <row r="445" spans="1:6" x14ac:dyDescent="0.2">
      <c r="A445" s="2">
        <v>45910</v>
      </c>
      <c r="B445" t="s">
        <v>453</v>
      </c>
      <c r="C445" t="s">
        <v>11</v>
      </c>
      <c r="D445" t="s">
        <v>1</v>
      </c>
      <c r="E445" t="s">
        <v>3917</v>
      </c>
      <c r="F445" t="s">
        <v>598</v>
      </c>
    </row>
    <row r="446" spans="1:6" x14ac:dyDescent="0.2">
      <c r="A446" s="2">
        <v>45912</v>
      </c>
      <c r="B446" t="s">
        <v>454</v>
      </c>
      <c r="C446" t="s">
        <v>11</v>
      </c>
      <c r="D446" t="s">
        <v>1</v>
      </c>
      <c r="E446" t="s">
        <v>3918</v>
      </c>
      <c r="F446" t="s">
        <v>598</v>
      </c>
    </row>
    <row r="447" spans="1:6" x14ac:dyDescent="0.2">
      <c r="A447" s="2">
        <v>45913</v>
      </c>
      <c r="B447" t="s">
        <v>455</v>
      </c>
      <c r="C447" t="s">
        <v>11</v>
      </c>
      <c r="D447" t="s">
        <v>1</v>
      </c>
      <c r="E447" t="s">
        <v>3919</v>
      </c>
      <c r="F447" t="s">
        <v>598</v>
      </c>
    </row>
    <row r="448" spans="1:6" x14ac:dyDescent="0.2">
      <c r="A448" s="2">
        <v>45916</v>
      </c>
      <c r="B448" t="s">
        <v>456</v>
      </c>
      <c r="C448" t="s">
        <v>11</v>
      </c>
      <c r="D448" t="s">
        <v>1</v>
      </c>
      <c r="E448" t="s">
        <v>3920</v>
      </c>
      <c r="F448" t="s">
        <v>598</v>
      </c>
    </row>
    <row r="449" spans="1:6" x14ac:dyDescent="0.2">
      <c r="A449" s="2">
        <v>45917</v>
      </c>
      <c r="B449" t="s">
        <v>457</v>
      </c>
      <c r="C449" t="s">
        <v>11</v>
      </c>
      <c r="D449" t="s">
        <v>1</v>
      </c>
      <c r="E449" t="s">
        <v>3849</v>
      </c>
      <c r="F449" t="s">
        <v>598</v>
      </c>
    </row>
    <row r="450" spans="1:6" x14ac:dyDescent="0.2">
      <c r="A450" s="2">
        <v>45918</v>
      </c>
      <c r="B450" t="s">
        <v>458</v>
      </c>
      <c r="C450" t="s">
        <v>11</v>
      </c>
      <c r="D450" t="s">
        <v>1</v>
      </c>
      <c r="E450" t="s">
        <v>3921</v>
      </c>
      <c r="F450" t="s">
        <v>598</v>
      </c>
    </row>
    <row r="451" spans="1:6" x14ac:dyDescent="0.2">
      <c r="A451" s="2">
        <v>45918</v>
      </c>
      <c r="B451" t="s">
        <v>458</v>
      </c>
      <c r="C451" t="s">
        <v>11</v>
      </c>
      <c r="D451" t="s">
        <v>1</v>
      </c>
      <c r="E451" t="s">
        <v>3921</v>
      </c>
      <c r="F451" t="s">
        <v>598</v>
      </c>
    </row>
    <row r="452" spans="1:6" x14ac:dyDescent="0.2">
      <c r="A452" s="2">
        <v>45920</v>
      </c>
      <c r="B452" t="s">
        <v>459</v>
      </c>
      <c r="C452" t="s">
        <v>11</v>
      </c>
      <c r="D452" t="s">
        <v>1</v>
      </c>
      <c r="E452" t="s">
        <v>3922</v>
      </c>
      <c r="F452" t="s">
        <v>598</v>
      </c>
    </row>
    <row r="453" spans="1:6" x14ac:dyDescent="0.2">
      <c r="A453" s="2">
        <v>45920</v>
      </c>
      <c r="B453" t="s">
        <v>459</v>
      </c>
      <c r="C453" t="s">
        <v>11</v>
      </c>
      <c r="D453" t="s">
        <v>1</v>
      </c>
      <c r="E453" t="s">
        <v>3922</v>
      </c>
      <c r="F453" t="s">
        <v>598</v>
      </c>
    </row>
    <row r="454" spans="1:6" x14ac:dyDescent="0.2">
      <c r="A454" s="2">
        <v>45922</v>
      </c>
      <c r="B454" t="s">
        <v>460</v>
      </c>
      <c r="C454" t="s">
        <v>11</v>
      </c>
      <c r="D454" t="s">
        <v>1</v>
      </c>
      <c r="E454" t="s">
        <v>3923</v>
      </c>
      <c r="F454" t="s">
        <v>598</v>
      </c>
    </row>
    <row r="455" spans="1:6" x14ac:dyDescent="0.2">
      <c r="A455" s="2">
        <v>45923</v>
      </c>
      <c r="B455" t="s">
        <v>461</v>
      </c>
      <c r="C455" t="s">
        <v>11</v>
      </c>
      <c r="D455" t="s">
        <v>1</v>
      </c>
      <c r="E455" t="s">
        <v>3924</v>
      </c>
      <c r="F455" t="s">
        <v>598</v>
      </c>
    </row>
    <row r="456" spans="1:6" x14ac:dyDescent="0.2">
      <c r="A456" s="2">
        <v>45923</v>
      </c>
      <c r="B456" t="s">
        <v>461</v>
      </c>
      <c r="C456" t="s">
        <v>11</v>
      </c>
      <c r="D456" t="s">
        <v>1</v>
      </c>
      <c r="E456" t="s">
        <v>3924</v>
      </c>
      <c r="F456" t="s">
        <v>598</v>
      </c>
    </row>
    <row r="457" spans="1:6" x14ac:dyDescent="0.2">
      <c r="A457" s="2">
        <v>45925</v>
      </c>
      <c r="B457" t="s">
        <v>462</v>
      </c>
      <c r="C457" t="s">
        <v>11</v>
      </c>
      <c r="D457" t="s">
        <v>1</v>
      </c>
      <c r="E457" t="s">
        <v>3925</v>
      </c>
      <c r="F457" t="s">
        <v>598</v>
      </c>
    </row>
    <row r="458" spans="1:6" x14ac:dyDescent="0.2">
      <c r="A458" s="2">
        <v>45925</v>
      </c>
      <c r="B458" t="s">
        <v>462</v>
      </c>
      <c r="C458" t="s">
        <v>11</v>
      </c>
      <c r="D458" t="s">
        <v>1</v>
      </c>
      <c r="E458" t="s">
        <v>3925</v>
      </c>
      <c r="F458" t="s">
        <v>598</v>
      </c>
    </row>
    <row r="459" spans="1:6" x14ac:dyDescent="0.2">
      <c r="A459" s="2">
        <v>45926</v>
      </c>
      <c r="B459" t="s">
        <v>463</v>
      </c>
      <c r="C459" t="s">
        <v>11</v>
      </c>
      <c r="D459" t="s">
        <v>1</v>
      </c>
      <c r="E459" t="s">
        <v>3926</v>
      </c>
      <c r="F459" t="s">
        <v>598</v>
      </c>
    </row>
    <row r="460" spans="1:6" x14ac:dyDescent="0.2">
      <c r="A460" s="2">
        <v>45932</v>
      </c>
      <c r="B460" t="s">
        <v>464</v>
      </c>
      <c r="C460" t="s">
        <v>11</v>
      </c>
      <c r="D460" t="s">
        <v>1</v>
      </c>
      <c r="E460" t="s">
        <v>3927</v>
      </c>
      <c r="F460" t="s">
        <v>598</v>
      </c>
    </row>
    <row r="461" spans="1:6" x14ac:dyDescent="0.2">
      <c r="A461" s="2">
        <v>45932</v>
      </c>
      <c r="B461" t="s">
        <v>464</v>
      </c>
      <c r="C461" t="s">
        <v>11</v>
      </c>
      <c r="D461" t="s">
        <v>1</v>
      </c>
      <c r="E461" t="s">
        <v>3927</v>
      </c>
      <c r="F461" t="s">
        <v>598</v>
      </c>
    </row>
    <row r="462" spans="1:6" x14ac:dyDescent="0.2">
      <c r="A462" s="2">
        <v>45933</v>
      </c>
      <c r="B462" t="s">
        <v>465</v>
      </c>
      <c r="C462" t="s">
        <v>11</v>
      </c>
      <c r="D462" t="s">
        <v>1</v>
      </c>
      <c r="E462" t="s">
        <v>92</v>
      </c>
      <c r="F462" t="s">
        <v>598</v>
      </c>
    </row>
    <row r="463" spans="1:6" x14ac:dyDescent="0.2">
      <c r="A463" s="2">
        <v>45936</v>
      </c>
      <c r="B463" t="s">
        <v>466</v>
      </c>
      <c r="C463" t="s">
        <v>11</v>
      </c>
      <c r="D463" t="s">
        <v>1</v>
      </c>
      <c r="E463" t="s">
        <v>3928</v>
      </c>
      <c r="F463" t="s">
        <v>598</v>
      </c>
    </row>
    <row r="464" spans="1:6" x14ac:dyDescent="0.2">
      <c r="A464" s="2">
        <v>45936</v>
      </c>
      <c r="B464" t="s">
        <v>466</v>
      </c>
      <c r="C464" t="s">
        <v>11</v>
      </c>
      <c r="D464" t="s">
        <v>1</v>
      </c>
      <c r="E464" t="s">
        <v>3928</v>
      </c>
      <c r="F464" t="s">
        <v>598</v>
      </c>
    </row>
    <row r="465" spans="1:6" x14ac:dyDescent="0.2">
      <c r="A465" s="2">
        <v>45937</v>
      </c>
      <c r="B465" t="s">
        <v>467</v>
      </c>
      <c r="C465" t="s">
        <v>11</v>
      </c>
      <c r="D465" t="s">
        <v>1</v>
      </c>
      <c r="E465" t="s">
        <v>3838</v>
      </c>
      <c r="F465" t="s">
        <v>598</v>
      </c>
    </row>
    <row r="466" spans="1:6" x14ac:dyDescent="0.2">
      <c r="A466" s="2">
        <v>45938</v>
      </c>
      <c r="B466" t="s">
        <v>468</v>
      </c>
      <c r="C466" t="s">
        <v>11</v>
      </c>
      <c r="D466" t="s">
        <v>1</v>
      </c>
      <c r="E466" t="s">
        <v>3929</v>
      </c>
      <c r="F466" t="s">
        <v>598</v>
      </c>
    </row>
    <row r="467" spans="1:6" x14ac:dyDescent="0.2">
      <c r="A467" s="2">
        <v>45938</v>
      </c>
      <c r="B467" t="s">
        <v>468</v>
      </c>
      <c r="C467" t="s">
        <v>11</v>
      </c>
      <c r="D467" t="s">
        <v>1</v>
      </c>
      <c r="E467" t="s">
        <v>3929</v>
      </c>
      <c r="F467" t="s">
        <v>598</v>
      </c>
    </row>
    <row r="468" spans="1:6" x14ac:dyDescent="0.2">
      <c r="A468" s="2">
        <v>45939</v>
      </c>
      <c r="B468" t="s">
        <v>469</v>
      </c>
      <c r="C468" t="s">
        <v>11</v>
      </c>
      <c r="D468" t="s">
        <v>1</v>
      </c>
      <c r="E468" t="s">
        <v>3930</v>
      </c>
      <c r="F468" t="s">
        <v>598</v>
      </c>
    </row>
    <row r="469" spans="1:6" x14ac:dyDescent="0.2">
      <c r="A469" s="2">
        <v>45940</v>
      </c>
      <c r="B469" t="s">
        <v>470</v>
      </c>
      <c r="C469" t="s">
        <v>11</v>
      </c>
      <c r="D469" t="s">
        <v>1</v>
      </c>
      <c r="E469" t="s">
        <v>3931</v>
      </c>
      <c r="F469" t="s">
        <v>598</v>
      </c>
    </row>
    <row r="470" spans="1:6" x14ac:dyDescent="0.2">
      <c r="A470" s="2">
        <v>45940</v>
      </c>
      <c r="B470" t="s">
        <v>470</v>
      </c>
      <c r="C470" t="s">
        <v>11</v>
      </c>
      <c r="D470" t="s">
        <v>1</v>
      </c>
      <c r="E470" t="s">
        <v>3931</v>
      </c>
      <c r="F470" t="s">
        <v>598</v>
      </c>
    </row>
    <row r="471" spans="1:6" x14ac:dyDescent="0.2">
      <c r="A471" s="2">
        <v>45943</v>
      </c>
      <c r="B471" t="s">
        <v>471</v>
      </c>
      <c r="C471" t="s">
        <v>11</v>
      </c>
      <c r="D471" t="s">
        <v>1</v>
      </c>
      <c r="E471" t="s">
        <v>3932</v>
      </c>
      <c r="F471" t="s">
        <v>598</v>
      </c>
    </row>
    <row r="472" spans="1:6" x14ac:dyDescent="0.2">
      <c r="A472" s="2">
        <v>45944</v>
      </c>
      <c r="B472" t="s">
        <v>472</v>
      </c>
      <c r="C472" t="s">
        <v>11</v>
      </c>
      <c r="D472" t="s">
        <v>1</v>
      </c>
      <c r="E472" t="s">
        <v>3933</v>
      </c>
      <c r="F472" t="s">
        <v>598</v>
      </c>
    </row>
    <row r="473" spans="1:6" x14ac:dyDescent="0.2">
      <c r="A473" s="2">
        <v>45944</v>
      </c>
      <c r="B473" t="s">
        <v>472</v>
      </c>
      <c r="C473" t="s">
        <v>11</v>
      </c>
      <c r="D473" t="s">
        <v>1</v>
      </c>
      <c r="E473" t="s">
        <v>3933</v>
      </c>
      <c r="F473" t="s">
        <v>598</v>
      </c>
    </row>
    <row r="474" spans="1:6" x14ac:dyDescent="0.2">
      <c r="A474" s="2">
        <v>45945</v>
      </c>
      <c r="B474" t="s">
        <v>473</v>
      </c>
      <c r="C474" t="s">
        <v>12</v>
      </c>
      <c r="D474" t="s">
        <v>1</v>
      </c>
      <c r="E474" t="s">
        <v>3934</v>
      </c>
      <c r="F474" t="s">
        <v>598</v>
      </c>
    </row>
    <row r="475" spans="1:6" x14ac:dyDescent="0.2">
      <c r="A475" s="2">
        <v>45946</v>
      </c>
      <c r="B475" t="s">
        <v>474</v>
      </c>
      <c r="C475" t="s">
        <v>11</v>
      </c>
      <c r="D475" t="s">
        <v>1</v>
      </c>
      <c r="E475" t="s">
        <v>3935</v>
      </c>
      <c r="F475" t="s">
        <v>598</v>
      </c>
    </row>
    <row r="476" spans="1:6" x14ac:dyDescent="0.2">
      <c r="A476" s="2">
        <v>45947</v>
      </c>
      <c r="B476" t="s">
        <v>475</v>
      </c>
      <c r="C476" t="s">
        <v>11</v>
      </c>
      <c r="D476" t="s">
        <v>1</v>
      </c>
      <c r="E476" t="s">
        <v>3936</v>
      </c>
      <c r="F476" t="s">
        <v>598</v>
      </c>
    </row>
    <row r="477" spans="1:6" x14ac:dyDescent="0.2">
      <c r="A477" s="2">
        <v>45947</v>
      </c>
      <c r="B477" t="s">
        <v>475</v>
      </c>
      <c r="C477" t="s">
        <v>11</v>
      </c>
      <c r="D477" t="s">
        <v>1</v>
      </c>
      <c r="E477" t="s">
        <v>3936</v>
      </c>
      <c r="F477" t="s">
        <v>598</v>
      </c>
    </row>
    <row r="478" spans="1:6" x14ac:dyDescent="0.2">
      <c r="A478" s="2">
        <v>45950</v>
      </c>
      <c r="B478" t="s">
        <v>476</v>
      </c>
      <c r="C478" t="s">
        <v>11</v>
      </c>
      <c r="D478" t="s">
        <v>1</v>
      </c>
      <c r="E478" t="s">
        <v>3937</v>
      </c>
      <c r="F478" t="s">
        <v>598</v>
      </c>
    </row>
    <row r="479" spans="1:6" x14ac:dyDescent="0.2">
      <c r="A479" s="2">
        <v>45951</v>
      </c>
      <c r="B479" t="s">
        <v>477</v>
      </c>
      <c r="C479" t="s">
        <v>11</v>
      </c>
      <c r="D479" t="s">
        <v>1</v>
      </c>
      <c r="E479" t="s">
        <v>3837</v>
      </c>
      <c r="F479" t="s">
        <v>598</v>
      </c>
    </row>
    <row r="480" spans="1:6" x14ac:dyDescent="0.2">
      <c r="A480" s="2">
        <v>45952</v>
      </c>
      <c r="B480" t="s">
        <v>478</v>
      </c>
      <c r="C480" t="s">
        <v>11</v>
      </c>
      <c r="D480" t="s">
        <v>1</v>
      </c>
      <c r="E480" t="s">
        <v>3938</v>
      </c>
      <c r="F480" t="s">
        <v>598</v>
      </c>
    </row>
    <row r="481" spans="1:6" x14ac:dyDescent="0.2">
      <c r="A481" s="2">
        <v>45953</v>
      </c>
      <c r="B481" t="s">
        <v>479</v>
      </c>
      <c r="C481" t="s">
        <v>11</v>
      </c>
      <c r="D481" t="s">
        <v>1</v>
      </c>
      <c r="E481" t="s">
        <v>3939</v>
      </c>
      <c r="F481" t="s">
        <v>598</v>
      </c>
    </row>
    <row r="482" spans="1:6" x14ac:dyDescent="0.2">
      <c r="A482" s="2">
        <v>45953</v>
      </c>
      <c r="B482" t="s">
        <v>479</v>
      </c>
      <c r="C482" t="s">
        <v>11</v>
      </c>
      <c r="D482" t="s">
        <v>1</v>
      </c>
      <c r="E482" t="s">
        <v>3939</v>
      </c>
      <c r="F482" t="s">
        <v>598</v>
      </c>
    </row>
    <row r="483" spans="1:6" x14ac:dyDescent="0.2">
      <c r="A483" s="2">
        <v>45954</v>
      </c>
      <c r="B483" t="s">
        <v>480</v>
      </c>
      <c r="C483" t="s">
        <v>11</v>
      </c>
      <c r="D483" t="s">
        <v>1</v>
      </c>
      <c r="E483" t="s">
        <v>3940</v>
      </c>
      <c r="F483" t="s">
        <v>598</v>
      </c>
    </row>
    <row r="484" spans="1:6" x14ac:dyDescent="0.2">
      <c r="A484" s="2">
        <v>45954</v>
      </c>
      <c r="B484" t="s">
        <v>480</v>
      </c>
      <c r="C484" t="s">
        <v>11</v>
      </c>
      <c r="D484" t="s">
        <v>1</v>
      </c>
      <c r="E484" t="s">
        <v>3940</v>
      </c>
      <c r="F484" t="s">
        <v>598</v>
      </c>
    </row>
    <row r="485" spans="1:6" x14ac:dyDescent="0.2">
      <c r="A485" s="2">
        <v>45957</v>
      </c>
      <c r="B485" t="s">
        <v>481</v>
      </c>
      <c r="C485" t="s">
        <v>11</v>
      </c>
      <c r="D485" t="s">
        <v>1</v>
      </c>
      <c r="E485" t="s">
        <v>3941</v>
      </c>
      <c r="F485" t="s">
        <v>598</v>
      </c>
    </row>
    <row r="486" spans="1:6" x14ac:dyDescent="0.2">
      <c r="A486" s="2">
        <v>45957</v>
      </c>
      <c r="B486" t="s">
        <v>481</v>
      </c>
      <c r="C486" t="s">
        <v>11</v>
      </c>
      <c r="D486" t="s">
        <v>1</v>
      </c>
      <c r="E486" t="s">
        <v>3941</v>
      </c>
      <c r="F486" t="s">
        <v>598</v>
      </c>
    </row>
    <row r="487" spans="1:6" x14ac:dyDescent="0.2">
      <c r="A487" s="2">
        <v>45958</v>
      </c>
      <c r="B487" t="s">
        <v>482</v>
      </c>
      <c r="C487" t="s">
        <v>11</v>
      </c>
      <c r="D487" t="s">
        <v>1</v>
      </c>
      <c r="E487" t="s">
        <v>3942</v>
      </c>
      <c r="F487" t="s">
        <v>598</v>
      </c>
    </row>
    <row r="488" spans="1:6" x14ac:dyDescent="0.2">
      <c r="A488" s="2">
        <v>45959</v>
      </c>
      <c r="B488" t="s">
        <v>483</v>
      </c>
      <c r="C488" t="s">
        <v>11</v>
      </c>
      <c r="D488" t="s">
        <v>1</v>
      </c>
      <c r="E488" t="s">
        <v>3943</v>
      </c>
      <c r="F488" t="s">
        <v>598</v>
      </c>
    </row>
    <row r="489" spans="1:6" x14ac:dyDescent="0.2">
      <c r="A489" s="2">
        <v>45960</v>
      </c>
      <c r="B489" t="s">
        <v>484</v>
      </c>
      <c r="C489" t="s">
        <v>11</v>
      </c>
      <c r="D489" t="s">
        <v>1</v>
      </c>
      <c r="E489" t="s">
        <v>3944</v>
      </c>
      <c r="F489" t="s">
        <v>598</v>
      </c>
    </row>
    <row r="490" spans="1:6" x14ac:dyDescent="0.2">
      <c r="A490" s="2">
        <v>45961</v>
      </c>
      <c r="B490" t="s">
        <v>485</v>
      </c>
      <c r="C490" t="s">
        <v>11</v>
      </c>
      <c r="D490" t="s">
        <v>1</v>
      </c>
      <c r="E490" t="s">
        <v>3945</v>
      </c>
      <c r="F490" t="s">
        <v>598</v>
      </c>
    </row>
    <row r="491" spans="1:6" x14ac:dyDescent="0.2">
      <c r="A491" s="2">
        <v>45961</v>
      </c>
      <c r="B491" t="s">
        <v>485</v>
      </c>
      <c r="C491" t="s">
        <v>11</v>
      </c>
      <c r="D491" t="s">
        <v>1</v>
      </c>
      <c r="E491" t="s">
        <v>3945</v>
      </c>
      <c r="F491" t="s">
        <v>598</v>
      </c>
    </row>
    <row r="492" spans="1:6" x14ac:dyDescent="0.2">
      <c r="A492" s="2">
        <v>45965</v>
      </c>
      <c r="B492" t="s">
        <v>486</v>
      </c>
      <c r="C492" t="s">
        <v>11</v>
      </c>
      <c r="D492" t="s">
        <v>1</v>
      </c>
      <c r="E492" t="s">
        <v>3946</v>
      </c>
      <c r="F492" t="s">
        <v>598</v>
      </c>
    </row>
    <row r="493" spans="1:6" x14ac:dyDescent="0.2">
      <c r="A493" s="2">
        <v>45965</v>
      </c>
      <c r="B493" t="s">
        <v>486</v>
      </c>
      <c r="C493" t="s">
        <v>11</v>
      </c>
      <c r="D493" t="s">
        <v>1</v>
      </c>
      <c r="E493" t="s">
        <v>3946</v>
      </c>
      <c r="F493" t="s">
        <v>598</v>
      </c>
    </row>
    <row r="494" spans="1:6" x14ac:dyDescent="0.2">
      <c r="A494" s="2">
        <v>45966</v>
      </c>
      <c r="B494" t="s">
        <v>495</v>
      </c>
      <c r="C494" t="s">
        <v>11</v>
      </c>
      <c r="D494" t="s">
        <v>1</v>
      </c>
      <c r="E494" t="s">
        <v>3947</v>
      </c>
      <c r="F494" t="s">
        <v>598</v>
      </c>
    </row>
    <row r="495" spans="1:6" x14ac:dyDescent="0.2">
      <c r="A495" s="2">
        <v>45966</v>
      </c>
      <c r="B495" t="s">
        <v>495</v>
      </c>
      <c r="C495" t="s">
        <v>11</v>
      </c>
      <c r="D495" t="s">
        <v>1</v>
      </c>
      <c r="E495" t="s">
        <v>3947</v>
      </c>
      <c r="F495" t="s">
        <v>598</v>
      </c>
    </row>
    <row r="496" spans="1:6" x14ac:dyDescent="0.2">
      <c r="A496" s="2">
        <v>45967</v>
      </c>
      <c r="B496" t="s">
        <v>496</v>
      </c>
      <c r="C496" t="s">
        <v>11</v>
      </c>
      <c r="D496" t="s">
        <v>1</v>
      </c>
      <c r="E496" t="s">
        <v>3948</v>
      </c>
      <c r="F496" t="s">
        <v>598</v>
      </c>
    </row>
    <row r="497" spans="1:6" x14ac:dyDescent="0.2">
      <c r="A497" s="2">
        <v>45967</v>
      </c>
      <c r="B497" t="s">
        <v>496</v>
      </c>
      <c r="C497" t="s">
        <v>11</v>
      </c>
      <c r="D497" t="s">
        <v>1</v>
      </c>
      <c r="E497" t="s">
        <v>3948</v>
      </c>
      <c r="F497" t="s">
        <v>598</v>
      </c>
    </row>
    <row r="498" spans="1:6" x14ac:dyDescent="0.2">
      <c r="A498" s="2">
        <v>45968</v>
      </c>
      <c r="B498" t="s">
        <v>497</v>
      </c>
      <c r="C498" t="s">
        <v>11</v>
      </c>
      <c r="D498" t="s">
        <v>1</v>
      </c>
      <c r="E498" t="s">
        <v>3949</v>
      </c>
      <c r="F498" t="s">
        <v>598</v>
      </c>
    </row>
    <row r="499" spans="1:6" x14ac:dyDescent="0.2">
      <c r="A499" s="2">
        <v>45968</v>
      </c>
      <c r="B499" t="s">
        <v>497</v>
      </c>
      <c r="C499" t="s">
        <v>11</v>
      </c>
      <c r="D499" t="s">
        <v>1</v>
      </c>
      <c r="E499" t="s">
        <v>3949</v>
      </c>
      <c r="F499" t="s">
        <v>598</v>
      </c>
    </row>
    <row r="500" spans="1:6" x14ac:dyDescent="0.2">
      <c r="A500" s="2">
        <v>45971</v>
      </c>
      <c r="B500" t="s">
        <v>498</v>
      </c>
      <c r="C500" t="s">
        <v>11</v>
      </c>
      <c r="D500" t="s">
        <v>1</v>
      </c>
      <c r="E500" t="s">
        <v>3950</v>
      </c>
      <c r="F500" t="s">
        <v>598</v>
      </c>
    </row>
    <row r="501" spans="1:6" x14ac:dyDescent="0.2">
      <c r="A501" s="2">
        <v>45971</v>
      </c>
      <c r="B501" t="s">
        <v>498</v>
      </c>
      <c r="C501" t="s">
        <v>11</v>
      </c>
      <c r="D501" t="s">
        <v>1</v>
      </c>
      <c r="E501" t="s">
        <v>3950</v>
      </c>
      <c r="F501" t="s">
        <v>598</v>
      </c>
    </row>
    <row r="502" spans="1:6" x14ac:dyDescent="0.2">
      <c r="A502" s="2">
        <v>45972</v>
      </c>
      <c r="B502" t="s">
        <v>499</v>
      </c>
      <c r="C502" t="s">
        <v>11</v>
      </c>
      <c r="D502" t="s">
        <v>1</v>
      </c>
      <c r="E502" t="s">
        <v>3951</v>
      </c>
      <c r="F502" t="s">
        <v>598</v>
      </c>
    </row>
    <row r="503" spans="1:6" x14ac:dyDescent="0.2">
      <c r="A503" s="2">
        <v>45972</v>
      </c>
      <c r="B503" t="s">
        <v>499</v>
      </c>
      <c r="C503" t="s">
        <v>11</v>
      </c>
      <c r="D503" t="s">
        <v>1</v>
      </c>
      <c r="E503" t="s">
        <v>3951</v>
      </c>
      <c r="F503" t="s">
        <v>598</v>
      </c>
    </row>
    <row r="504" spans="1:6" x14ac:dyDescent="0.2">
      <c r="A504" s="2">
        <v>45972</v>
      </c>
      <c r="B504" t="s">
        <v>499</v>
      </c>
      <c r="C504" t="s">
        <v>11</v>
      </c>
      <c r="D504" t="s">
        <v>1</v>
      </c>
      <c r="E504" t="s">
        <v>3951</v>
      </c>
      <c r="F504" t="s">
        <v>598</v>
      </c>
    </row>
    <row r="505" spans="1:6" x14ac:dyDescent="0.2">
      <c r="A505" s="2">
        <v>45973</v>
      </c>
      <c r="B505" t="s">
        <v>500</v>
      </c>
      <c r="C505" t="s">
        <v>11</v>
      </c>
      <c r="D505" t="s">
        <v>1</v>
      </c>
      <c r="E505" t="s">
        <v>3952</v>
      </c>
      <c r="F505" t="s">
        <v>598</v>
      </c>
    </row>
    <row r="506" spans="1:6" x14ac:dyDescent="0.2">
      <c r="A506" s="2">
        <v>45973</v>
      </c>
      <c r="B506" t="s">
        <v>500</v>
      </c>
      <c r="C506" t="s">
        <v>11</v>
      </c>
      <c r="D506" t="s">
        <v>1</v>
      </c>
      <c r="E506" t="s">
        <v>3952</v>
      </c>
      <c r="F506" t="s">
        <v>598</v>
      </c>
    </row>
    <row r="507" spans="1:6" x14ac:dyDescent="0.2">
      <c r="A507" s="2">
        <v>45973</v>
      </c>
      <c r="B507" t="s">
        <v>500</v>
      </c>
      <c r="C507" t="s">
        <v>11</v>
      </c>
      <c r="D507" t="s">
        <v>1</v>
      </c>
      <c r="E507" t="s">
        <v>3952</v>
      </c>
      <c r="F507" t="s">
        <v>598</v>
      </c>
    </row>
    <row r="508" spans="1:6" x14ac:dyDescent="0.2">
      <c r="A508" s="2">
        <v>45975</v>
      </c>
      <c r="B508" t="s">
        <v>501</v>
      </c>
      <c r="C508" t="s">
        <v>11</v>
      </c>
      <c r="D508" t="s">
        <v>1</v>
      </c>
      <c r="E508" t="s">
        <v>3953</v>
      </c>
      <c r="F508" t="s">
        <v>598</v>
      </c>
    </row>
    <row r="509" spans="1:6" x14ac:dyDescent="0.2">
      <c r="A509" s="2">
        <v>45975</v>
      </c>
      <c r="B509" t="s">
        <v>501</v>
      </c>
      <c r="C509" t="s">
        <v>11</v>
      </c>
      <c r="D509" t="s">
        <v>1</v>
      </c>
      <c r="E509" t="s">
        <v>3953</v>
      </c>
      <c r="F509" t="s">
        <v>598</v>
      </c>
    </row>
    <row r="510" spans="1:6" x14ac:dyDescent="0.2">
      <c r="A510" s="2">
        <v>45978</v>
      </c>
      <c r="B510" t="s">
        <v>502</v>
      </c>
      <c r="C510" t="s">
        <v>11</v>
      </c>
      <c r="D510" t="s">
        <v>1</v>
      </c>
      <c r="E510" t="s">
        <v>3954</v>
      </c>
      <c r="F510" t="s">
        <v>598</v>
      </c>
    </row>
    <row r="511" spans="1:6" x14ac:dyDescent="0.2">
      <c r="A511" s="2">
        <v>45978</v>
      </c>
      <c r="B511" t="s">
        <v>502</v>
      </c>
      <c r="C511" t="s">
        <v>11</v>
      </c>
      <c r="D511" t="s">
        <v>1</v>
      </c>
      <c r="E511" t="s">
        <v>3954</v>
      </c>
      <c r="F511" t="s">
        <v>598</v>
      </c>
    </row>
    <row r="512" spans="1:6" x14ac:dyDescent="0.2">
      <c r="A512" s="2">
        <v>45979</v>
      </c>
      <c r="B512" t="s">
        <v>503</v>
      </c>
      <c r="C512" t="s">
        <v>11</v>
      </c>
      <c r="D512" t="s">
        <v>1</v>
      </c>
      <c r="E512" t="s">
        <v>3955</v>
      </c>
      <c r="F512" t="s">
        <v>598</v>
      </c>
    </row>
    <row r="513" spans="1:6" x14ac:dyDescent="0.2">
      <c r="A513" s="2">
        <v>45979</v>
      </c>
      <c r="B513" t="s">
        <v>503</v>
      </c>
      <c r="C513" t="s">
        <v>11</v>
      </c>
      <c r="D513" t="s">
        <v>1</v>
      </c>
      <c r="E513" t="s">
        <v>3955</v>
      </c>
      <c r="F513" t="s">
        <v>598</v>
      </c>
    </row>
    <row r="514" spans="1:6" x14ac:dyDescent="0.2">
      <c r="A514" s="2">
        <v>45980</v>
      </c>
      <c r="B514" t="s">
        <v>504</v>
      </c>
      <c r="C514" t="s">
        <v>11</v>
      </c>
      <c r="D514" t="s">
        <v>1</v>
      </c>
      <c r="E514" t="s">
        <v>3956</v>
      </c>
      <c r="F514" t="s">
        <v>598</v>
      </c>
    </row>
    <row r="515" spans="1:6" x14ac:dyDescent="0.2">
      <c r="A515" s="2">
        <v>45980</v>
      </c>
      <c r="B515" t="s">
        <v>504</v>
      </c>
      <c r="C515" t="s">
        <v>11</v>
      </c>
      <c r="D515" t="s">
        <v>1</v>
      </c>
      <c r="E515" t="s">
        <v>3956</v>
      </c>
      <c r="F515" t="s">
        <v>598</v>
      </c>
    </row>
    <row r="516" spans="1:6" x14ac:dyDescent="0.2">
      <c r="A516" s="2">
        <v>45980</v>
      </c>
      <c r="B516" t="s">
        <v>504</v>
      </c>
      <c r="C516" t="s">
        <v>11</v>
      </c>
      <c r="D516" t="s">
        <v>1</v>
      </c>
      <c r="E516" t="s">
        <v>3956</v>
      </c>
      <c r="F516" t="s">
        <v>598</v>
      </c>
    </row>
    <row r="517" spans="1:6" x14ac:dyDescent="0.2">
      <c r="A517" s="2">
        <v>45980</v>
      </c>
      <c r="B517" t="s">
        <v>504</v>
      </c>
      <c r="C517" t="s">
        <v>11</v>
      </c>
      <c r="D517" t="s">
        <v>1</v>
      </c>
      <c r="E517" t="s">
        <v>3956</v>
      </c>
      <c r="F517" t="s">
        <v>598</v>
      </c>
    </row>
    <row r="518" spans="1:6" x14ac:dyDescent="0.2">
      <c r="A518" s="2">
        <v>45981</v>
      </c>
      <c r="B518" t="s">
        <v>505</v>
      </c>
      <c r="C518" t="s">
        <v>11</v>
      </c>
      <c r="D518" t="s">
        <v>1</v>
      </c>
      <c r="E518" t="s">
        <v>3957</v>
      </c>
      <c r="F518" t="s">
        <v>598</v>
      </c>
    </row>
    <row r="519" spans="1:6" x14ac:dyDescent="0.2">
      <c r="A519" s="2">
        <v>45981</v>
      </c>
      <c r="B519" t="s">
        <v>505</v>
      </c>
      <c r="C519" t="s">
        <v>11</v>
      </c>
      <c r="D519" t="s">
        <v>1</v>
      </c>
      <c r="E519" t="s">
        <v>3957</v>
      </c>
      <c r="F519" t="s">
        <v>598</v>
      </c>
    </row>
    <row r="520" spans="1:6" x14ac:dyDescent="0.2">
      <c r="A520" s="2">
        <v>45982</v>
      </c>
      <c r="B520" t="s">
        <v>506</v>
      </c>
      <c r="C520" t="s">
        <v>11</v>
      </c>
      <c r="D520" t="s">
        <v>1</v>
      </c>
      <c r="E520" t="s">
        <v>3958</v>
      </c>
      <c r="F520" t="s">
        <v>598</v>
      </c>
    </row>
    <row r="521" spans="1:6" x14ac:dyDescent="0.2">
      <c r="A521" s="2">
        <v>45985</v>
      </c>
      <c r="B521" t="s">
        <v>507</v>
      </c>
      <c r="C521" t="s">
        <v>11</v>
      </c>
      <c r="D521" t="s">
        <v>1</v>
      </c>
      <c r="E521" t="s">
        <v>3959</v>
      </c>
      <c r="F521" t="s">
        <v>598</v>
      </c>
    </row>
    <row r="522" spans="1:6" x14ac:dyDescent="0.2">
      <c r="A522" s="2">
        <v>45985</v>
      </c>
      <c r="B522" t="s">
        <v>507</v>
      </c>
      <c r="C522" t="s">
        <v>11</v>
      </c>
      <c r="D522" t="s">
        <v>1</v>
      </c>
      <c r="E522" t="s">
        <v>3959</v>
      </c>
      <c r="F522" t="s">
        <v>598</v>
      </c>
    </row>
    <row r="523" spans="1:6" x14ac:dyDescent="0.2">
      <c r="A523" s="2">
        <v>45986</v>
      </c>
      <c r="B523" t="s">
        <v>508</v>
      </c>
      <c r="C523" t="s">
        <v>11</v>
      </c>
      <c r="D523" t="s">
        <v>1</v>
      </c>
      <c r="E523" t="s">
        <v>3960</v>
      </c>
      <c r="F523" t="s">
        <v>598</v>
      </c>
    </row>
    <row r="524" spans="1:6" x14ac:dyDescent="0.2">
      <c r="A524" s="2">
        <v>45986</v>
      </c>
      <c r="B524" t="s">
        <v>508</v>
      </c>
      <c r="C524" t="s">
        <v>11</v>
      </c>
      <c r="D524" t="s">
        <v>1</v>
      </c>
      <c r="E524" t="s">
        <v>3960</v>
      </c>
      <c r="F524" t="s">
        <v>598</v>
      </c>
    </row>
    <row r="525" spans="1:6" x14ac:dyDescent="0.2">
      <c r="A525" s="2">
        <v>45987</v>
      </c>
      <c r="B525" t="s">
        <v>509</v>
      </c>
      <c r="C525" t="s">
        <v>11</v>
      </c>
      <c r="D525" t="s">
        <v>1</v>
      </c>
      <c r="E525" t="s">
        <v>3961</v>
      </c>
      <c r="F525" t="s">
        <v>598</v>
      </c>
    </row>
    <row r="526" spans="1:6" x14ac:dyDescent="0.2">
      <c r="A526" s="2">
        <v>45987</v>
      </c>
      <c r="B526" t="s">
        <v>509</v>
      </c>
      <c r="C526" t="s">
        <v>11</v>
      </c>
      <c r="D526" t="s">
        <v>1</v>
      </c>
      <c r="E526" t="s">
        <v>3961</v>
      </c>
      <c r="F526" t="s">
        <v>598</v>
      </c>
    </row>
    <row r="527" spans="1:6" x14ac:dyDescent="0.2">
      <c r="A527" s="2">
        <v>45988</v>
      </c>
      <c r="B527" t="s">
        <v>510</v>
      </c>
      <c r="C527" t="s">
        <v>11</v>
      </c>
      <c r="D527" t="s">
        <v>1</v>
      </c>
      <c r="E527" t="s">
        <v>3962</v>
      </c>
      <c r="F527" t="s">
        <v>598</v>
      </c>
    </row>
    <row r="528" spans="1:6" x14ac:dyDescent="0.2">
      <c r="A528" s="2">
        <v>45988</v>
      </c>
      <c r="B528" t="s">
        <v>510</v>
      </c>
      <c r="C528" t="s">
        <v>11</v>
      </c>
      <c r="D528" t="s">
        <v>1</v>
      </c>
      <c r="E528" t="s">
        <v>3962</v>
      </c>
      <c r="F528" t="s">
        <v>598</v>
      </c>
    </row>
    <row r="529" spans="1:6" x14ac:dyDescent="0.2">
      <c r="A529" s="2">
        <v>45989</v>
      </c>
      <c r="B529" t="s">
        <v>511</v>
      </c>
      <c r="C529" t="s">
        <v>11</v>
      </c>
      <c r="D529" t="s">
        <v>1</v>
      </c>
      <c r="E529" t="s">
        <v>3963</v>
      </c>
      <c r="F529" t="s">
        <v>598</v>
      </c>
    </row>
    <row r="530" spans="1:6" x14ac:dyDescent="0.2">
      <c r="A530" s="2">
        <v>45989</v>
      </c>
      <c r="B530" t="s">
        <v>511</v>
      </c>
      <c r="C530" t="s">
        <v>11</v>
      </c>
      <c r="D530" t="s">
        <v>1</v>
      </c>
      <c r="E530" t="s">
        <v>3963</v>
      </c>
      <c r="F530" t="s">
        <v>598</v>
      </c>
    </row>
    <row r="531" spans="1:6" x14ac:dyDescent="0.2">
      <c r="A531" s="2">
        <v>45990</v>
      </c>
      <c r="B531" t="s">
        <v>512</v>
      </c>
      <c r="C531" t="s">
        <v>11</v>
      </c>
      <c r="D531" t="s">
        <v>1</v>
      </c>
      <c r="E531" t="s">
        <v>3964</v>
      </c>
      <c r="F531" t="s">
        <v>598</v>
      </c>
    </row>
    <row r="532" spans="1:6" x14ac:dyDescent="0.2">
      <c r="A532" s="2">
        <v>45990</v>
      </c>
      <c r="B532" t="s">
        <v>512</v>
      </c>
      <c r="C532" t="s">
        <v>11</v>
      </c>
      <c r="D532" t="s">
        <v>1</v>
      </c>
      <c r="E532" t="s">
        <v>3964</v>
      </c>
      <c r="F532" t="s">
        <v>598</v>
      </c>
    </row>
    <row r="533" spans="1:6" x14ac:dyDescent="0.2">
      <c r="A533" s="2">
        <v>45992</v>
      </c>
      <c r="B533" t="s">
        <v>513</v>
      </c>
      <c r="C533" t="s">
        <v>11</v>
      </c>
      <c r="D533" t="s">
        <v>1</v>
      </c>
      <c r="E533" t="s">
        <v>3965</v>
      </c>
      <c r="F533" t="s">
        <v>598</v>
      </c>
    </row>
    <row r="534" spans="1:6" x14ac:dyDescent="0.2">
      <c r="A534" s="2">
        <v>45993</v>
      </c>
      <c r="B534" t="s">
        <v>514</v>
      </c>
      <c r="C534" t="s">
        <v>11</v>
      </c>
      <c r="D534" t="s">
        <v>1</v>
      </c>
      <c r="E534" t="s">
        <v>3966</v>
      </c>
      <c r="F534" t="s">
        <v>598</v>
      </c>
    </row>
    <row r="535" spans="1:6" x14ac:dyDescent="0.2">
      <c r="A535" s="2">
        <v>45993</v>
      </c>
      <c r="B535" t="s">
        <v>514</v>
      </c>
      <c r="C535" t="s">
        <v>11</v>
      </c>
      <c r="D535" t="s">
        <v>1</v>
      </c>
      <c r="E535" t="s">
        <v>3966</v>
      </c>
      <c r="F535" t="s">
        <v>598</v>
      </c>
    </row>
    <row r="536" spans="1:6" x14ac:dyDescent="0.2">
      <c r="A536" s="2">
        <v>45993</v>
      </c>
      <c r="B536" t="s">
        <v>514</v>
      </c>
      <c r="C536" t="s">
        <v>11</v>
      </c>
      <c r="D536" t="s">
        <v>1</v>
      </c>
      <c r="E536" t="s">
        <v>3966</v>
      </c>
      <c r="F536" t="s">
        <v>598</v>
      </c>
    </row>
    <row r="537" spans="1:6" x14ac:dyDescent="0.2">
      <c r="A537" s="2">
        <v>45995</v>
      </c>
      <c r="B537" t="s">
        <v>515</v>
      </c>
      <c r="C537" t="s">
        <v>11</v>
      </c>
      <c r="D537" t="s">
        <v>1</v>
      </c>
      <c r="E537" t="s">
        <v>3967</v>
      </c>
      <c r="F537" t="s">
        <v>598</v>
      </c>
    </row>
    <row r="538" spans="1:6" x14ac:dyDescent="0.2">
      <c r="A538" s="2">
        <v>45995</v>
      </c>
      <c r="B538" t="s">
        <v>515</v>
      </c>
      <c r="C538" t="s">
        <v>11</v>
      </c>
      <c r="D538" t="s">
        <v>1</v>
      </c>
      <c r="E538" t="s">
        <v>3967</v>
      </c>
      <c r="F538" t="s">
        <v>598</v>
      </c>
    </row>
    <row r="539" spans="1:6" x14ac:dyDescent="0.2">
      <c r="A539" s="2">
        <v>45996</v>
      </c>
      <c r="B539" t="s">
        <v>516</v>
      </c>
      <c r="C539" t="s">
        <v>11</v>
      </c>
      <c r="D539" t="s">
        <v>1</v>
      </c>
      <c r="E539" t="s">
        <v>3968</v>
      </c>
      <c r="F539" t="s">
        <v>598</v>
      </c>
    </row>
    <row r="540" spans="1:6" x14ac:dyDescent="0.2">
      <c r="A540" s="2">
        <v>45996</v>
      </c>
      <c r="B540" t="s">
        <v>516</v>
      </c>
      <c r="C540" t="s">
        <v>11</v>
      </c>
      <c r="D540" t="s">
        <v>1</v>
      </c>
      <c r="E540" t="s">
        <v>3968</v>
      </c>
      <c r="F540" t="s">
        <v>598</v>
      </c>
    </row>
    <row r="541" spans="1:6" x14ac:dyDescent="0.2">
      <c r="A541" s="2">
        <v>45997</v>
      </c>
      <c r="B541" t="s">
        <v>517</v>
      </c>
      <c r="C541" t="s">
        <v>11</v>
      </c>
      <c r="D541" t="s">
        <v>1</v>
      </c>
      <c r="E541" t="s">
        <v>3969</v>
      </c>
      <c r="F541" t="s">
        <v>598</v>
      </c>
    </row>
    <row r="542" spans="1:6" x14ac:dyDescent="0.2">
      <c r="A542" s="2">
        <v>45997</v>
      </c>
      <c r="B542" t="s">
        <v>517</v>
      </c>
      <c r="C542" t="s">
        <v>11</v>
      </c>
      <c r="D542" t="s">
        <v>1</v>
      </c>
      <c r="E542" t="s">
        <v>3969</v>
      </c>
      <c r="F542" t="s">
        <v>598</v>
      </c>
    </row>
    <row r="543" spans="1:6" x14ac:dyDescent="0.2">
      <c r="A543" s="2">
        <v>45999</v>
      </c>
      <c r="B543" t="s">
        <v>518</v>
      </c>
      <c r="C543" t="s">
        <v>11</v>
      </c>
      <c r="D543" t="s">
        <v>1</v>
      </c>
      <c r="E543" t="s">
        <v>3970</v>
      </c>
      <c r="F543" t="s">
        <v>598</v>
      </c>
    </row>
    <row r="544" spans="1:6" x14ac:dyDescent="0.2">
      <c r="A544" s="2">
        <v>45999</v>
      </c>
      <c r="B544" t="s">
        <v>518</v>
      </c>
      <c r="C544" t="s">
        <v>11</v>
      </c>
      <c r="D544" t="s">
        <v>1</v>
      </c>
      <c r="E544" t="s">
        <v>3970</v>
      </c>
      <c r="F544" t="s">
        <v>598</v>
      </c>
    </row>
    <row r="545" spans="1:6" x14ac:dyDescent="0.2">
      <c r="A545" s="2">
        <v>46000</v>
      </c>
      <c r="B545" t="s">
        <v>519</v>
      </c>
      <c r="C545" t="s">
        <v>11</v>
      </c>
      <c r="D545" t="s">
        <v>1</v>
      </c>
      <c r="E545" t="s">
        <v>3971</v>
      </c>
      <c r="F545" t="s">
        <v>598</v>
      </c>
    </row>
    <row r="546" spans="1:6" x14ac:dyDescent="0.2">
      <c r="A546" s="2">
        <v>46000</v>
      </c>
      <c r="B546" t="s">
        <v>519</v>
      </c>
      <c r="C546" t="s">
        <v>11</v>
      </c>
      <c r="D546" t="s">
        <v>1</v>
      </c>
      <c r="E546" t="s">
        <v>3971</v>
      </c>
      <c r="F546" t="s">
        <v>598</v>
      </c>
    </row>
    <row r="547" spans="1:6" x14ac:dyDescent="0.2">
      <c r="A547" s="2">
        <v>46001</v>
      </c>
      <c r="B547" t="s">
        <v>520</v>
      </c>
      <c r="C547" t="s">
        <v>11</v>
      </c>
      <c r="D547" t="s">
        <v>1</v>
      </c>
      <c r="E547" t="s">
        <v>3972</v>
      </c>
      <c r="F547" t="s">
        <v>598</v>
      </c>
    </row>
    <row r="548" spans="1:6" x14ac:dyDescent="0.2">
      <c r="A548" s="2">
        <v>46001</v>
      </c>
      <c r="B548" t="s">
        <v>520</v>
      </c>
      <c r="C548" t="s">
        <v>11</v>
      </c>
      <c r="D548" t="s">
        <v>1</v>
      </c>
      <c r="E548" t="s">
        <v>3972</v>
      </c>
      <c r="F548" t="s">
        <v>598</v>
      </c>
    </row>
    <row r="549" spans="1:6" x14ac:dyDescent="0.2">
      <c r="A549" s="2">
        <v>46001</v>
      </c>
      <c r="B549" t="s">
        <v>520</v>
      </c>
      <c r="C549" t="s">
        <v>11</v>
      </c>
      <c r="D549" t="s">
        <v>1</v>
      </c>
      <c r="E549" t="s">
        <v>3972</v>
      </c>
      <c r="F549" t="s">
        <v>598</v>
      </c>
    </row>
    <row r="550" spans="1:6" x14ac:dyDescent="0.2">
      <c r="A550" s="2">
        <v>46002</v>
      </c>
      <c r="B550" t="s">
        <v>521</v>
      </c>
      <c r="C550" t="s">
        <v>11</v>
      </c>
      <c r="D550" t="s">
        <v>1</v>
      </c>
      <c r="E550" t="s">
        <v>3973</v>
      </c>
      <c r="F550" t="s">
        <v>598</v>
      </c>
    </row>
    <row r="551" spans="1:6" x14ac:dyDescent="0.2">
      <c r="A551" s="2">
        <v>46002</v>
      </c>
      <c r="B551" t="s">
        <v>521</v>
      </c>
      <c r="C551" t="s">
        <v>11</v>
      </c>
      <c r="D551" t="s">
        <v>1</v>
      </c>
      <c r="E551" t="s">
        <v>3973</v>
      </c>
      <c r="F551" t="s">
        <v>598</v>
      </c>
    </row>
    <row r="552" spans="1:6" x14ac:dyDescent="0.2">
      <c r="A552" s="2">
        <v>46002</v>
      </c>
      <c r="B552" t="s">
        <v>521</v>
      </c>
      <c r="C552" t="s">
        <v>11</v>
      </c>
      <c r="D552" t="s">
        <v>1</v>
      </c>
      <c r="E552" t="s">
        <v>3973</v>
      </c>
      <c r="F552" t="s">
        <v>598</v>
      </c>
    </row>
    <row r="553" spans="1:6" x14ac:dyDescent="0.2">
      <c r="A553" s="2">
        <v>46003</v>
      </c>
      <c r="B553" t="s">
        <v>522</v>
      </c>
      <c r="C553" t="s">
        <v>11</v>
      </c>
      <c r="D553" t="s">
        <v>1</v>
      </c>
      <c r="E553" t="s">
        <v>3935</v>
      </c>
      <c r="F553" t="s">
        <v>598</v>
      </c>
    </row>
    <row r="554" spans="1:6" x14ac:dyDescent="0.2">
      <c r="A554" s="2">
        <v>46003</v>
      </c>
      <c r="B554" t="s">
        <v>522</v>
      </c>
      <c r="C554" t="s">
        <v>11</v>
      </c>
      <c r="D554" t="s">
        <v>1</v>
      </c>
      <c r="E554" t="s">
        <v>3935</v>
      </c>
      <c r="F554" t="s">
        <v>598</v>
      </c>
    </row>
    <row r="555" spans="1:6" x14ac:dyDescent="0.2">
      <c r="A555" s="2">
        <v>46004</v>
      </c>
      <c r="B555" t="s">
        <v>523</v>
      </c>
      <c r="C555" t="s">
        <v>11</v>
      </c>
      <c r="D555" t="s">
        <v>1</v>
      </c>
      <c r="E555" t="s">
        <v>3974</v>
      </c>
      <c r="F555" t="s">
        <v>598</v>
      </c>
    </row>
    <row r="556" spans="1:6" x14ac:dyDescent="0.2">
      <c r="A556" s="2">
        <v>46004</v>
      </c>
      <c r="B556" t="s">
        <v>523</v>
      </c>
      <c r="C556" t="s">
        <v>11</v>
      </c>
      <c r="D556" t="s">
        <v>1</v>
      </c>
      <c r="E556" t="s">
        <v>3974</v>
      </c>
      <c r="F556" t="s">
        <v>598</v>
      </c>
    </row>
    <row r="557" spans="1:6" x14ac:dyDescent="0.2">
      <c r="A557" s="2">
        <v>46006</v>
      </c>
      <c r="B557" t="s">
        <v>524</v>
      </c>
      <c r="C557" t="s">
        <v>11</v>
      </c>
      <c r="D557" t="s">
        <v>1</v>
      </c>
      <c r="E557" t="s">
        <v>3975</v>
      </c>
      <c r="F557" t="s">
        <v>598</v>
      </c>
    </row>
    <row r="558" spans="1:6" x14ac:dyDescent="0.2">
      <c r="A558" s="2">
        <v>46006</v>
      </c>
      <c r="B558" t="s">
        <v>524</v>
      </c>
      <c r="C558" t="s">
        <v>11</v>
      </c>
      <c r="D558" t="s">
        <v>1</v>
      </c>
      <c r="E558" t="s">
        <v>3975</v>
      </c>
      <c r="F558" t="s">
        <v>598</v>
      </c>
    </row>
    <row r="559" spans="1:6" x14ac:dyDescent="0.2">
      <c r="A559" s="2">
        <v>46006</v>
      </c>
      <c r="B559" t="s">
        <v>524</v>
      </c>
      <c r="C559" t="s">
        <v>11</v>
      </c>
      <c r="D559" t="s">
        <v>1</v>
      </c>
      <c r="E559" t="s">
        <v>3975</v>
      </c>
      <c r="F559" t="s">
        <v>598</v>
      </c>
    </row>
    <row r="560" spans="1:6" x14ac:dyDescent="0.2">
      <c r="A560" s="2">
        <v>46007</v>
      </c>
      <c r="B560" t="s">
        <v>525</v>
      </c>
      <c r="C560" t="s">
        <v>11</v>
      </c>
      <c r="D560" t="s">
        <v>1</v>
      </c>
      <c r="E560" t="s">
        <v>3976</v>
      </c>
      <c r="F560" t="s">
        <v>598</v>
      </c>
    </row>
    <row r="561" spans="1:6" x14ac:dyDescent="0.2">
      <c r="A561" s="2">
        <v>46007</v>
      </c>
      <c r="B561" t="s">
        <v>525</v>
      </c>
      <c r="C561" t="s">
        <v>11</v>
      </c>
      <c r="D561" t="s">
        <v>1</v>
      </c>
      <c r="E561" t="s">
        <v>3976</v>
      </c>
      <c r="F561" t="s">
        <v>598</v>
      </c>
    </row>
    <row r="562" spans="1:6" x14ac:dyDescent="0.2">
      <c r="A562" s="2">
        <v>46007</v>
      </c>
      <c r="B562" t="s">
        <v>525</v>
      </c>
      <c r="C562" t="s">
        <v>11</v>
      </c>
      <c r="D562" t="s">
        <v>1</v>
      </c>
      <c r="E562" t="s">
        <v>3976</v>
      </c>
      <c r="F562" t="s">
        <v>598</v>
      </c>
    </row>
    <row r="563" spans="1:6" x14ac:dyDescent="0.2">
      <c r="A563" s="2">
        <v>46008</v>
      </c>
      <c r="B563" t="s">
        <v>526</v>
      </c>
      <c r="C563" t="s">
        <v>11</v>
      </c>
      <c r="D563" t="s">
        <v>1</v>
      </c>
      <c r="E563" t="s">
        <v>3977</v>
      </c>
      <c r="F563" t="s">
        <v>598</v>
      </c>
    </row>
    <row r="564" spans="1:6" x14ac:dyDescent="0.2">
      <c r="A564" s="2">
        <v>46008</v>
      </c>
      <c r="B564" t="s">
        <v>526</v>
      </c>
      <c r="C564" t="s">
        <v>11</v>
      </c>
      <c r="D564" t="s">
        <v>1</v>
      </c>
      <c r="E564" t="s">
        <v>3977</v>
      </c>
      <c r="F564" t="s">
        <v>598</v>
      </c>
    </row>
    <row r="565" spans="1:6" x14ac:dyDescent="0.2">
      <c r="A565" s="2">
        <v>46008</v>
      </c>
      <c r="B565" t="s">
        <v>526</v>
      </c>
      <c r="C565" t="s">
        <v>11</v>
      </c>
      <c r="D565" t="s">
        <v>1</v>
      </c>
      <c r="E565" t="s">
        <v>3977</v>
      </c>
      <c r="F565" t="s">
        <v>598</v>
      </c>
    </row>
    <row r="566" spans="1:6" x14ac:dyDescent="0.2">
      <c r="A566" s="2">
        <v>46009</v>
      </c>
      <c r="B566" t="s">
        <v>527</v>
      </c>
      <c r="C566" t="s">
        <v>11</v>
      </c>
      <c r="D566" t="s">
        <v>1</v>
      </c>
      <c r="E566" t="s">
        <v>3978</v>
      </c>
      <c r="F566" t="s">
        <v>598</v>
      </c>
    </row>
    <row r="567" spans="1:6" x14ac:dyDescent="0.2">
      <c r="A567" s="2">
        <v>46009</v>
      </c>
      <c r="B567" t="s">
        <v>527</v>
      </c>
      <c r="C567" t="s">
        <v>11</v>
      </c>
      <c r="D567" t="s">
        <v>1</v>
      </c>
      <c r="E567" t="s">
        <v>3978</v>
      </c>
      <c r="F567" t="s">
        <v>598</v>
      </c>
    </row>
    <row r="568" spans="1:6" x14ac:dyDescent="0.2">
      <c r="A568" s="2">
        <v>46010</v>
      </c>
      <c r="B568" t="s">
        <v>528</v>
      </c>
      <c r="C568" t="s">
        <v>11</v>
      </c>
      <c r="D568" t="s">
        <v>1</v>
      </c>
      <c r="E568" t="s">
        <v>3979</v>
      </c>
      <c r="F568" t="s">
        <v>598</v>
      </c>
    </row>
    <row r="569" spans="1:6" x14ac:dyDescent="0.2">
      <c r="A569" s="2">
        <v>46010</v>
      </c>
      <c r="B569" t="s">
        <v>528</v>
      </c>
      <c r="C569" t="s">
        <v>11</v>
      </c>
      <c r="D569" t="s">
        <v>1</v>
      </c>
      <c r="E569" t="s">
        <v>3979</v>
      </c>
      <c r="F569" t="s">
        <v>598</v>
      </c>
    </row>
    <row r="570" spans="1:6" x14ac:dyDescent="0.2">
      <c r="A570" s="2">
        <v>46010</v>
      </c>
      <c r="B570" t="s">
        <v>528</v>
      </c>
      <c r="C570" t="s">
        <v>11</v>
      </c>
      <c r="D570" t="s">
        <v>1</v>
      </c>
      <c r="E570" t="s">
        <v>3979</v>
      </c>
      <c r="F570" t="s">
        <v>598</v>
      </c>
    </row>
    <row r="571" spans="1:6" x14ac:dyDescent="0.2">
      <c r="A571" s="2">
        <v>46013</v>
      </c>
      <c r="B571" t="s">
        <v>529</v>
      </c>
      <c r="C571" t="s">
        <v>11</v>
      </c>
      <c r="D571" t="s">
        <v>1</v>
      </c>
      <c r="E571" t="s">
        <v>3980</v>
      </c>
      <c r="F571" t="s">
        <v>598</v>
      </c>
    </row>
    <row r="572" spans="1:6" x14ac:dyDescent="0.2">
      <c r="A572" s="2">
        <v>46013</v>
      </c>
      <c r="B572" t="s">
        <v>529</v>
      </c>
      <c r="C572" t="s">
        <v>11</v>
      </c>
      <c r="D572" t="s">
        <v>1</v>
      </c>
      <c r="E572" t="s">
        <v>3980</v>
      </c>
      <c r="F572" t="s">
        <v>598</v>
      </c>
    </row>
    <row r="573" spans="1:6" x14ac:dyDescent="0.2">
      <c r="A573" s="2">
        <v>46014</v>
      </c>
      <c r="B573" t="s">
        <v>530</v>
      </c>
      <c r="C573" t="s">
        <v>11</v>
      </c>
      <c r="D573" t="s">
        <v>1</v>
      </c>
      <c r="E573" t="s">
        <v>3981</v>
      </c>
      <c r="F573" t="s">
        <v>598</v>
      </c>
    </row>
    <row r="574" spans="1:6" x14ac:dyDescent="0.2">
      <c r="A574" s="2">
        <v>46015</v>
      </c>
      <c r="B574" t="s">
        <v>531</v>
      </c>
      <c r="C574" t="s">
        <v>11</v>
      </c>
      <c r="D574" t="s">
        <v>1</v>
      </c>
      <c r="E574" t="s">
        <v>3982</v>
      </c>
      <c r="F574" t="s">
        <v>598</v>
      </c>
    </row>
    <row r="575" spans="1:6" x14ac:dyDescent="0.2">
      <c r="A575" s="2">
        <v>46015</v>
      </c>
      <c r="B575" t="s">
        <v>531</v>
      </c>
      <c r="C575" t="s">
        <v>11</v>
      </c>
      <c r="D575" t="s">
        <v>1</v>
      </c>
      <c r="E575" t="s">
        <v>3982</v>
      </c>
      <c r="F575" t="s">
        <v>598</v>
      </c>
    </row>
    <row r="576" spans="1:6" x14ac:dyDescent="0.2">
      <c r="A576" s="2">
        <v>46020</v>
      </c>
      <c r="B576" t="s">
        <v>532</v>
      </c>
      <c r="C576" t="s">
        <v>11</v>
      </c>
      <c r="D576" t="s">
        <v>1</v>
      </c>
      <c r="E576" t="s">
        <v>3983</v>
      </c>
      <c r="F576" t="s">
        <v>598</v>
      </c>
    </row>
    <row r="577" spans="1:6" x14ac:dyDescent="0.2">
      <c r="A577" s="2">
        <v>46021</v>
      </c>
      <c r="B577" t="s">
        <v>533</v>
      </c>
      <c r="C577" t="s">
        <v>11</v>
      </c>
      <c r="D577" t="s">
        <v>1</v>
      </c>
      <c r="E577" t="s">
        <v>3984</v>
      </c>
      <c r="F577" t="s">
        <v>598</v>
      </c>
    </row>
    <row r="578" spans="1:6" x14ac:dyDescent="0.2">
      <c r="A578" s="2">
        <v>46022</v>
      </c>
      <c r="B578" t="s">
        <v>534</v>
      </c>
      <c r="C578" t="s">
        <v>11</v>
      </c>
      <c r="D578" t="s">
        <v>1</v>
      </c>
      <c r="E578" t="s">
        <v>3985</v>
      </c>
      <c r="F578" t="s">
        <v>598</v>
      </c>
    </row>
    <row r="579" spans="1:6" x14ac:dyDescent="0.2">
      <c r="A579" s="2">
        <v>46027</v>
      </c>
      <c r="B579" t="s">
        <v>535</v>
      </c>
      <c r="C579" t="s">
        <v>11</v>
      </c>
      <c r="D579" t="s">
        <v>1</v>
      </c>
      <c r="E579" t="s">
        <v>3986</v>
      </c>
      <c r="F579" t="s">
        <v>598</v>
      </c>
    </row>
    <row r="580" spans="1:6" x14ac:dyDescent="0.2">
      <c r="A580" s="2">
        <v>46027</v>
      </c>
      <c r="B580" t="s">
        <v>535</v>
      </c>
      <c r="C580" t="s">
        <v>11</v>
      </c>
      <c r="D580" t="s">
        <v>1</v>
      </c>
      <c r="E580" t="s">
        <v>3986</v>
      </c>
      <c r="F580" t="s">
        <v>598</v>
      </c>
    </row>
    <row r="581" spans="1:6" x14ac:dyDescent="0.2">
      <c r="A581" s="2">
        <v>46027</v>
      </c>
      <c r="B581" t="s">
        <v>535</v>
      </c>
      <c r="C581" t="s">
        <v>11</v>
      </c>
      <c r="D581" t="s">
        <v>1</v>
      </c>
      <c r="E581" t="s">
        <v>3986</v>
      </c>
      <c r="F581" t="s">
        <v>598</v>
      </c>
    </row>
    <row r="582" spans="1:6" x14ac:dyDescent="0.2">
      <c r="A582" s="2">
        <v>46028</v>
      </c>
      <c r="B582" t="s">
        <v>536</v>
      </c>
      <c r="C582" t="s">
        <v>11</v>
      </c>
      <c r="D582" t="s">
        <v>1</v>
      </c>
      <c r="E582" t="s">
        <v>3987</v>
      </c>
      <c r="F582" t="s">
        <v>598</v>
      </c>
    </row>
    <row r="583" spans="1:6" x14ac:dyDescent="0.2">
      <c r="A583" s="2">
        <v>46028</v>
      </c>
      <c r="B583" t="s">
        <v>536</v>
      </c>
      <c r="C583" t="s">
        <v>11</v>
      </c>
      <c r="D583" t="s">
        <v>1</v>
      </c>
      <c r="E583" t="s">
        <v>3987</v>
      </c>
      <c r="F583" t="s">
        <v>598</v>
      </c>
    </row>
    <row r="584" spans="1:6" x14ac:dyDescent="0.2">
      <c r="A584" s="2">
        <v>46029</v>
      </c>
      <c r="B584" t="s">
        <v>537</v>
      </c>
      <c r="C584" t="s">
        <v>11</v>
      </c>
      <c r="D584" t="s">
        <v>1</v>
      </c>
      <c r="E584" t="s">
        <v>3988</v>
      </c>
      <c r="F584" t="s">
        <v>598</v>
      </c>
    </row>
    <row r="585" spans="1:6" x14ac:dyDescent="0.2">
      <c r="A585" s="2">
        <v>46029</v>
      </c>
      <c r="B585" t="s">
        <v>537</v>
      </c>
      <c r="C585" t="s">
        <v>11</v>
      </c>
      <c r="D585" t="s">
        <v>1</v>
      </c>
      <c r="E585" t="s">
        <v>3988</v>
      </c>
      <c r="F585" t="s">
        <v>598</v>
      </c>
    </row>
    <row r="586" spans="1:6" x14ac:dyDescent="0.2">
      <c r="A586" s="2">
        <v>46030</v>
      </c>
      <c r="B586" t="s">
        <v>538</v>
      </c>
      <c r="C586" t="s">
        <v>11</v>
      </c>
      <c r="D586" t="s">
        <v>1</v>
      </c>
      <c r="E586" t="s">
        <v>3989</v>
      </c>
      <c r="F586" t="s">
        <v>598</v>
      </c>
    </row>
    <row r="587" spans="1:6" x14ac:dyDescent="0.2">
      <c r="A587" s="2">
        <v>46030</v>
      </c>
      <c r="B587" t="s">
        <v>538</v>
      </c>
      <c r="C587" t="s">
        <v>11</v>
      </c>
      <c r="D587" t="s">
        <v>1</v>
      </c>
      <c r="E587" t="s">
        <v>3989</v>
      </c>
      <c r="F587" t="s">
        <v>598</v>
      </c>
    </row>
    <row r="588" spans="1:6" x14ac:dyDescent="0.2">
      <c r="A588" s="2">
        <v>46031</v>
      </c>
      <c r="B588" t="s">
        <v>539</v>
      </c>
      <c r="C588" t="s">
        <v>11</v>
      </c>
      <c r="D588" t="s">
        <v>1</v>
      </c>
      <c r="E588" t="s">
        <v>3827</v>
      </c>
      <c r="F588" t="s">
        <v>598</v>
      </c>
    </row>
    <row r="589" spans="1:6" x14ac:dyDescent="0.2">
      <c r="A589" s="2">
        <v>46031</v>
      </c>
      <c r="B589" t="s">
        <v>539</v>
      </c>
      <c r="C589" t="s">
        <v>11</v>
      </c>
      <c r="D589" t="s">
        <v>1</v>
      </c>
      <c r="E589" t="s">
        <v>3827</v>
      </c>
      <c r="F589" t="s">
        <v>598</v>
      </c>
    </row>
    <row r="590" spans="1:6" x14ac:dyDescent="0.2">
      <c r="A590" s="2">
        <v>46034</v>
      </c>
      <c r="B590" t="s">
        <v>540</v>
      </c>
      <c r="C590" t="s">
        <v>11</v>
      </c>
      <c r="D590" t="s">
        <v>1</v>
      </c>
      <c r="E590" t="s">
        <v>3990</v>
      </c>
      <c r="F590" t="s">
        <v>598</v>
      </c>
    </row>
    <row r="591" spans="1:6" x14ac:dyDescent="0.2">
      <c r="A591" s="2">
        <v>46034</v>
      </c>
      <c r="B591" t="s">
        <v>540</v>
      </c>
      <c r="C591" t="s">
        <v>11</v>
      </c>
      <c r="D591" t="s">
        <v>1</v>
      </c>
      <c r="E591" t="s">
        <v>3990</v>
      </c>
      <c r="F591" t="s">
        <v>598</v>
      </c>
    </row>
    <row r="592" spans="1:6" x14ac:dyDescent="0.2">
      <c r="A592" s="2">
        <v>46034</v>
      </c>
      <c r="B592" t="s">
        <v>540</v>
      </c>
      <c r="C592" t="s">
        <v>11</v>
      </c>
      <c r="D592" t="s">
        <v>1</v>
      </c>
      <c r="E592" t="s">
        <v>3990</v>
      </c>
      <c r="F592" t="s">
        <v>598</v>
      </c>
    </row>
    <row r="593" spans="1:6" x14ac:dyDescent="0.2">
      <c r="A593" s="2">
        <v>46036</v>
      </c>
      <c r="B593" t="s">
        <v>541</v>
      </c>
      <c r="C593" t="s">
        <v>11</v>
      </c>
      <c r="D593" t="s">
        <v>1</v>
      </c>
      <c r="E593" t="s">
        <v>3991</v>
      </c>
      <c r="F593" t="s">
        <v>598</v>
      </c>
    </row>
    <row r="594" spans="1:6" x14ac:dyDescent="0.2">
      <c r="A594" s="2">
        <v>46036</v>
      </c>
      <c r="B594" t="s">
        <v>541</v>
      </c>
      <c r="C594" t="s">
        <v>11</v>
      </c>
      <c r="D594" t="s">
        <v>1</v>
      </c>
      <c r="E594" t="s">
        <v>3991</v>
      </c>
      <c r="F594" t="s">
        <v>598</v>
      </c>
    </row>
    <row r="595" spans="1:6" x14ac:dyDescent="0.2">
      <c r="A595" s="2">
        <v>46037</v>
      </c>
      <c r="B595" t="s">
        <v>542</v>
      </c>
      <c r="C595" t="s">
        <v>11</v>
      </c>
      <c r="D595" t="s">
        <v>1</v>
      </c>
      <c r="E595" t="s">
        <v>3992</v>
      </c>
      <c r="F595" t="s">
        <v>598</v>
      </c>
    </row>
    <row r="596" spans="1:6" x14ac:dyDescent="0.2">
      <c r="A596" s="2">
        <v>46037</v>
      </c>
      <c r="B596" t="s">
        <v>542</v>
      </c>
      <c r="C596" t="s">
        <v>11</v>
      </c>
      <c r="D596" t="s">
        <v>1</v>
      </c>
      <c r="E596" t="s">
        <v>3992</v>
      </c>
      <c r="F596" t="s">
        <v>598</v>
      </c>
    </row>
    <row r="597" spans="1:6" x14ac:dyDescent="0.2">
      <c r="A597" s="2">
        <v>46038</v>
      </c>
      <c r="B597" t="s">
        <v>543</v>
      </c>
      <c r="C597" t="s">
        <v>11</v>
      </c>
      <c r="D597" t="s">
        <v>1</v>
      </c>
      <c r="E597" t="s">
        <v>3927</v>
      </c>
      <c r="F597" t="s">
        <v>598</v>
      </c>
    </row>
    <row r="598" spans="1:6" x14ac:dyDescent="0.2">
      <c r="A598" s="2">
        <v>46038</v>
      </c>
      <c r="B598" t="s">
        <v>543</v>
      </c>
      <c r="C598" t="s">
        <v>11</v>
      </c>
      <c r="D598" t="s">
        <v>1</v>
      </c>
      <c r="E598" t="s">
        <v>3927</v>
      </c>
      <c r="F598" t="s">
        <v>598</v>
      </c>
    </row>
    <row r="599" spans="1:6" x14ac:dyDescent="0.2">
      <c r="A599" s="2">
        <v>46038</v>
      </c>
      <c r="B599" t="s">
        <v>543</v>
      </c>
      <c r="C599" t="s">
        <v>11</v>
      </c>
      <c r="D599" t="s">
        <v>1</v>
      </c>
      <c r="E599" t="s">
        <v>3927</v>
      </c>
      <c r="F599" t="s">
        <v>598</v>
      </c>
    </row>
    <row r="600" spans="1:6" x14ac:dyDescent="0.2">
      <c r="A600" s="2">
        <v>46041</v>
      </c>
      <c r="B600" t="s">
        <v>544</v>
      </c>
      <c r="C600" t="s">
        <v>11</v>
      </c>
      <c r="D600" t="s">
        <v>1</v>
      </c>
      <c r="E600" t="s">
        <v>3993</v>
      </c>
      <c r="F600" t="s">
        <v>598</v>
      </c>
    </row>
    <row r="601" spans="1:6" x14ac:dyDescent="0.2">
      <c r="A601" s="2">
        <v>46041</v>
      </c>
      <c r="B601" t="s">
        <v>544</v>
      </c>
      <c r="C601" t="s">
        <v>11</v>
      </c>
      <c r="D601" t="s">
        <v>1</v>
      </c>
      <c r="E601" t="s">
        <v>3993</v>
      </c>
      <c r="F601" t="s">
        <v>598</v>
      </c>
    </row>
    <row r="602" spans="1:6" x14ac:dyDescent="0.2">
      <c r="A602" s="2">
        <v>46041</v>
      </c>
      <c r="B602" t="s">
        <v>544</v>
      </c>
      <c r="C602" t="s">
        <v>11</v>
      </c>
      <c r="D602" t="s">
        <v>1</v>
      </c>
      <c r="E602" t="s">
        <v>3993</v>
      </c>
      <c r="F602" t="s">
        <v>598</v>
      </c>
    </row>
    <row r="603" spans="1:6" x14ac:dyDescent="0.2">
      <c r="A603" s="2">
        <v>46041</v>
      </c>
      <c r="B603" t="s">
        <v>544</v>
      </c>
      <c r="C603" t="s">
        <v>11</v>
      </c>
      <c r="D603" t="s">
        <v>1</v>
      </c>
      <c r="E603" t="s">
        <v>3993</v>
      </c>
      <c r="F603" t="s">
        <v>598</v>
      </c>
    </row>
    <row r="604" spans="1:6" x14ac:dyDescent="0.2">
      <c r="A604" s="2">
        <v>46042</v>
      </c>
      <c r="B604" t="s">
        <v>545</v>
      </c>
      <c r="C604" t="s">
        <v>11</v>
      </c>
      <c r="D604" t="s">
        <v>1</v>
      </c>
      <c r="E604" t="s">
        <v>3994</v>
      </c>
      <c r="F604" t="s">
        <v>598</v>
      </c>
    </row>
    <row r="605" spans="1:6" x14ac:dyDescent="0.2">
      <c r="A605" s="2">
        <v>46042</v>
      </c>
      <c r="B605" t="s">
        <v>545</v>
      </c>
      <c r="C605" t="s">
        <v>11</v>
      </c>
      <c r="D605" t="s">
        <v>1</v>
      </c>
      <c r="E605" t="s">
        <v>3994</v>
      </c>
      <c r="F605" t="s">
        <v>598</v>
      </c>
    </row>
    <row r="606" spans="1:6" x14ac:dyDescent="0.2">
      <c r="A606" s="2">
        <v>46043</v>
      </c>
      <c r="B606" t="s">
        <v>546</v>
      </c>
      <c r="C606" t="s">
        <v>11</v>
      </c>
      <c r="D606" t="s">
        <v>1</v>
      </c>
      <c r="E606" t="s">
        <v>3995</v>
      </c>
      <c r="F606" t="s">
        <v>598</v>
      </c>
    </row>
    <row r="607" spans="1:6" x14ac:dyDescent="0.2">
      <c r="A607" s="2">
        <v>46043</v>
      </c>
      <c r="B607" t="s">
        <v>546</v>
      </c>
      <c r="C607" t="s">
        <v>11</v>
      </c>
      <c r="D607" t="s">
        <v>1</v>
      </c>
      <c r="E607" t="s">
        <v>3995</v>
      </c>
      <c r="F607" t="s">
        <v>598</v>
      </c>
    </row>
    <row r="608" spans="1:6" x14ac:dyDescent="0.2">
      <c r="A608" s="2">
        <v>46044</v>
      </c>
      <c r="B608" t="s">
        <v>547</v>
      </c>
      <c r="C608" t="s">
        <v>11</v>
      </c>
      <c r="D608" t="s">
        <v>1</v>
      </c>
      <c r="E608" t="s">
        <v>3996</v>
      </c>
      <c r="F608" t="s">
        <v>598</v>
      </c>
    </row>
    <row r="609" spans="1:6" x14ac:dyDescent="0.2">
      <c r="A609" s="2">
        <v>46044</v>
      </c>
      <c r="B609" t="s">
        <v>547</v>
      </c>
      <c r="C609" t="s">
        <v>11</v>
      </c>
      <c r="D609" t="s">
        <v>1</v>
      </c>
      <c r="E609" t="s">
        <v>3996</v>
      </c>
      <c r="F609" t="s">
        <v>598</v>
      </c>
    </row>
    <row r="610" spans="1:6" x14ac:dyDescent="0.2">
      <c r="A610" s="2">
        <v>46044</v>
      </c>
      <c r="B610" t="s">
        <v>547</v>
      </c>
      <c r="C610" t="s">
        <v>11</v>
      </c>
      <c r="D610" t="s">
        <v>1</v>
      </c>
      <c r="E610" t="s">
        <v>3996</v>
      </c>
      <c r="F610" t="s">
        <v>598</v>
      </c>
    </row>
    <row r="611" spans="1:6" x14ac:dyDescent="0.2">
      <c r="A611" s="2">
        <v>46045</v>
      </c>
      <c r="B611" t="s">
        <v>548</v>
      </c>
      <c r="C611" t="s">
        <v>11</v>
      </c>
      <c r="D611" t="s">
        <v>1</v>
      </c>
      <c r="E611" t="s">
        <v>3997</v>
      </c>
      <c r="F611" t="s">
        <v>598</v>
      </c>
    </row>
    <row r="612" spans="1:6" x14ac:dyDescent="0.2">
      <c r="A612" s="2">
        <v>46045</v>
      </c>
      <c r="B612" t="s">
        <v>548</v>
      </c>
      <c r="C612" t="s">
        <v>11</v>
      </c>
      <c r="D612" t="s">
        <v>1</v>
      </c>
      <c r="E612" t="s">
        <v>3997</v>
      </c>
      <c r="F612" t="s">
        <v>598</v>
      </c>
    </row>
    <row r="613" spans="1:6" x14ac:dyDescent="0.2">
      <c r="A613" s="2">
        <v>46048</v>
      </c>
      <c r="B613" t="s">
        <v>549</v>
      </c>
      <c r="C613" t="s">
        <v>11</v>
      </c>
      <c r="D613" t="s">
        <v>1</v>
      </c>
      <c r="E613" t="s">
        <v>3998</v>
      </c>
      <c r="F613" t="s">
        <v>598</v>
      </c>
    </row>
    <row r="614" spans="1:6" x14ac:dyDescent="0.2">
      <c r="A614" s="2">
        <v>46048</v>
      </c>
      <c r="B614" t="s">
        <v>549</v>
      </c>
      <c r="C614" t="s">
        <v>11</v>
      </c>
      <c r="D614" t="s">
        <v>1</v>
      </c>
      <c r="E614" t="s">
        <v>3998</v>
      </c>
      <c r="F614" t="s">
        <v>598</v>
      </c>
    </row>
    <row r="615" spans="1:6" x14ac:dyDescent="0.2">
      <c r="A615" s="2">
        <v>46048</v>
      </c>
      <c r="B615" t="s">
        <v>549</v>
      </c>
      <c r="C615" t="s">
        <v>11</v>
      </c>
      <c r="D615" t="s">
        <v>1</v>
      </c>
      <c r="E615" t="s">
        <v>3998</v>
      </c>
      <c r="F615" t="s">
        <v>598</v>
      </c>
    </row>
    <row r="616" spans="1:6" x14ac:dyDescent="0.2">
      <c r="A616" s="2">
        <v>46049</v>
      </c>
      <c r="B616" t="s">
        <v>550</v>
      </c>
      <c r="C616" t="s">
        <v>11</v>
      </c>
      <c r="D616" t="s">
        <v>1</v>
      </c>
      <c r="E616" t="s">
        <v>3999</v>
      </c>
      <c r="F616" t="s">
        <v>598</v>
      </c>
    </row>
    <row r="617" spans="1:6" x14ac:dyDescent="0.2">
      <c r="A617" s="2">
        <v>46049</v>
      </c>
      <c r="B617" t="s">
        <v>550</v>
      </c>
      <c r="C617" t="s">
        <v>11</v>
      </c>
      <c r="D617" t="s">
        <v>1</v>
      </c>
      <c r="E617" t="s">
        <v>3999</v>
      </c>
      <c r="F617" t="s">
        <v>598</v>
      </c>
    </row>
    <row r="618" spans="1:6" x14ac:dyDescent="0.2">
      <c r="A618" s="2">
        <v>46049</v>
      </c>
      <c r="B618" t="s">
        <v>550</v>
      </c>
      <c r="C618" t="s">
        <v>11</v>
      </c>
      <c r="D618" t="s">
        <v>1</v>
      </c>
      <c r="E618" t="s">
        <v>3999</v>
      </c>
      <c r="F618" t="s">
        <v>598</v>
      </c>
    </row>
    <row r="619" spans="1:6" x14ac:dyDescent="0.2">
      <c r="A619" s="2">
        <v>46050</v>
      </c>
      <c r="B619" t="s">
        <v>551</v>
      </c>
      <c r="C619" t="s">
        <v>11</v>
      </c>
      <c r="D619" t="s">
        <v>1</v>
      </c>
      <c r="E619" t="s">
        <v>4000</v>
      </c>
      <c r="F619" t="s">
        <v>598</v>
      </c>
    </row>
    <row r="620" spans="1:6" x14ac:dyDescent="0.2">
      <c r="A620" s="2">
        <v>46051</v>
      </c>
      <c r="B620" t="s">
        <v>552</v>
      </c>
      <c r="C620" t="s">
        <v>11</v>
      </c>
      <c r="D620" t="s">
        <v>1</v>
      </c>
      <c r="E620" t="s">
        <v>3832</v>
      </c>
      <c r="F620" t="s">
        <v>598</v>
      </c>
    </row>
    <row r="621" spans="1:6" x14ac:dyDescent="0.2">
      <c r="A621" s="2">
        <v>46051</v>
      </c>
      <c r="B621" t="s">
        <v>552</v>
      </c>
      <c r="C621" t="s">
        <v>11</v>
      </c>
      <c r="D621" t="s">
        <v>1</v>
      </c>
      <c r="E621" t="s">
        <v>3832</v>
      </c>
      <c r="F621" t="s">
        <v>598</v>
      </c>
    </row>
    <row r="622" spans="1:6" x14ac:dyDescent="0.2">
      <c r="A622" s="2">
        <v>46052</v>
      </c>
      <c r="B622" t="s">
        <v>553</v>
      </c>
      <c r="C622" t="s">
        <v>11</v>
      </c>
      <c r="D622" t="s">
        <v>1</v>
      </c>
      <c r="E622" t="s">
        <v>4001</v>
      </c>
      <c r="F622" t="s">
        <v>598</v>
      </c>
    </row>
    <row r="623" spans="1:6" x14ac:dyDescent="0.2">
      <c r="A623" s="2">
        <v>46055</v>
      </c>
      <c r="B623" t="s">
        <v>554</v>
      </c>
      <c r="C623" t="s">
        <v>11</v>
      </c>
      <c r="D623" t="s">
        <v>1</v>
      </c>
      <c r="E623" t="s">
        <v>4002</v>
      </c>
      <c r="F623" t="s">
        <v>598</v>
      </c>
    </row>
    <row r="624" spans="1:6" x14ac:dyDescent="0.2">
      <c r="A624" s="2">
        <v>46055</v>
      </c>
      <c r="B624" t="s">
        <v>554</v>
      </c>
      <c r="C624" t="s">
        <v>11</v>
      </c>
      <c r="D624" t="s">
        <v>1</v>
      </c>
      <c r="E624" t="s">
        <v>4002</v>
      </c>
      <c r="F624" t="s">
        <v>598</v>
      </c>
    </row>
    <row r="625" spans="1:6" x14ac:dyDescent="0.2">
      <c r="A625" s="2">
        <v>46056</v>
      </c>
      <c r="B625" t="s">
        <v>555</v>
      </c>
      <c r="C625" t="s">
        <v>11</v>
      </c>
      <c r="D625" t="s">
        <v>1</v>
      </c>
      <c r="E625" t="s">
        <v>4003</v>
      </c>
      <c r="F625" t="s">
        <v>598</v>
      </c>
    </row>
    <row r="626" spans="1:6" x14ac:dyDescent="0.2">
      <c r="A626" s="2">
        <v>46056</v>
      </c>
      <c r="B626" t="s">
        <v>555</v>
      </c>
      <c r="C626" t="s">
        <v>11</v>
      </c>
      <c r="D626" t="s">
        <v>1</v>
      </c>
      <c r="E626" t="s">
        <v>4003</v>
      </c>
      <c r="F626" t="s">
        <v>598</v>
      </c>
    </row>
    <row r="627" spans="1:6" x14ac:dyDescent="0.2">
      <c r="A627" s="2">
        <v>46057</v>
      </c>
      <c r="B627" t="s">
        <v>556</v>
      </c>
      <c r="C627" t="s">
        <v>11</v>
      </c>
      <c r="D627" t="s">
        <v>1</v>
      </c>
      <c r="E627" t="s">
        <v>4004</v>
      </c>
      <c r="F627" t="s">
        <v>598</v>
      </c>
    </row>
    <row r="628" spans="1:6" x14ac:dyDescent="0.2">
      <c r="A628" s="2">
        <v>46057</v>
      </c>
      <c r="B628" t="s">
        <v>556</v>
      </c>
      <c r="C628" t="s">
        <v>11</v>
      </c>
      <c r="D628" t="s">
        <v>1</v>
      </c>
      <c r="E628" t="s">
        <v>4004</v>
      </c>
      <c r="F628" t="s">
        <v>598</v>
      </c>
    </row>
    <row r="629" spans="1:6" x14ac:dyDescent="0.2">
      <c r="A629" s="2">
        <v>46058</v>
      </c>
      <c r="B629" t="s">
        <v>557</v>
      </c>
      <c r="C629" t="s">
        <v>11</v>
      </c>
      <c r="D629" t="s">
        <v>1</v>
      </c>
      <c r="E629" t="s">
        <v>4005</v>
      </c>
      <c r="F629" t="s">
        <v>598</v>
      </c>
    </row>
    <row r="630" spans="1:6" x14ac:dyDescent="0.2">
      <c r="A630" s="2">
        <v>46058</v>
      </c>
      <c r="B630" t="s">
        <v>557</v>
      </c>
      <c r="C630" t="s">
        <v>11</v>
      </c>
      <c r="D630" t="s">
        <v>1</v>
      </c>
      <c r="E630" t="s">
        <v>4005</v>
      </c>
      <c r="F630" t="s">
        <v>598</v>
      </c>
    </row>
    <row r="631" spans="1:6" x14ac:dyDescent="0.2">
      <c r="A631" s="2">
        <v>46058</v>
      </c>
      <c r="B631" t="s">
        <v>557</v>
      </c>
      <c r="C631" t="s">
        <v>11</v>
      </c>
      <c r="D631" t="s">
        <v>1</v>
      </c>
      <c r="E631" t="s">
        <v>4005</v>
      </c>
      <c r="F631" t="s">
        <v>598</v>
      </c>
    </row>
    <row r="632" spans="1:6" x14ac:dyDescent="0.2">
      <c r="A632" s="2">
        <v>46059</v>
      </c>
      <c r="B632" t="s">
        <v>558</v>
      </c>
      <c r="C632" t="s">
        <v>12</v>
      </c>
      <c r="D632" t="s">
        <v>1</v>
      </c>
      <c r="E632" t="s">
        <v>4006</v>
      </c>
      <c r="F632" t="s">
        <v>598</v>
      </c>
    </row>
    <row r="633" spans="1:6" x14ac:dyDescent="0.2">
      <c r="A633" s="2">
        <v>46062</v>
      </c>
      <c r="B633" t="s">
        <v>559</v>
      </c>
      <c r="C633" t="s">
        <v>11</v>
      </c>
      <c r="D633" t="s">
        <v>1</v>
      </c>
      <c r="E633" t="s">
        <v>4007</v>
      </c>
      <c r="F633" t="s">
        <v>598</v>
      </c>
    </row>
    <row r="634" spans="1:6" x14ac:dyDescent="0.2">
      <c r="A634" s="2">
        <v>46062</v>
      </c>
      <c r="B634" t="s">
        <v>559</v>
      </c>
      <c r="C634" t="s">
        <v>11</v>
      </c>
      <c r="D634" t="s">
        <v>1</v>
      </c>
      <c r="E634" t="s">
        <v>4007</v>
      </c>
      <c r="F634" t="s">
        <v>598</v>
      </c>
    </row>
    <row r="635" spans="1:6" x14ac:dyDescent="0.2">
      <c r="A635" s="2">
        <v>46063</v>
      </c>
      <c r="B635" t="s">
        <v>560</v>
      </c>
      <c r="C635" t="s">
        <v>11</v>
      </c>
      <c r="D635" t="s">
        <v>1</v>
      </c>
      <c r="E635" t="s">
        <v>4008</v>
      </c>
      <c r="F635" t="s">
        <v>598</v>
      </c>
    </row>
    <row r="636" spans="1:6" x14ac:dyDescent="0.2">
      <c r="A636" s="2">
        <v>46063</v>
      </c>
      <c r="B636" t="s">
        <v>560</v>
      </c>
      <c r="C636" t="s">
        <v>11</v>
      </c>
      <c r="D636" t="s">
        <v>1</v>
      </c>
      <c r="E636" t="s">
        <v>4008</v>
      </c>
      <c r="F636" t="s">
        <v>598</v>
      </c>
    </row>
    <row r="637" spans="1:6" x14ac:dyDescent="0.2">
      <c r="A637" s="2">
        <v>46064</v>
      </c>
      <c r="B637" t="s">
        <v>561</v>
      </c>
      <c r="C637" t="s">
        <v>11</v>
      </c>
      <c r="D637" t="s">
        <v>1</v>
      </c>
      <c r="E637" t="s">
        <v>4009</v>
      </c>
      <c r="F637" t="s">
        <v>598</v>
      </c>
    </row>
    <row r="638" spans="1:6" x14ac:dyDescent="0.2">
      <c r="A638" s="2">
        <v>46064</v>
      </c>
      <c r="B638" t="s">
        <v>561</v>
      </c>
      <c r="C638" t="s">
        <v>11</v>
      </c>
      <c r="D638" t="s">
        <v>1</v>
      </c>
      <c r="E638" t="s">
        <v>4009</v>
      </c>
      <c r="F638" t="s">
        <v>598</v>
      </c>
    </row>
    <row r="639" spans="1:6" x14ac:dyDescent="0.2">
      <c r="A639" s="2">
        <v>46066</v>
      </c>
      <c r="B639" t="s">
        <v>562</v>
      </c>
      <c r="C639" t="s">
        <v>11</v>
      </c>
      <c r="D639" t="s">
        <v>1</v>
      </c>
      <c r="E639" t="s">
        <v>4010</v>
      </c>
      <c r="F639" t="s">
        <v>598</v>
      </c>
    </row>
    <row r="640" spans="1:6" x14ac:dyDescent="0.2">
      <c r="A640" s="2">
        <v>46067</v>
      </c>
      <c r="B640" t="s">
        <v>563</v>
      </c>
      <c r="C640" t="s">
        <v>12</v>
      </c>
      <c r="D640" t="s">
        <v>1</v>
      </c>
      <c r="E640" t="s">
        <v>4011</v>
      </c>
      <c r="F640" t="s">
        <v>598</v>
      </c>
    </row>
    <row r="641" spans="1:6" x14ac:dyDescent="0.2">
      <c r="A641" s="2">
        <v>46069</v>
      </c>
      <c r="B641" t="s">
        <v>564</v>
      </c>
      <c r="C641" t="s">
        <v>11</v>
      </c>
      <c r="D641" t="s">
        <v>1</v>
      </c>
      <c r="E641" t="s">
        <v>3920</v>
      </c>
      <c r="F641" t="s">
        <v>598</v>
      </c>
    </row>
    <row r="642" spans="1:6" x14ac:dyDescent="0.2">
      <c r="A642" s="2">
        <v>46069</v>
      </c>
      <c r="B642" t="s">
        <v>564</v>
      </c>
      <c r="C642" t="s">
        <v>11</v>
      </c>
      <c r="D642" t="s">
        <v>1</v>
      </c>
      <c r="E642" t="s">
        <v>3920</v>
      </c>
      <c r="F642" t="s">
        <v>598</v>
      </c>
    </row>
    <row r="643" spans="1:6" x14ac:dyDescent="0.2">
      <c r="A643" s="2">
        <v>46070</v>
      </c>
      <c r="B643" t="s">
        <v>565</v>
      </c>
      <c r="C643" t="s">
        <v>12</v>
      </c>
      <c r="D643" t="s">
        <v>1</v>
      </c>
      <c r="E643" t="s">
        <v>4012</v>
      </c>
      <c r="F643" t="s">
        <v>598</v>
      </c>
    </row>
    <row r="644" spans="1:6" x14ac:dyDescent="0.2">
      <c r="A644" s="2">
        <v>46071</v>
      </c>
      <c r="B644" t="s">
        <v>566</v>
      </c>
      <c r="C644" t="s">
        <v>11</v>
      </c>
      <c r="D644" t="s">
        <v>1</v>
      </c>
      <c r="E644" t="s">
        <v>3945</v>
      </c>
      <c r="F644" t="s">
        <v>598</v>
      </c>
    </row>
    <row r="645" spans="1:6" x14ac:dyDescent="0.2">
      <c r="A645" s="2">
        <v>46072</v>
      </c>
      <c r="B645" t="s">
        <v>567</v>
      </c>
      <c r="C645" t="s">
        <v>12</v>
      </c>
      <c r="D645" t="s">
        <v>1</v>
      </c>
      <c r="E645" t="s">
        <v>3848</v>
      </c>
      <c r="F645" t="s">
        <v>598</v>
      </c>
    </row>
    <row r="646" spans="1:6" x14ac:dyDescent="0.2">
      <c r="A646" s="2">
        <v>46073</v>
      </c>
      <c r="B646" t="s">
        <v>568</v>
      </c>
      <c r="C646" t="s">
        <v>11</v>
      </c>
      <c r="D646" t="s">
        <v>1</v>
      </c>
      <c r="E646" t="s">
        <v>4013</v>
      </c>
      <c r="F646" t="s">
        <v>598</v>
      </c>
    </row>
    <row r="647" spans="1:6" x14ac:dyDescent="0.2">
      <c r="A647" s="2">
        <v>46073</v>
      </c>
      <c r="B647" t="s">
        <v>568</v>
      </c>
      <c r="C647" t="s">
        <v>11</v>
      </c>
      <c r="D647" t="s">
        <v>1</v>
      </c>
      <c r="E647" t="s">
        <v>4013</v>
      </c>
      <c r="F647" t="s">
        <v>598</v>
      </c>
    </row>
    <row r="648" spans="1:6" x14ac:dyDescent="0.2">
      <c r="A648" s="2">
        <v>46073</v>
      </c>
      <c r="B648" t="s">
        <v>568</v>
      </c>
      <c r="C648" t="s">
        <v>11</v>
      </c>
      <c r="D648" t="s">
        <v>1</v>
      </c>
      <c r="E648" t="s">
        <v>4013</v>
      </c>
      <c r="F648" t="s">
        <v>598</v>
      </c>
    </row>
    <row r="649" spans="1:6" x14ac:dyDescent="0.2">
      <c r="A649" s="2">
        <v>46073</v>
      </c>
      <c r="B649" t="s">
        <v>568</v>
      </c>
      <c r="C649" t="s">
        <v>11</v>
      </c>
      <c r="D649" t="s">
        <v>1</v>
      </c>
      <c r="E649" t="s">
        <v>4013</v>
      </c>
      <c r="F649" t="s">
        <v>598</v>
      </c>
    </row>
    <row r="650" spans="1:6" x14ac:dyDescent="0.2">
      <c r="A650" s="2">
        <v>46074</v>
      </c>
      <c r="B650" t="s">
        <v>569</v>
      </c>
      <c r="C650" t="s">
        <v>12</v>
      </c>
      <c r="D650" t="s">
        <v>1</v>
      </c>
      <c r="E650" t="s">
        <v>4014</v>
      </c>
      <c r="F650" t="s">
        <v>598</v>
      </c>
    </row>
    <row r="651" spans="1:6" x14ac:dyDescent="0.2">
      <c r="A651" s="2">
        <v>46076</v>
      </c>
      <c r="B651" t="s">
        <v>570</v>
      </c>
      <c r="C651" t="s">
        <v>11</v>
      </c>
      <c r="D651" t="s">
        <v>1</v>
      </c>
      <c r="E651" t="s">
        <v>4015</v>
      </c>
      <c r="F651" t="s">
        <v>598</v>
      </c>
    </row>
    <row r="652" spans="1:6" x14ac:dyDescent="0.2">
      <c r="A652" s="2">
        <v>46077</v>
      </c>
      <c r="B652" t="s">
        <v>571</v>
      </c>
      <c r="C652" t="s">
        <v>11</v>
      </c>
      <c r="D652" t="s">
        <v>1</v>
      </c>
      <c r="E652" t="s">
        <v>3849</v>
      </c>
      <c r="F652" t="s">
        <v>598</v>
      </c>
    </row>
    <row r="653" spans="1:6" x14ac:dyDescent="0.2">
      <c r="A653" s="2">
        <v>46077</v>
      </c>
      <c r="B653" t="s">
        <v>571</v>
      </c>
      <c r="C653" t="s">
        <v>11</v>
      </c>
      <c r="D653" t="s">
        <v>1</v>
      </c>
      <c r="E653" t="s">
        <v>3849</v>
      </c>
      <c r="F653" t="s">
        <v>598</v>
      </c>
    </row>
    <row r="654" spans="1:6" x14ac:dyDescent="0.2">
      <c r="A654" s="2">
        <v>46079</v>
      </c>
      <c r="B654" t="s">
        <v>572</v>
      </c>
      <c r="C654" t="s">
        <v>12</v>
      </c>
      <c r="D654" t="s">
        <v>1</v>
      </c>
      <c r="E654" t="s">
        <v>4016</v>
      </c>
      <c r="F654" t="s">
        <v>598</v>
      </c>
    </row>
    <row r="655" spans="1:6" x14ac:dyDescent="0.2">
      <c r="A655" s="2">
        <v>46080</v>
      </c>
      <c r="B655" t="s">
        <v>573</v>
      </c>
      <c r="C655" t="s">
        <v>11</v>
      </c>
      <c r="D655" t="s">
        <v>1</v>
      </c>
      <c r="E655" t="s">
        <v>4017</v>
      </c>
      <c r="F655" t="s">
        <v>598</v>
      </c>
    </row>
    <row r="656" spans="1:6" x14ac:dyDescent="0.2">
      <c r="A656" s="2">
        <v>46080</v>
      </c>
      <c r="B656" t="s">
        <v>573</v>
      </c>
      <c r="C656" t="s">
        <v>11</v>
      </c>
      <c r="D656" t="s">
        <v>1</v>
      </c>
      <c r="E656" t="s">
        <v>4017</v>
      </c>
      <c r="F656" t="s">
        <v>598</v>
      </c>
    </row>
    <row r="657" spans="1:6" x14ac:dyDescent="0.2">
      <c r="A657" s="2">
        <v>46083</v>
      </c>
      <c r="B657" t="s">
        <v>574</v>
      </c>
      <c r="C657" t="s">
        <v>12</v>
      </c>
      <c r="D657" t="s">
        <v>1</v>
      </c>
      <c r="E657" t="s">
        <v>4018</v>
      </c>
      <c r="F657" t="s">
        <v>598</v>
      </c>
    </row>
    <row r="658" spans="1:6" x14ac:dyDescent="0.2">
      <c r="A658" s="2">
        <v>46084</v>
      </c>
      <c r="B658" t="s">
        <v>575</v>
      </c>
      <c r="C658" t="s">
        <v>12</v>
      </c>
      <c r="D658" t="s">
        <v>1</v>
      </c>
      <c r="E658" t="s">
        <v>3888</v>
      </c>
      <c r="F658" t="s">
        <v>598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F828"/>
  <sheetViews>
    <sheetView zoomScale="86" workbookViewId="0">
      <selection activeCell="E662" sqref="E662"/>
    </sheetView>
  </sheetViews>
  <sheetFormatPr defaultColWidth="10" defaultRowHeight="14.25" x14ac:dyDescent="0.2"/>
  <cols>
    <col min="1" max="1" width="17.75" customWidth="1"/>
    <col min="2" max="2" width="9.875" style="1" bestFit="1" customWidth="1"/>
    <col min="3" max="3" width="13.5" customWidth="1"/>
    <col min="4" max="4" width="15.25" customWidth="1"/>
    <col min="5" max="5" width="13.25" customWidth="1"/>
  </cols>
  <sheetData>
    <row r="1" spans="1:6" x14ac:dyDescent="0.2">
      <c r="A1" t="s">
        <v>15</v>
      </c>
      <c r="B1" s="1" t="s">
        <v>14</v>
      </c>
      <c r="C1" t="s">
        <v>5</v>
      </c>
      <c r="D1" t="s">
        <v>0</v>
      </c>
      <c r="E1" t="s">
        <v>16</v>
      </c>
      <c r="F1" t="s">
        <v>588</v>
      </c>
    </row>
    <row r="2" spans="1:6" x14ac:dyDescent="0.2">
      <c r="B2" s="1">
        <v>45566</v>
      </c>
      <c r="C2" t="s">
        <v>11</v>
      </c>
      <c r="D2" t="s">
        <v>1</v>
      </c>
      <c r="E2">
        <v>1201</v>
      </c>
      <c r="F2" t="str">
        <f>_xlfn.XLOOKUP(RAW_DATA_COL[[#This Row],[MATERIAL_ID]],DIM_MATERIAL[MATERIAL_ID],DIM_MATERIAL[UOM_IN])</f>
        <v>KG</v>
      </c>
    </row>
    <row r="3" spans="1:6" x14ac:dyDescent="0.2">
      <c r="B3" s="1">
        <v>45567</v>
      </c>
      <c r="C3" t="s">
        <v>11</v>
      </c>
      <c r="D3" t="s">
        <v>2</v>
      </c>
      <c r="E3">
        <v>7</v>
      </c>
      <c r="F3" t="str">
        <f>_xlfn.XLOOKUP(RAW_DATA_COL[[#This Row],[MATERIAL_ID]],DIM_MATERIAL[MATERIAL_ID],DIM_MATERIAL[UOM_IN])</f>
        <v>PCS</v>
      </c>
    </row>
    <row r="4" spans="1:6" x14ac:dyDescent="0.2">
      <c r="B4" s="1">
        <v>45569</v>
      </c>
      <c r="C4" t="s">
        <v>11</v>
      </c>
      <c r="D4" t="s">
        <v>1</v>
      </c>
      <c r="E4" t="s">
        <v>17</v>
      </c>
      <c r="F4" t="str">
        <f>_xlfn.XLOOKUP(RAW_DATA_COL[[#This Row],[MATERIAL_ID]],DIM_MATERIAL[MATERIAL_ID],DIM_MATERIAL[UOM_IN])</f>
        <v>KG</v>
      </c>
    </row>
    <row r="5" spans="1:6" x14ac:dyDescent="0.2">
      <c r="B5" s="1">
        <v>45569</v>
      </c>
      <c r="C5" t="s">
        <v>11</v>
      </c>
      <c r="D5" t="s">
        <v>2</v>
      </c>
      <c r="E5">
        <v>18</v>
      </c>
      <c r="F5" t="str">
        <f>_xlfn.XLOOKUP(RAW_DATA_COL[[#This Row],[MATERIAL_ID]],DIM_MATERIAL[MATERIAL_ID],DIM_MATERIAL[UOM_IN])</f>
        <v>PCS</v>
      </c>
    </row>
    <row r="6" spans="1:6" x14ac:dyDescent="0.2">
      <c r="B6" s="1">
        <v>45574</v>
      </c>
      <c r="C6" t="s">
        <v>11</v>
      </c>
      <c r="D6" t="s">
        <v>1</v>
      </c>
      <c r="E6" t="s">
        <v>18</v>
      </c>
      <c r="F6" t="str">
        <f>_xlfn.XLOOKUP(RAW_DATA_COL[[#This Row],[MATERIAL_ID]],DIM_MATERIAL[MATERIAL_ID],DIM_MATERIAL[UOM_IN])</f>
        <v>KG</v>
      </c>
    </row>
    <row r="7" spans="1:6" x14ac:dyDescent="0.2">
      <c r="B7" s="1">
        <v>45581</v>
      </c>
      <c r="C7" t="s">
        <v>11</v>
      </c>
      <c r="D7" t="s">
        <v>1</v>
      </c>
      <c r="E7">
        <v>1608</v>
      </c>
      <c r="F7" t="str">
        <f>_xlfn.XLOOKUP(RAW_DATA_COL[[#This Row],[MATERIAL_ID]],DIM_MATERIAL[MATERIAL_ID],DIM_MATERIAL[UOM_IN])</f>
        <v>KG</v>
      </c>
    </row>
    <row r="8" spans="1:6" x14ac:dyDescent="0.2">
      <c r="C8" t="s">
        <v>11</v>
      </c>
      <c r="D8" t="s">
        <v>2</v>
      </c>
      <c r="E8">
        <v>32</v>
      </c>
      <c r="F8" t="str">
        <f>_xlfn.XLOOKUP(RAW_DATA_COL[[#This Row],[MATERIAL_ID]],DIM_MATERIAL[MATERIAL_ID],DIM_MATERIAL[UOM_IN])</f>
        <v>PCS</v>
      </c>
    </row>
    <row r="9" spans="1:6" x14ac:dyDescent="0.2">
      <c r="B9" s="1">
        <v>45582</v>
      </c>
      <c r="C9" t="s">
        <v>11</v>
      </c>
      <c r="D9" t="s">
        <v>1</v>
      </c>
      <c r="E9">
        <v>557</v>
      </c>
      <c r="F9" t="str">
        <f>_xlfn.XLOOKUP(RAW_DATA_COL[[#This Row],[MATERIAL_ID]],DIM_MATERIAL[MATERIAL_ID],DIM_MATERIAL[UOM_IN])</f>
        <v>KG</v>
      </c>
    </row>
    <row r="10" spans="1:6" x14ac:dyDescent="0.2">
      <c r="C10" t="s">
        <v>12</v>
      </c>
      <c r="D10" t="s">
        <v>1</v>
      </c>
      <c r="E10">
        <v>946</v>
      </c>
      <c r="F10" t="str">
        <f>_xlfn.XLOOKUP(RAW_DATA_COL[[#This Row],[MATERIAL_ID]],DIM_MATERIAL[MATERIAL_ID],DIM_MATERIAL[UOM_IN])</f>
        <v>KG</v>
      </c>
    </row>
    <row r="11" spans="1:6" x14ac:dyDescent="0.2">
      <c r="B11" s="1">
        <v>45583</v>
      </c>
      <c r="C11" t="s">
        <v>11</v>
      </c>
      <c r="D11" t="s">
        <v>1</v>
      </c>
      <c r="E11" t="s">
        <v>19</v>
      </c>
      <c r="F11" t="str">
        <f>_xlfn.XLOOKUP(RAW_DATA_COL[[#This Row],[MATERIAL_ID]],DIM_MATERIAL[MATERIAL_ID],DIM_MATERIAL[UOM_IN])</f>
        <v>KG</v>
      </c>
    </row>
    <row r="12" spans="1:6" x14ac:dyDescent="0.2">
      <c r="B12" s="1">
        <v>45584</v>
      </c>
      <c r="C12" t="s">
        <v>12</v>
      </c>
      <c r="D12" t="s">
        <v>1</v>
      </c>
      <c r="E12" t="s">
        <v>20</v>
      </c>
      <c r="F12" t="str">
        <f>_xlfn.XLOOKUP(RAW_DATA_COL[[#This Row],[MATERIAL_ID]],DIM_MATERIAL[MATERIAL_ID],DIM_MATERIAL[UOM_IN])</f>
        <v>KG</v>
      </c>
    </row>
    <row r="13" spans="1:6" x14ac:dyDescent="0.2">
      <c r="B13" s="1">
        <v>45586</v>
      </c>
      <c r="C13" t="s">
        <v>11</v>
      </c>
      <c r="D13" t="s">
        <v>1</v>
      </c>
      <c r="E13">
        <v>1153</v>
      </c>
      <c r="F13" t="str">
        <f>_xlfn.XLOOKUP(RAW_DATA_COL[[#This Row],[MATERIAL_ID]],DIM_MATERIAL[MATERIAL_ID],DIM_MATERIAL[UOM_IN])</f>
        <v>KG</v>
      </c>
    </row>
    <row r="14" spans="1:6" x14ac:dyDescent="0.2">
      <c r="C14" t="s">
        <v>11</v>
      </c>
      <c r="D14" t="s">
        <v>2</v>
      </c>
      <c r="E14">
        <v>127</v>
      </c>
      <c r="F14" t="str">
        <f>_xlfn.XLOOKUP(RAW_DATA_COL[[#This Row],[MATERIAL_ID]],DIM_MATERIAL[MATERIAL_ID],DIM_MATERIAL[UOM_IN])</f>
        <v>PCS</v>
      </c>
    </row>
    <row r="15" spans="1:6" x14ac:dyDescent="0.2">
      <c r="B15" s="1">
        <v>45587</v>
      </c>
      <c r="C15" t="s">
        <v>11</v>
      </c>
      <c r="D15" t="s">
        <v>1</v>
      </c>
      <c r="E15">
        <v>1901</v>
      </c>
      <c r="F15" t="str">
        <f>_xlfn.XLOOKUP(RAW_DATA_COL[[#This Row],[MATERIAL_ID]],DIM_MATERIAL[MATERIAL_ID],DIM_MATERIAL[UOM_IN])</f>
        <v>KG</v>
      </c>
    </row>
    <row r="16" spans="1:6" x14ac:dyDescent="0.2">
      <c r="C16" t="s">
        <v>11</v>
      </c>
      <c r="D16" t="s">
        <v>2</v>
      </c>
      <c r="E16">
        <v>35</v>
      </c>
      <c r="F16" t="str">
        <f>_xlfn.XLOOKUP(RAW_DATA_COL[[#This Row],[MATERIAL_ID]],DIM_MATERIAL[MATERIAL_ID],DIM_MATERIAL[UOM_IN])</f>
        <v>PCS</v>
      </c>
    </row>
    <row r="17" spans="2:6" x14ac:dyDescent="0.2">
      <c r="C17" t="s">
        <v>12</v>
      </c>
      <c r="D17" t="s">
        <v>1</v>
      </c>
      <c r="E17" t="s">
        <v>21</v>
      </c>
      <c r="F17" t="str">
        <f>_xlfn.XLOOKUP(RAW_DATA_COL[[#This Row],[MATERIAL_ID]],DIM_MATERIAL[MATERIAL_ID],DIM_MATERIAL[UOM_IN])</f>
        <v>KG</v>
      </c>
    </row>
    <row r="18" spans="2:6" x14ac:dyDescent="0.2">
      <c r="B18" s="1">
        <v>45588</v>
      </c>
      <c r="C18" t="s">
        <v>11</v>
      </c>
      <c r="D18" t="s">
        <v>1</v>
      </c>
      <c r="E18">
        <v>1072</v>
      </c>
      <c r="F18" t="str">
        <f>_xlfn.XLOOKUP(RAW_DATA_COL[[#This Row],[MATERIAL_ID]],DIM_MATERIAL[MATERIAL_ID],DIM_MATERIAL[UOM_IN])</f>
        <v>KG</v>
      </c>
    </row>
    <row r="19" spans="2:6" x14ac:dyDescent="0.2">
      <c r="C19" t="s">
        <v>11</v>
      </c>
      <c r="D19" t="s">
        <v>2</v>
      </c>
      <c r="E19">
        <v>5</v>
      </c>
      <c r="F19" t="str">
        <f>_xlfn.XLOOKUP(RAW_DATA_COL[[#This Row],[MATERIAL_ID]],DIM_MATERIAL[MATERIAL_ID],DIM_MATERIAL[UOM_IN])</f>
        <v>PCS</v>
      </c>
    </row>
    <row r="20" spans="2:6" x14ac:dyDescent="0.2">
      <c r="C20" t="s">
        <v>12</v>
      </c>
      <c r="D20" t="s">
        <v>1</v>
      </c>
      <c r="E20" t="s">
        <v>22</v>
      </c>
      <c r="F20" t="str">
        <f>_xlfn.XLOOKUP(RAW_DATA_COL[[#This Row],[MATERIAL_ID]],DIM_MATERIAL[MATERIAL_ID],DIM_MATERIAL[UOM_IN])</f>
        <v>KG</v>
      </c>
    </row>
    <row r="21" spans="2:6" x14ac:dyDescent="0.2">
      <c r="B21" s="1">
        <v>45589</v>
      </c>
      <c r="C21" t="s">
        <v>11</v>
      </c>
      <c r="D21" t="s">
        <v>1</v>
      </c>
      <c r="E21" t="s">
        <v>23</v>
      </c>
      <c r="F21" t="str">
        <f>_xlfn.XLOOKUP(RAW_DATA_COL[[#This Row],[MATERIAL_ID]],DIM_MATERIAL[MATERIAL_ID],DIM_MATERIAL[UOM_IN])</f>
        <v>KG</v>
      </c>
    </row>
    <row r="22" spans="2:6" x14ac:dyDescent="0.2">
      <c r="B22" s="1">
        <v>45590</v>
      </c>
      <c r="C22" t="s">
        <v>11</v>
      </c>
      <c r="D22" t="s">
        <v>1</v>
      </c>
      <c r="E22" t="s">
        <v>24</v>
      </c>
      <c r="F22" t="str">
        <f>_xlfn.XLOOKUP(RAW_DATA_COL[[#This Row],[MATERIAL_ID]],DIM_MATERIAL[MATERIAL_ID],DIM_MATERIAL[UOM_IN])</f>
        <v>KG</v>
      </c>
    </row>
    <row r="23" spans="2:6" x14ac:dyDescent="0.2">
      <c r="C23" t="s">
        <v>12</v>
      </c>
      <c r="D23" t="s">
        <v>1</v>
      </c>
      <c r="E23" t="s">
        <v>25</v>
      </c>
      <c r="F23" t="str">
        <f>_xlfn.XLOOKUP(RAW_DATA_COL[[#This Row],[MATERIAL_ID]],DIM_MATERIAL[MATERIAL_ID],DIM_MATERIAL[UOM_IN])</f>
        <v>KG</v>
      </c>
    </row>
    <row r="24" spans="2:6" x14ac:dyDescent="0.2">
      <c r="B24" s="1">
        <v>45593</v>
      </c>
      <c r="C24" t="s">
        <v>11</v>
      </c>
      <c r="D24" t="s">
        <v>1</v>
      </c>
      <c r="E24" t="s">
        <v>26</v>
      </c>
      <c r="F24" t="str">
        <f>_xlfn.XLOOKUP(RAW_DATA_COL[[#This Row],[MATERIAL_ID]],DIM_MATERIAL[MATERIAL_ID],DIM_MATERIAL[UOM_IN])</f>
        <v>KG</v>
      </c>
    </row>
    <row r="25" spans="2:6" x14ac:dyDescent="0.2">
      <c r="C25" t="s">
        <v>11</v>
      </c>
      <c r="D25" t="s">
        <v>2</v>
      </c>
      <c r="E25">
        <v>23</v>
      </c>
      <c r="F25" t="str">
        <f>_xlfn.XLOOKUP(RAW_DATA_COL[[#This Row],[MATERIAL_ID]],DIM_MATERIAL[MATERIAL_ID],DIM_MATERIAL[UOM_IN])</f>
        <v>PCS</v>
      </c>
    </row>
    <row r="26" spans="2:6" x14ac:dyDescent="0.2">
      <c r="C26" t="s">
        <v>12</v>
      </c>
      <c r="D26" t="s">
        <v>1</v>
      </c>
      <c r="E26" t="s">
        <v>27</v>
      </c>
      <c r="F26" t="str">
        <f>_xlfn.XLOOKUP(RAW_DATA_COL[[#This Row],[MATERIAL_ID]],DIM_MATERIAL[MATERIAL_ID],DIM_MATERIAL[UOM_IN])</f>
        <v>KG</v>
      </c>
    </row>
    <row r="27" spans="2:6" x14ac:dyDescent="0.2">
      <c r="B27" s="1">
        <v>45594</v>
      </c>
      <c r="C27" t="s">
        <v>11</v>
      </c>
      <c r="D27" t="s">
        <v>1</v>
      </c>
      <c r="E27" t="s">
        <v>28</v>
      </c>
      <c r="F27" t="str">
        <f>_xlfn.XLOOKUP(RAW_DATA_COL[[#This Row],[MATERIAL_ID]],DIM_MATERIAL[MATERIAL_ID],DIM_MATERIAL[UOM_IN])</f>
        <v>KG</v>
      </c>
    </row>
    <row r="28" spans="2:6" x14ac:dyDescent="0.2">
      <c r="C28" t="s">
        <v>11</v>
      </c>
      <c r="D28" t="s">
        <v>2</v>
      </c>
      <c r="E28">
        <v>17</v>
      </c>
      <c r="F28" t="str">
        <f>_xlfn.XLOOKUP(RAW_DATA_COL[[#This Row],[MATERIAL_ID]],DIM_MATERIAL[MATERIAL_ID],DIM_MATERIAL[UOM_IN])</f>
        <v>PCS</v>
      </c>
    </row>
    <row r="29" spans="2:6" x14ac:dyDescent="0.2">
      <c r="C29" t="s">
        <v>12</v>
      </c>
      <c r="D29" t="s">
        <v>1</v>
      </c>
      <c r="E29" t="s">
        <v>29</v>
      </c>
      <c r="F29" t="str">
        <f>_xlfn.XLOOKUP(RAW_DATA_COL[[#This Row],[MATERIAL_ID]],DIM_MATERIAL[MATERIAL_ID],DIM_MATERIAL[UOM_IN])</f>
        <v>KG</v>
      </c>
    </row>
    <row r="30" spans="2:6" x14ac:dyDescent="0.2">
      <c r="B30" s="1">
        <v>45595</v>
      </c>
      <c r="C30" t="s">
        <v>11</v>
      </c>
      <c r="D30" t="s">
        <v>1</v>
      </c>
      <c r="E30" t="s">
        <v>30</v>
      </c>
      <c r="F30" t="str">
        <f>_xlfn.XLOOKUP(RAW_DATA_COL[[#This Row],[MATERIAL_ID]],DIM_MATERIAL[MATERIAL_ID],DIM_MATERIAL[UOM_IN])</f>
        <v>KG</v>
      </c>
    </row>
    <row r="31" spans="2:6" x14ac:dyDescent="0.2">
      <c r="C31" t="s">
        <v>12</v>
      </c>
      <c r="D31" t="s">
        <v>1</v>
      </c>
      <c r="E31" t="s">
        <v>31</v>
      </c>
      <c r="F31" t="str">
        <f>_xlfn.XLOOKUP(RAW_DATA_COL[[#This Row],[MATERIAL_ID]],DIM_MATERIAL[MATERIAL_ID],DIM_MATERIAL[UOM_IN])</f>
        <v>KG</v>
      </c>
    </row>
    <row r="32" spans="2:6" x14ac:dyDescent="0.2">
      <c r="B32" s="1">
        <v>45596</v>
      </c>
      <c r="C32" t="s">
        <v>11</v>
      </c>
      <c r="D32" t="s">
        <v>1</v>
      </c>
      <c r="E32" t="s">
        <v>32</v>
      </c>
      <c r="F32" t="str">
        <f>_xlfn.XLOOKUP(RAW_DATA_COL[[#This Row],[MATERIAL_ID]],DIM_MATERIAL[MATERIAL_ID],DIM_MATERIAL[UOM_IN])</f>
        <v>KG</v>
      </c>
    </row>
    <row r="33" spans="2:6" x14ac:dyDescent="0.2">
      <c r="C33" t="s">
        <v>11</v>
      </c>
      <c r="D33" t="s">
        <v>2</v>
      </c>
      <c r="E33">
        <v>26</v>
      </c>
      <c r="F33" t="str">
        <f>_xlfn.XLOOKUP(RAW_DATA_COL[[#This Row],[MATERIAL_ID]],DIM_MATERIAL[MATERIAL_ID],DIM_MATERIAL[UOM_IN])</f>
        <v>PCS</v>
      </c>
    </row>
    <row r="34" spans="2:6" x14ac:dyDescent="0.2">
      <c r="C34" t="s">
        <v>12</v>
      </c>
      <c r="D34" t="s">
        <v>1</v>
      </c>
      <c r="E34" t="s">
        <v>33</v>
      </c>
      <c r="F34" t="str">
        <f>_xlfn.XLOOKUP(RAW_DATA_COL[[#This Row],[MATERIAL_ID]],DIM_MATERIAL[MATERIAL_ID],DIM_MATERIAL[UOM_IN])</f>
        <v>KG</v>
      </c>
    </row>
    <row r="35" spans="2:6" x14ac:dyDescent="0.2">
      <c r="B35" s="1">
        <v>45597</v>
      </c>
      <c r="C35" t="s">
        <v>11</v>
      </c>
      <c r="D35" t="s">
        <v>1</v>
      </c>
      <c r="E35" t="s">
        <v>34</v>
      </c>
      <c r="F35" t="str">
        <f>_xlfn.XLOOKUP(RAW_DATA_COL[[#This Row],[MATERIAL_ID]],DIM_MATERIAL[MATERIAL_ID],DIM_MATERIAL[UOM_IN])</f>
        <v>KG</v>
      </c>
    </row>
    <row r="36" spans="2:6" x14ac:dyDescent="0.2">
      <c r="C36" t="s">
        <v>12</v>
      </c>
      <c r="D36" t="s">
        <v>1</v>
      </c>
      <c r="E36" t="s">
        <v>35</v>
      </c>
      <c r="F36" t="str">
        <f>_xlfn.XLOOKUP(RAW_DATA_COL[[#This Row],[MATERIAL_ID]],DIM_MATERIAL[MATERIAL_ID],DIM_MATERIAL[UOM_IN])</f>
        <v>KG</v>
      </c>
    </row>
    <row r="37" spans="2:6" x14ac:dyDescent="0.2">
      <c r="B37" s="1">
        <v>45600</v>
      </c>
      <c r="C37" t="s">
        <v>11</v>
      </c>
      <c r="D37" t="s">
        <v>1</v>
      </c>
      <c r="E37" t="s">
        <v>36</v>
      </c>
      <c r="F37" t="str">
        <f>_xlfn.XLOOKUP(RAW_DATA_COL[[#This Row],[MATERIAL_ID]],DIM_MATERIAL[MATERIAL_ID],DIM_MATERIAL[UOM_IN])</f>
        <v>KG</v>
      </c>
    </row>
    <row r="38" spans="2:6" x14ac:dyDescent="0.2">
      <c r="C38" t="s">
        <v>11</v>
      </c>
      <c r="D38" t="s">
        <v>2</v>
      </c>
      <c r="E38">
        <v>222</v>
      </c>
      <c r="F38" t="str">
        <f>_xlfn.XLOOKUP(RAW_DATA_COL[[#This Row],[MATERIAL_ID]],DIM_MATERIAL[MATERIAL_ID],DIM_MATERIAL[UOM_IN])</f>
        <v>PCS</v>
      </c>
    </row>
    <row r="39" spans="2:6" x14ac:dyDescent="0.2">
      <c r="C39" t="s">
        <v>12</v>
      </c>
      <c r="D39" t="s">
        <v>1</v>
      </c>
      <c r="E39" t="s">
        <v>37</v>
      </c>
      <c r="F39" t="str">
        <f>_xlfn.XLOOKUP(RAW_DATA_COL[[#This Row],[MATERIAL_ID]],DIM_MATERIAL[MATERIAL_ID],DIM_MATERIAL[UOM_IN])</f>
        <v>KG</v>
      </c>
    </row>
    <row r="40" spans="2:6" x14ac:dyDescent="0.2">
      <c r="B40" s="1">
        <v>45601</v>
      </c>
      <c r="C40" t="s">
        <v>11</v>
      </c>
      <c r="D40" t="s">
        <v>1</v>
      </c>
      <c r="E40" t="s">
        <v>38</v>
      </c>
      <c r="F40" t="str">
        <f>_xlfn.XLOOKUP(RAW_DATA_COL[[#This Row],[MATERIAL_ID]],DIM_MATERIAL[MATERIAL_ID],DIM_MATERIAL[UOM_IN])</f>
        <v>KG</v>
      </c>
    </row>
    <row r="41" spans="2:6" x14ac:dyDescent="0.2">
      <c r="C41" t="s">
        <v>11</v>
      </c>
      <c r="D41" t="s">
        <v>2</v>
      </c>
      <c r="E41">
        <v>37</v>
      </c>
      <c r="F41" t="str">
        <f>_xlfn.XLOOKUP(RAW_DATA_COL[[#This Row],[MATERIAL_ID]],DIM_MATERIAL[MATERIAL_ID],DIM_MATERIAL[UOM_IN])</f>
        <v>PCS</v>
      </c>
    </row>
    <row r="42" spans="2:6" x14ac:dyDescent="0.2">
      <c r="B42" s="1">
        <v>45602</v>
      </c>
      <c r="C42" t="s">
        <v>11</v>
      </c>
      <c r="D42" t="s">
        <v>1</v>
      </c>
      <c r="E42" t="s">
        <v>39</v>
      </c>
      <c r="F42" t="str">
        <f>_xlfn.XLOOKUP(RAW_DATA_COL[[#This Row],[MATERIAL_ID]],DIM_MATERIAL[MATERIAL_ID],DIM_MATERIAL[UOM_IN])</f>
        <v>KG</v>
      </c>
    </row>
    <row r="43" spans="2:6" x14ac:dyDescent="0.2">
      <c r="C43" t="s">
        <v>11</v>
      </c>
      <c r="D43" t="s">
        <v>2</v>
      </c>
      <c r="E43">
        <v>41</v>
      </c>
      <c r="F43" t="str">
        <f>_xlfn.XLOOKUP(RAW_DATA_COL[[#This Row],[MATERIAL_ID]],DIM_MATERIAL[MATERIAL_ID],DIM_MATERIAL[UOM_IN])</f>
        <v>PCS</v>
      </c>
    </row>
    <row r="44" spans="2:6" x14ac:dyDescent="0.2">
      <c r="C44" t="s">
        <v>12</v>
      </c>
      <c r="D44" t="s">
        <v>1</v>
      </c>
      <c r="E44" t="s">
        <v>40</v>
      </c>
      <c r="F44" t="str">
        <f>_xlfn.XLOOKUP(RAW_DATA_COL[[#This Row],[MATERIAL_ID]],DIM_MATERIAL[MATERIAL_ID],DIM_MATERIAL[UOM_IN])</f>
        <v>KG</v>
      </c>
    </row>
    <row r="45" spans="2:6" x14ac:dyDescent="0.2">
      <c r="B45" s="1">
        <v>45603</v>
      </c>
      <c r="C45" t="s">
        <v>11</v>
      </c>
      <c r="D45" t="s">
        <v>1</v>
      </c>
      <c r="E45">
        <v>881</v>
      </c>
      <c r="F45" t="str">
        <f>_xlfn.XLOOKUP(RAW_DATA_COL[[#This Row],[MATERIAL_ID]],DIM_MATERIAL[MATERIAL_ID],DIM_MATERIAL[UOM_IN])</f>
        <v>KG</v>
      </c>
    </row>
    <row r="46" spans="2:6" x14ac:dyDescent="0.2">
      <c r="B46" s="1">
        <v>45604</v>
      </c>
      <c r="C46" t="s">
        <v>11</v>
      </c>
      <c r="D46" t="s">
        <v>1</v>
      </c>
      <c r="E46" t="s">
        <v>41</v>
      </c>
      <c r="F46" t="str">
        <f>_xlfn.XLOOKUP(RAW_DATA_COL[[#This Row],[MATERIAL_ID]],DIM_MATERIAL[MATERIAL_ID],DIM_MATERIAL[UOM_IN])</f>
        <v>KG</v>
      </c>
    </row>
    <row r="47" spans="2:6" x14ac:dyDescent="0.2">
      <c r="B47" s="1">
        <v>45607</v>
      </c>
      <c r="C47" t="s">
        <v>11</v>
      </c>
      <c r="D47" t="s">
        <v>1</v>
      </c>
      <c r="E47" t="s">
        <v>42</v>
      </c>
      <c r="F47" t="str">
        <f>_xlfn.XLOOKUP(RAW_DATA_COL[[#This Row],[MATERIAL_ID]],DIM_MATERIAL[MATERIAL_ID],DIM_MATERIAL[UOM_IN])</f>
        <v>KG</v>
      </c>
    </row>
    <row r="48" spans="2:6" x14ac:dyDescent="0.2">
      <c r="C48" t="s">
        <v>12</v>
      </c>
      <c r="D48" t="s">
        <v>1</v>
      </c>
      <c r="E48" t="s">
        <v>43</v>
      </c>
      <c r="F48" t="str">
        <f>_xlfn.XLOOKUP(RAW_DATA_COL[[#This Row],[MATERIAL_ID]],DIM_MATERIAL[MATERIAL_ID],DIM_MATERIAL[UOM_IN])</f>
        <v>KG</v>
      </c>
    </row>
    <row r="49" spans="2:6" x14ac:dyDescent="0.2">
      <c r="B49" s="1">
        <v>45608</v>
      </c>
      <c r="C49" t="s">
        <v>11</v>
      </c>
      <c r="D49" t="s">
        <v>1</v>
      </c>
      <c r="E49" t="s">
        <v>44</v>
      </c>
      <c r="F49" t="str">
        <f>_xlfn.XLOOKUP(RAW_DATA_COL[[#This Row],[MATERIAL_ID]],DIM_MATERIAL[MATERIAL_ID],DIM_MATERIAL[UOM_IN])</f>
        <v>KG</v>
      </c>
    </row>
    <row r="50" spans="2:6" x14ac:dyDescent="0.2">
      <c r="C50" t="s">
        <v>11</v>
      </c>
      <c r="D50" t="s">
        <v>2</v>
      </c>
      <c r="E50">
        <v>130</v>
      </c>
      <c r="F50" t="str">
        <f>_xlfn.XLOOKUP(RAW_DATA_COL[[#This Row],[MATERIAL_ID]],DIM_MATERIAL[MATERIAL_ID],DIM_MATERIAL[UOM_IN])</f>
        <v>PCS</v>
      </c>
    </row>
    <row r="51" spans="2:6" x14ac:dyDescent="0.2">
      <c r="C51" t="s">
        <v>12</v>
      </c>
      <c r="D51" t="s">
        <v>1</v>
      </c>
      <c r="E51">
        <v>617</v>
      </c>
      <c r="F51" t="str">
        <f>_xlfn.XLOOKUP(RAW_DATA_COL[[#This Row],[MATERIAL_ID]],DIM_MATERIAL[MATERIAL_ID],DIM_MATERIAL[UOM_IN])</f>
        <v>KG</v>
      </c>
    </row>
    <row r="52" spans="2:6" x14ac:dyDescent="0.2">
      <c r="B52" s="1">
        <v>45609</v>
      </c>
      <c r="C52" t="s">
        <v>11</v>
      </c>
      <c r="D52" t="s">
        <v>1</v>
      </c>
      <c r="E52" t="s">
        <v>45</v>
      </c>
      <c r="F52" t="str">
        <f>_xlfn.XLOOKUP(RAW_DATA_COL[[#This Row],[MATERIAL_ID]],DIM_MATERIAL[MATERIAL_ID],DIM_MATERIAL[UOM_IN])</f>
        <v>KG</v>
      </c>
    </row>
    <row r="53" spans="2:6" x14ac:dyDescent="0.2">
      <c r="B53" s="1">
        <v>45610</v>
      </c>
      <c r="C53" t="s">
        <v>11</v>
      </c>
      <c r="D53" t="s">
        <v>1</v>
      </c>
      <c r="E53" t="s">
        <v>46</v>
      </c>
      <c r="F53" t="str">
        <f>_xlfn.XLOOKUP(RAW_DATA_COL[[#This Row],[MATERIAL_ID]],DIM_MATERIAL[MATERIAL_ID],DIM_MATERIAL[UOM_IN])</f>
        <v>KG</v>
      </c>
    </row>
    <row r="54" spans="2:6" x14ac:dyDescent="0.2">
      <c r="C54" t="s">
        <v>11</v>
      </c>
      <c r="D54" t="s">
        <v>2</v>
      </c>
      <c r="E54">
        <v>28</v>
      </c>
      <c r="F54" t="str">
        <f>_xlfn.XLOOKUP(RAW_DATA_COL[[#This Row],[MATERIAL_ID]],DIM_MATERIAL[MATERIAL_ID],DIM_MATERIAL[UOM_IN])</f>
        <v>PCS</v>
      </c>
    </row>
    <row r="55" spans="2:6" x14ac:dyDescent="0.2">
      <c r="B55" s="1">
        <v>45611</v>
      </c>
      <c r="C55" t="s">
        <v>11</v>
      </c>
      <c r="D55" t="s">
        <v>1</v>
      </c>
      <c r="E55" t="s">
        <v>47</v>
      </c>
      <c r="F55" t="str">
        <f>_xlfn.XLOOKUP(RAW_DATA_COL[[#This Row],[MATERIAL_ID]],DIM_MATERIAL[MATERIAL_ID],DIM_MATERIAL[UOM_IN])</f>
        <v>KG</v>
      </c>
    </row>
    <row r="56" spans="2:6" x14ac:dyDescent="0.2">
      <c r="C56" t="s">
        <v>11</v>
      </c>
      <c r="D56" t="s">
        <v>2</v>
      </c>
      <c r="E56">
        <v>17</v>
      </c>
      <c r="F56" t="str">
        <f>_xlfn.XLOOKUP(RAW_DATA_COL[[#This Row],[MATERIAL_ID]],DIM_MATERIAL[MATERIAL_ID],DIM_MATERIAL[UOM_IN])</f>
        <v>PCS</v>
      </c>
    </row>
    <row r="57" spans="2:6" x14ac:dyDescent="0.2">
      <c r="B57" s="1">
        <v>45614</v>
      </c>
      <c r="C57" t="s">
        <v>11</v>
      </c>
      <c r="D57" t="s">
        <v>1</v>
      </c>
      <c r="E57" t="s">
        <v>48</v>
      </c>
      <c r="F57" t="str">
        <f>_xlfn.XLOOKUP(RAW_DATA_COL[[#This Row],[MATERIAL_ID]],DIM_MATERIAL[MATERIAL_ID],DIM_MATERIAL[UOM_IN])</f>
        <v>KG</v>
      </c>
    </row>
    <row r="58" spans="2:6" x14ac:dyDescent="0.2">
      <c r="B58" s="1">
        <v>45615</v>
      </c>
      <c r="C58" t="s">
        <v>11</v>
      </c>
      <c r="D58" t="s">
        <v>1</v>
      </c>
      <c r="E58" t="s">
        <v>49</v>
      </c>
      <c r="F58" t="str">
        <f>_xlfn.XLOOKUP(RAW_DATA_COL[[#This Row],[MATERIAL_ID]],DIM_MATERIAL[MATERIAL_ID],DIM_MATERIAL[UOM_IN])</f>
        <v>KG</v>
      </c>
    </row>
    <row r="59" spans="2:6" x14ac:dyDescent="0.2">
      <c r="C59" t="s">
        <v>11</v>
      </c>
      <c r="D59" t="s">
        <v>2</v>
      </c>
      <c r="E59">
        <v>47</v>
      </c>
      <c r="F59" t="str">
        <f>_xlfn.XLOOKUP(RAW_DATA_COL[[#This Row],[MATERIAL_ID]],DIM_MATERIAL[MATERIAL_ID],DIM_MATERIAL[UOM_IN])</f>
        <v>PCS</v>
      </c>
    </row>
    <row r="60" spans="2:6" x14ac:dyDescent="0.2">
      <c r="C60" t="s">
        <v>12</v>
      </c>
      <c r="D60" t="s">
        <v>1</v>
      </c>
      <c r="E60">
        <v>444</v>
      </c>
      <c r="F60" t="str">
        <f>_xlfn.XLOOKUP(RAW_DATA_COL[[#This Row],[MATERIAL_ID]],DIM_MATERIAL[MATERIAL_ID],DIM_MATERIAL[UOM_IN])</f>
        <v>KG</v>
      </c>
    </row>
    <row r="61" spans="2:6" x14ac:dyDescent="0.2">
      <c r="B61" s="1">
        <v>45616</v>
      </c>
      <c r="C61" t="s">
        <v>11</v>
      </c>
      <c r="D61" t="s">
        <v>1</v>
      </c>
      <c r="E61" t="s">
        <v>50</v>
      </c>
      <c r="F61" t="str">
        <f>_xlfn.XLOOKUP(RAW_DATA_COL[[#This Row],[MATERIAL_ID]],DIM_MATERIAL[MATERIAL_ID],DIM_MATERIAL[UOM_IN])</f>
        <v>KG</v>
      </c>
    </row>
    <row r="62" spans="2:6" x14ac:dyDescent="0.2">
      <c r="C62" t="s">
        <v>11</v>
      </c>
      <c r="D62" t="s">
        <v>2</v>
      </c>
      <c r="E62">
        <v>50</v>
      </c>
      <c r="F62" t="str">
        <f>_xlfn.XLOOKUP(RAW_DATA_COL[[#This Row],[MATERIAL_ID]],DIM_MATERIAL[MATERIAL_ID],DIM_MATERIAL[UOM_IN])</f>
        <v>PCS</v>
      </c>
    </row>
    <row r="63" spans="2:6" x14ac:dyDescent="0.2">
      <c r="B63" s="1">
        <v>45617</v>
      </c>
      <c r="C63" t="s">
        <v>11</v>
      </c>
      <c r="D63" t="s">
        <v>1</v>
      </c>
      <c r="E63" t="s">
        <v>51</v>
      </c>
      <c r="F63" t="str">
        <f>_xlfn.XLOOKUP(RAW_DATA_COL[[#This Row],[MATERIAL_ID]],DIM_MATERIAL[MATERIAL_ID],DIM_MATERIAL[UOM_IN])</f>
        <v>KG</v>
      </c>
    </row>
    <row r="64" spans="2:6" x14ac:dyDescent="0.2">
      <c r="C64" t="s">
        <v>11</v>
      </c>
      <c r="D64" t="s">
        <v>2</v>
      </c>
      <c r="E64">
        <v>7</v>
      </c>
      <c r="F64" t="str">
        <f>_xlfn.XLOOKUP(RAW_DATA_COL[[#This Row],[MATERIAL_ID]],DIM_MATERIAL[MATERIAL_ID],DIM_MATERIAL[UOM_IN])</f>
        <v>PCS</v>
      </c>
    </row>
    <row r="65" spans="2:6" x14ac:dyDescent="0.2">
      <c r="C65" t="s">
        <v>12</v>
      </c>
      <c r="D65" t="s">
        <v>1</v>
      </c>
      <c r="E65" t="s">
        <v>52</v>
      </c>
      <c r="F65" t="str">
        <f>_xlfn.XLOOKUP(RAW_DATA_COL[[#This Row],[MATERIAL_ID]],DIM_MATERIAL[MATERIAL_ID],DIM_MATERIAL[UOM_IN])</f>
        <v>KG</v>
      </c>
    </row>
    <row r="66" spans="2:6" x14ac:dyDescent="0.2">
      <c r="B66" s="1">
        <v>45618</v>
      </c>
      <c r="C66" t="s">
        <v>11</v>
      </c>
      <c r="D66" t="s">
        <v>1</v>
      </c>
      <c r="E66">
        <v>618</v>
      </c>
      <c r="F66" t="str">
        <f>_xlfn.XLOOKUP(RAW_DATA_COL[[#This Row],[MATERIAL_ID]],DIM_MATERIAL[MATERIAL_ID],DIM_MATERIAL[UOM_IN])</f>
        <v>KG</v>
      </c>
    </row>
    <row r="67" spans="2:6" x14ac:dyDescent="0.2">
      <c r="B67" s="1">
        <v>45621</v>
      </c>
      <c r="C67" t="s">
        <v>11</v>
      </c>
      <c r="D67" t="s">
        <v>1</v>
      </c>
      <c r="E67" t="s">
        <v>53</v>
      </c>
      <c r="F67" t="str">
        <f>_xlfn.XLOOKUP(RAW_DATA_COL[[#This Row],[MATERIAL_ID]],DIM_MATERIAL[MATERIAL_ID],DIM_MATERIAL[UOM_IN])</f>
        <v>KG</v>
      </c>
    </row>
    <row r="68" spans="2:6" x14ac:dyDescent="0.2">
      <c r="C68" t="s">
        <v>11</v>
      </c>
      <c r="D68" t="s">
        <v>2</v>
      </c>
      <c r="E68">
        <v>64</v>
      </c>
      <c r="F68" t="str">
        <f>_xlfn.XLOOKUP(RAW_DATA_COL[[#This Row],[MATERIAL_ID]],DIM_MATERIAL[MATERIAL_ID],DIM_MATERIAL[UOM_IN])</f>
        <v>PCS</v>
      </c>
    </row>
    <row r="69" spans="2:6" x14ac:dyDescent="0.2">
      <c r="C69" t="s">
        <v>12</v>
      </c>
      <c r="D69" t="s">
        <v>1</v>
      </c>
      <c r="E69" t="s">
        <v>54</v>
      </c>
      <c r="F69" t="str">
        <f>_xlfn.XLOOKUP(RAW_DATA_COL[[#This Row],[MATERIAL_ID]],DIM_MATERIAL[MATERIAL_ID],DIM_MATERIAL[UOM_IN])</f>
        <v>KG</v>
      </c>
    </row>
    <row r="70" spans="2:6" x14ac:dyDescent="0.2">
      <c r="B70" s="1">
        <v>45622</v>
      </c>
      <c r="C70" t="s">
        <v>11</v>
      </c>
      <c r="D70" t="s">
        <v>1</v>
      </c>
      <c r="E70" t="s">
        <v>55</v>
      </c>
      <c r="F70" t="str">
        <f>_xlfn.XLOOKUP(RAW_DATA_COL[[#This Row],[MATERIAL_ID]],DIM_MATERIAL[MATERIAL_ID],DIM_MATERIAL[UOM_IN])</f>
        <v>KG</v>
      </c>
    </row>
    <row r="71" spans="2:6" x14ac:dyDescent="0.2">
      <c r="C71" t="s">
        <v>11</v>
      </c>
      <c r="D71" t="s">
        <v>2</v>
      </c>
      <c r="E71">
        <v>46</v>
      </c>
      <c r="F71" t="str">
        <f>_xlfn.XLOOKUP(RAW_DATA_COL[[#This Row],[MATERIAL_ID]],DIM_MATERIAL[MATERIAL_ID],DIM_MATERIAL[UOM_IN])</f>
        <v>PCS</v>
      </c>
    </row>
    <row r="72" spans="2:6" x14ac:dyDescent="0.2">
      <c r="C72" t="s">
        <v>12</v>
      </c>
      <c r="D72" t="s">
        <v>1</v>
      </c>
      <c r="E72" t="s">
        <v>56</v>
      </c>
      <c r="F72" t="str">
        <f>_xlfn.XLOOKUP(RAW_DATA_COL[[#This Row],[MATERIAL_ID]],DIM_MATERIAL[MATERIAL_ID],DIM_MATERIAL[UOM_IN])</f>
        <v>KG</v>
      </c>
    </row>
    <row r="73" spans="2:6" x14ac:dyDescent="0.2">
      <c r="B73" s="1">
        <v>45623</v>
      </c>
      <c r="C73" t="s">
        <v>11</v>
      </c>
      <c r="D73" t="s">
        <v>1</v>
      </c>
      <c r="E73" t="s">
        <v>57</v>
      </c>
      <c r="F73" t="str">
        <f>_xlfn.XLOOKUP(RAW_DATA_COL[[#This Row],[MATERIAL_ID]],DIM_MATERIAL[MATERIAL_ID],DIM_MATERIAL[UOM_IN])</f>
        <v>KG</v>
      </c>
    </row>
    <row r="74" spans="2:6" x14ac:dyDescent="0.2">
      <c r="C74" t="s">
        <v>12</v>
      </c>
      <c r="D74" t="s">
        <v>1</v>
      </c>
      <c r="E74">
        <v>412</v>
      </c>
      <c r="F74" t="str">
        <f>_xlfn.XLOOKUP(RAW_DATA_COL[[#This Row],[MATERIAL_ID]],DIM_MATERIAL[MATERIAL_ID],DIM_MATERIAL[UOM_IN])</f>
        <v>KG</v>
      </c>
    </row>
    <row r="75" spans="2:6" x14ac:dyDescent="0.2">
      <c r="B75" s="1">
        <v>45625</v>
      </c>
      <c r="C75" t="s">
        <v>11</v>
      </c>
      <c r="D75" t="s">
        <v>1</v>
      </c>
      <c r="E75" t="s">
        <v>58</v>
      </c>
      <c r="F75" t="str">
        <f>_xlfn.XLOOKUP(RAW_DATA_COL[[#This Row],[MATERIAL_ID]],DIM_MATERIAL[MATERIAL_ID],DIM_MATERIAL[UOM_IN])</f>
        <v>KG</v>
      </c>
    </row>
    <row r="76" spans="2:6" x14ac:dyDescent="0.2">
      <c r="C76" t="s">
        <v>11</v>
      </c>
      <c r="D76" t="s">
        <v>2</v>
      </c>
      <c r="E76">
        <v>48</v>
      </c>
      <c r="F76" t="str">
        <f>_xlfn.XLOOKUP(RAW_DATA_COL[[#This Row],[MATERIAL_ID]],DIM_MATERIAL[MATERIAL_ID],DIM_MATERIAL[UOM_IN])</f>
        <v>PCS</v>
      </c>
    </row>
    <row r="77" spans="2:6" x14ac:dyDescent="0.2">
      <c r="B77" s="1">
        <v>45628</v>
      </c>
      <c r="C77" t="s">
        <v>11</v>
      </c>
      <c r="D77" t="s">
        <v>1</v>
      </c>
      <c r="E77" t="s">
        <v>59</v>
      </c>
      <c r="F77" t="str">
        <f>_xlfn.XLOOKUP(RAW_DATA_COL[[#This Row],[MATERIAL_ID]],DIM_MATERIAL[MATERIAL_ID],DIM_MATERIAL[UOM_IN])</f>
        <v>KG</v>
      </c>
    </row>
    <row r="78" spans="2:6" x14ac:dyDescent="0.2">
      <c r="C78" t="s">
        <v>12</v>
      </c>
      <c r="D78" t="s">
        <v>1</v>
      </c>
      <c r="E78" t="s">
        <v>60</v>
      </c>
      <c r="F78" t="str">
        <f>_xlfn.XLOOKUP(RAW_DATA_COL[[#This Row],[MATERIAL_ID]],DIM_MATERIAL[MATERIAL_ID],DIM_MATERIAL[UOM_IN])</f>
        <v>KG</v>
      </c>
    </row>
    <row r="79" spans="2:6" x14ac:dyDescent="0.2">
      <c r="B79" s="1">
        <v>45629</v>
      </c>
      <c r="C79" t="s">
        <v>11</v>
      </c>
      <c r="D79" t="s">
        <v>1</v>
      </c>
      <c r="E79" t="s">
        <v>61</v>
      </c>
      <c r="F79" t="str">
        <f>_xlfn.XLOOKUP(RAW_DATA_COL[[#This Row],[MATERIAL_ID]],DIM_MATERIAL[MATERIAL_ID],DIM_MATERIAL[UOM_IN])</f>
        <v>KG</v>
      </c>
    </row>
    <row r="80" spans="2:6" x14ac:dyDescent="0.2">
      <c r="C80" t="s">
        <v>11</v>
      </c>
      <c r="D80" t="s">
        <v>2</v>
      </c>
      <c r="E80">
        <v>17</v>
      </c>
      <c r="F80" t="str">
        <f>_xlfn.XLOOKUP(RAW_DATA_COL[[#This Row],[MATERIAL_ID]],DIM_MATERIAL[MATERIAL_ID],DIM_MATERIAL[UOM_IN])</f>
        <v>PCS</v>
      </c>
    </row>
    <row r="81" spans="2:6" x14ac:dyDescent="0.2">
      <c r="B81" s="1">
        <v>45630</v>
      </c>
      <c r="C81" t="s">
        <v>11</v>
      </c>
      <c r="D81" t="s">
        <v>1</v>
      </c>
      <c r="E81" t="s">
        <v>62</v>
      </c>
      <c r="F81" t="str">
        <f>_xlfn.XLOOKUP(RAW_DATA_COL[[#This Row],[MATERIAL_ID]],DIM_MATERIAL[MATERIAL_ID],DIM_MATERIAL[UOM_IN])</f>
        <v>KG</v>
      </c>
    </row>
    <row r="82" spans="2:6" x14ac:dyDescent="0.2">
      <c r="C82" t="s">
        <v>11</v>
      </c>
      <c r="D82" t="s">
        <v>2</v>
      </c>
      <c r="E82">
        <v>140</v>
      </c>
      <c r="F82" t="str">
        <f>_xlfn.XLOOKUP(RAW_DATA_COL[[#This Row],[MATERIAL_ID]],DIM_MATERIAL[MATERIAL_ID],DIM_MATERIAL[UOM_IN])</f>
        <v>PCS</v>
      </c>
    </row>
    <row r="83" spans="2:6" x14ac:dyDescent="0.2">
      <c r="B83" s="1">
        <v>45631</v>
      </c>
      <c r="C83" t="s">
        <v>11</v>
      </c>
      <c r="D83" t="s">
        <v>1</v>
      </c>
      <c r="E83">
        <v>1584</v>
      </c>
      <c r="F83" t="str">
        <f>_xlfn.XLOOKUP(RAW_DATA_COL[[#This Row],[MATERIAL_ID]],DIM_MATERIAL[MATERIAL_ID],DIM_MATERIAL[UOM_IN])</f>
        <v>KG</v>
      </c>
    </row>
    <row r="84" spans="2:6" x14ac:dyDescent="0.2">
      <c r="B84" s="1">
        <v>45632</v>
      </c>
      <c r="C84" t="s">
        <v>11</v>
      </c>
      <c r="D84" t="s">
        <v>1</v>
      </c>
      <c r="E84" t="s">
        <v>63</v>
      </c>
      <c r="F84" t="str">
        <f>_xlfn.XLOOKUP(RAW_DATA_COL[[#This Row],[MATERIAL_ID]],DIM_MATERIAL[MATERIAL_ID],DIM_MATERIAL[UOM_IN])</f>
        <v>KG</v>
      </c>
    </row>
    <row r="85" spans="2:6" x14ac:dyDescent="0.2">
      <c r="C85" t="s">
        <v>12</v>
      </c>
      <c r="D85" t="s">
        <v>1</v>
      </c>
      <c r="E85" t="s">
        <v>64</v>
      </c>
      <c r="F85" t="str">
        <f>_xlfn.XLOOKUP(RAW_DATA_COL[[#This Row],[MATERIAL_ID]],DIM_MATERIAL[MATERIAL_ID],DIM_MATERIAL[UOM_IN])</f>
        <v>KG</v>
      </c>
    </row>
    <row r="86" spans="2:6" x14ac:dyDescent="0.2">
      <c r="B86" s="1">
        <v>45635</v>
      </c>
      <c r="C86" t="s">
        <v>11</v>
      </c>
      <c r="D86" t="s">
        <v>1</v>
      </c>
      <c r="E86">
        <v>990</v>
      </c>
      <c r="F86" t="str">
        <f>_xlfn.XLOOKUP(RAW_DATA_COL[[#This Row],[MATERIAL_ID]],DIM_MATERIAL[MATERIAL_ID],DIM_MATERIAL[UOM_IN])</f>
        <v>KG</v>
      </c>
    </row>
    <row r="87" spans="2:6" x14ac:dyDescent="0.2">
      <c r="C87" t="s">
        <v>12</v>
      </c>
      <c r="D87" t="s">
        <v>2</v>
      </c>
      <c r="E87">
        <v>55</v>
      </c>
      <c r="F87" t="str">
        <f>_xlfn.XLOOKUP(RAW_DATA_COL[[#This Row],[MATERIAL_ID]],DIM_MATERIAL[MATERIAL_ID],DIM_MATERIAL[UOM_IN])</f>
        <v>PCS</v>
      </c>
    </row>
    <row r="88" spans="2:6" x14ac:dyDescent="0.2">
      <c r="C88" t="s">
        <v>11</v>
      </c>
      <c r="D88" t="s">
        <v>1</v>
      </c>
      <c r="E88">
        <v>259</v>
      </c>
      <c r="F88" t="str">
        <f>_xlfn.XLOOKUP(RAW_DATA_COL[[#This Row],[MATERIAL_ID]],DIM_MATERIAL[MATERIAL_ID],DIM_MATERIAL[UOM_IN])</f>
        <v>KG</v>
      </c>
    </row>
    <row r="89" spans="2:6" x14ac:dyDescent="0.2">
      <c r="B89" s="1">
        <v>45636</v>
      </c>
      <c r="C89" t="s">
        <v>11</v>
      </c>
      <c r="D89" t="s">
        <v>1</v>
      </c>
      <c r="E89" t="s">
        <v>65</v>
      </c>
      <c r="F89" t="str">
        <f>_xlfn.XLOOKUP(RAW_DATA_COL[[#This Row],[MATERIAL_ID]],DIM_MATERIAL[MATERIAL_ID],DIM_MATERIAL[UOM_IN])</f>
        <v>KG</v>
      </c>
    </row>
    <row r="90" spans="2:6" x14ac:dyDescent="0.2">
      <c r="C90" t="s">
        <v>12</v>
      </c>
      <c r="D90" t="s">
        <v>1</v>
      </c>
      <c r="E90" t="s">
        <v>66</v>
      </c>
      <c r="F90" t="str">
        <f>_xlfn.XLOOKUP(RAW_DATA_COL[[#This Row],[MATERIAL_ID]],DIM_MATERIAL[MATERIAL_ID],DIM_MATERIAL[UOM_IN])</f>
        <v>KG</v>
      </c>
    </row>
    <row r="91" spans="2:6" x14ac:dyDescent="0.2">
      <c r="B91" s="1">
        <v>45637</v>
      </c>
      <c r="C91" t="s">
        <v>11</v>
      </c>
      <c r="D91" t="s">
        <v>1</v>
      </c>
      <c r="E91" t="s">
        <v>67</v>
      </c>
      <c r="F91" t="str">
        <f>_xlfn.XLOOKUP(RAW_DATA_COL[[#This Row],[MATERIAL_ID]],DIM_MATERIAL[MATERIAL_ID],DIM_MATERIAL[UOM_IN])</f>
        <v>KG</v>
      </c>
    </row>
    <row r="92" spans="2:6" x14ac:dyDescent="0.2">
      <c r="C92" t="s">
        <v>11</v>
      </c>
      <c r="D92" t="s">
        <v>2</v>
      </c>
      <c r="E92">
        <v>50</v>
      </c>
      <c r="F92" t="str">
        <f>_xlfn.XLOOKUP(RAW_DATA_COL[[#This Row],[MATERIAL_ID]],DIM_MATERIAL[MATERIAL_ID],DIM_MATERIAL[UOM_IN])</f>
        <v>PCS</v>
      </c>
    </row>
    <row r="93" spans="2:6" x14ac:dyDescent="0.2">
      <c r="C93" t="s">
        <v>12</v>
      </c>
      <c r="D93" t="s">
        <v>1</v>
      </c>
      <c r="E93" t="s">
        <v>68</v>
      </c>
      <c r="F93" t="str">
        <f>_xlfn.XLOOKUP(RAW_DATA_COL[[#This Row],[MATERIAL_ID]],DIM_MATERIAL[MATERIAL_ID],DIM_MATERIAL[UOM_IN])</f>
        <v>KG</v>
      </c>
    </row>
    <row r="94" spans="2:6" x14ac:dyDescent="0.2">
      <c r="B94" s="1">
        <v>45638</v>
      </c>
      <c r="C94" t="s">
        <v>11</v>
      </c>
      <c r="D94" t="s">
        <v>1</v>
      </c>
      <c r="E94" t="s">
        <v>69</v>
      </c>
      <c r="F94" t="str">
        <f>_xlfn.XLOOKUP(RAW_DATA_COL[[#This Row],[MATERIAL_ID]],DIM_MATERIAL[MATERIAL_ID],DIM_MATERIAL[UOM_IN])</f>
        <v>KG</v>
      </c>
    </row>
    <row r="95" spans="2:6" x14ac:dyDescent="0.2">
      <c r="C95" t="s">
        <v>11</v>
      </c>
      <c r="D95" t="s">
        <v>2</v>
      </c>
      <c r="E95">
        <v>4</v>
      </c>
      <c r="F95" t="str">
        <f>_xlfn.XLOOKUP(RAW_DATA_COL[[#This Row],[MATERIAL_ID]],DIM_MATERIAL[MATERIAL_ID],DIM_MATERIAL[UOM_IN])</f>
        <v>PCS</v>
      </c>
    </row>
    <row r="96" spans="2:6" x14ac:dyDescent="0.2">
      <c r="B96" s="1">
        <v>45639</v>
      </c>
      <c r="C96" t="s">
        <v>11</v>
      </c>
      <c r="D96" t="s">
        <v>1</v>
      </c>
      <c r="E96" t="s">
        <v>70</v>
      </c>
      <c r="F96" t="str">
        <f>_xlfn.XLOOKUP(RAW_DATA_COL[[#This Row],[MATERIAL_ID]],DIM_MATERIAL[MATERIAL_ID],DIM_MATERIAL[UOM_IN])</f>
        <v>KG</v>
      </c>
    </row>
    <row r="97" spans="2:6" x14ac:dyDescent="0.2">
      <c r="C97" t="s">
        <v>12</v>
      </c>
      <c r="D97" t="s">
        <v>1</v>
      </c>
      <c r="E97" t="s">
        <v>71</v>
      </c>
      <c r="F97" t="str">
        <f>_xlfn.XLOOKUP(RAW_DATA_COL[[#This Row],[MATERIAL_ID]],DIM_MATERIAL[MATERIAL_ID],DIM_MATERIAL[UOM_IN])</f>
        <v>KG</v>
      </c>
    </row>
    <row r="98" spans="2:6" x14ac:dyDescent="0.2">
      <c r="B98" s="1">
        <v>45642</v>
      </c>
      <c r="C98" t="s">
        <v>11</v>
      </c>
      <c r="D98" t="s">
        <v>1</v>
      </c>
      <c r="E98" t="s">
        <v>72</v>
      </c>
      <c r="F98" t="str">
        <f>_xlfn.XLOOKUP(RAW_DATA_COL[[#This Row],[MATERIAL_ID]],DIM_MATERIAL[MATERIAL_ID],DIM_MATERIAL[UOM_IN])</f>
        <v>KG</v>
      </c>
    </row>
    <row r="99" spans="2:6" x14ac:dyDescent="0.2">
      <c r="C99" t="s">
        <v>11</v>
      </c>
      <c r="D99" t="s">
        <v>2</v>
      </c>
      <c r="E99">
        <v>44</v>
      </c>
      <c r="F99" t="str">
        <f>_xlfn.XLOOKUP(RAW_DATA_COL[[#This Row],[MATERIAL_ID]],DIM_MATERIAL[MATERIAL_ID],DIM_MATERIAL[UOM_IN])</f>
        <v>PCS</v>
      </c>
    </row>
    <row r="100" spans="2:6" x14ac:dyDescent="0.2">
      <c r="B100" s="1">
        <v>45643</v>
      </c>
      <c r="C100" t="s">
        <v>11</v>
      </c>
      <c r="D100" t="s">
        <v>1</v>
      </c>
      <c r="E100" t="s">
        <v>73</v>
      </c>
      <c r="F100" t="str">
        <f>_xlfn.XLOOKUP(RAW_DATA_COL[[#This Row],[MATERIAL_ID]],DIM_MATERIAL[MATERIAL_ID],DIM_MATERIAL[UOM_IN])</f>
        <v>KG</v>
      </c>
    </row>
    <row r="101" spans="2:6" x14ac:dyDescent="0.2">
      <c r="C101" t="s">
        <v>11</v>
      </c>
      <c r="D101" t="s">
        <v>2</v>
      </c>
      <c r="E101">
        <v>32</v>
      </c>
      <c r="F101" t="str">
        <f>_xlfn.XLOOKUP(RAW_DATA_COL[[#This Row],[MATERIAL_ID]],DIM_MATERIAL[MATERIAL_ID],DIM_MATERIAL[UOM_IN])</f>
        <v>PCS</v>
      </c>
    </row>
    <row r="102" spans="2:6" x14ac:dyDescent="0.2">
      <c r="B102" s="1">
        <v>45644</v>
      </c>
      <c r="C102" t="s">
        <v>11</v>
      </c>
      <c r="D102" t="s">
        <v>1</v>
      </c>
      <c r="E102" t="s">
        <v>74</v>
      </c>
      <c r="F102" t="str">
        <f>_xlfn.XLOOKUP(RAW_DATA_COL[[#This Row],[MATERIAL_ID]],DIM_MATERIAL[MATERIAL_ID],DIM_MATERIAL[UOM_IN])</f>
        <v>KG</v>
      </c>
    </row>
    <row r="103" spans="2:6" x14ac:dyDescent="0.2">
      <c r="C103" t="s">
        <v>11</v>
      </c>
      <c r="D103" t="s">
        <v>2</v>
      </c>
      <c r="E103">
        <v>14</v>
      </c>
      <c r="F103" t="str">
        <f>_xlfn.XLOOKUP(RAW_DATA_COL[[#This Row],[MATERIAL_ID]],DIM_MATERIAL[MATERIAL_ID],DIM_MATERIAL[UOM_IN])</f>
        <v>PCS</v>
      </c>
    </row>
    <row r="104" spans="2:6" x14ac:dyDescent="0.2">
      <c r="C104" t="s">
        <v>12</v>
      </c>
      <c r="D104" t="s">
        <v>1</v>
      </c>
      <c r="E104" t="s">
        <v>77</v>
      </c>
      <c r="F104" t="str">
        <f>_xlfn.XLOOKUP(RAW_DATA_COL[[#This Row],[MATERIAL_ID]],DIM_MATERIAL[MATERIAL_ID],DIM_MATERIAL[UOM_IN])</f>
        <v>KG</v>
      </c>
    </row>
    <row r="105" spans="2:6" x14ac:dyDescent="0.2">
      <c r="B105" s="1">
        <v>45645</v>
      </c>
      <c r="C105" t="s">
        <v>11</v>
      </c>
      <c r="D105" t="s">
        <v>1</v>
      </c>
      <c r="E105" t="s">
        <v>76</v>
      </c>
      <c r="F105" t="str">
        <f>_xlfn.XLOOKUP(RAW_DATA_COL[[#This Row],[MATERIAL_ID]],DIM_MATERIAL[MATERIAL_ID],DIM_MATERIAL[UOM_IN])</f>
        <v>KG</v>
      </c>
    </row>
    <row r="106" spans="2:6" x14ac:dyDescent="0.2">
      <c r="C106" t="s">
        <v>11</v>
      </c>
      <c r="D106" t="s">
        <v>2</v>
      </c>
      <c r="E106">
        <v>12</v>
      </c>
      <c r="F106" t="str">
        <f>_xlfn.XLOOKUP(RAW_DATA_COL[[#This Row],[MATERIAL_ID]],DIM_MATERIAL[MATERIAL_ID],DIM_MATERIAL[UOM_IN])</f>
        <v>PCS</v>
      </c>
    </row>
    <row r="107" spans="2:6" x14ac:dyDescent="0.2">
      <c r="C107" t="s">
        <v>12</v>
      </c>
      <c r="D107" t="s">
        <v>1</v>
      </c>
      <c r="E107" t="s">
        <v>75</v>
      </c>
      <c r="F107" t="str">
        <f>_xlfn.XLOOKUP(RAW_DATA_COL[[#This Row],[MATERIAL_ID]],DIM_MATERIAL[MATERIAL_ID],DIM_MATERIAL[UOM_IN])</f>
        <v>KG</v>
      </c>
    </row>
    <row r="108" spans="2:6" x14ac:dyDescent="0.2">
      <c r="B108" s="1">
        <v>45646</v>
      </c>
      <c r="C108" t="s">
        <v>11</v>
      </c>
      <c r="D108" t="s">
        <v>1</v>
      </c>
      <c r="E108" t="s">
        <v>78</v>
      </c>
      <c r="F108" t="str">
        <f>_xlfn.XLOOKUP(RAW_DATA_COL[[#This Row],[MATERIAL_ID]],DIM_MATERIAL[MATERIAL_ID],DIM_MATERIAL[UOM_IN])</f>
        <v>KG</v>
      </c>
    </row>
    <row r="109" spans="2:6" x14ac:dyDescent="0.2">
      <c r="C109" t="s">
        <v>11</v>
      </c>
      <c r="D109" t="s">
        <v>2</v>
      </c>
      <c r="E109">
        <v>18</v>
      </c>
      <c r="F109" t="str">
        <f>_xlfn.XLOOKUP(RAW_DATA_COL[[#This Row],[MATERIAL_ID]],DIM_MATERIAL[MATERIAL_ID],DIM_MATERIAL[UOM_IN])</f>
        <v>PCS</v>
      </c>
    </row>
    <row r="110" spans="2:6" x14ac:dyDescent="0.2">
      <c r="C110" t="s">
        <v>12</v>
      </c>
      <c r="D110" t="s">
        <v>1</v>
      </c>
      <c r="E110" t="s">
        <v>79</v>
      </c>
      <c r="F110" t="str">
        <f>_xlfn.XLOOKUP(RAW_DATA_COL[[#This Row],[MATERIAL_ID]],DIM_MATERIAL[MATERIAL_ID],DIM_MATERIAL[UOM_IN])</f>
        <v>KG</v>
      </c>
    </row>
    <row r="111" spans="2:6" x14ac:dyDescent="0.2">
      <c r="B111" s="1">
        <v>45650</v>
      </c>
      <c r="C111" t="s">
        <v>11</v>
      </c>
      <c r="D111" t="s">
        <v>1</v>
      </c>
      <c r="E111" t="s">
        <v>80</v>
      </c>
      <c r="F111" t="str">
        <f>_xlfn.XLOOKUP(RAW_DATA_COL[[#This Row],[MATERIAL_ID]],DIM_MATERIAL[MATERIAL_ID],DIM_MATERIAL[UOM_IN])</f>
        <v>KG</v>
      </c>
    </row>
    <row r="112" spans="2:6" x14ac:dyDescent="0.2">
      <c r="B112" s="1">
        <v>45652</v>
      </c>
      <c r="C112" t="s">
        <v>11</v>
      </c>
      <c r="D112" t="s">
        <v>1</v>
      </c>
      <c r="E112" t="s">
        <v>81</v>
      </c>
      <c r="F112" t="str">
        <f>_xlfn.XLOOKUP(RAW_DATA_COL[[#This Row],[MATERIAL_ID]],DIM_MATERIAL[MATERIAL_ID],DIM_MATERIAL[UOM_IN])</f>
        <v>KG</v>
      </c>
    </row>
    <row r="113" spans="2:6" x14ac:dyDescent="0.2">
      <c r="C113" t="s">
        <v>11</v>
      </c>
      <c r="D113" t="s">
        <v>2</v>
      </c>
      <c r="E113">
        <v>41</v>
      </c>
      <c r="F113" t="str">
        <f>_xlfn.XLOOKUP(RAW_DATA_COL[[#This Row],[MATERIAL_ID]],DIM_MATERIAL[MATERIAL_ID],DIM_MATERIAL[UOM_IN])</f>
        <v>PCS</v>
      </c>
    </row>
    <row r="114" spans="2:6" x14ac:dyDescent="0.2">
      <c r="C114" t="s">
        <v>12</v>
      </c>
      <c r="D114" t="s">
        <v>1</v>
      </c>
      <c r="E114" t="s">
        <v>82</v>
      </c>
      <c r="F114" t="str">
        <f>_xlfn.XLOOKUP(RAW_DATA_COL[[#This Row],[MATERIAL_ID]],DIM_MATERIAL[MATERIAL_ID],DIM_MATERIAL[UOM_IN])</f>
        <v>KG</v>
      </c>
    </row>
    <row r="115" spans="2:6" x14ac:dyDescent="0.2">
      <c r="B115" s="1">
        <v>45653</v>
      </c>
      <c r="C115" t="s">
        <v>11</v>
      </c>
      <c r="D115" t="s">
        <v>1</v>
      </c>
      <c r="E115" t="s">
        <v>83</v>
      </c>
      <c r="F115" t="str">
        <f>_xlfn.XLOOKUP(RAW_DATA_COL[[#This Row],[MATERIAL_ID]],DIM_MATERIAL[MATERIAL_ID],DIM_MATERIAL[UOM_IN])</f>
        <v>KG</v>
      </c>
    </row>
    <row r="116" spans="2:6" x14ac:dyDescent="0.2">
      <c r="C116" t="s">
        <v>11</v>
      </c>
      <c r="D116" t="s">
        <v>2</v>
      </c>
      <c r="E116">
        <v>10</v>
      </c>
      <c r="F116" t="str">
        <f>_xlfn.XLOOKUP(RAW_DATA_COL[[#This Row],[MATERIAL_ID]],DIM_MATERIAL[MATERIAL_ID],DIM_MATERIAL[UOM_IN])</f>
        <v>PCS</v>
      </c>
    </row>
    <row r="117" spans="2:6" x14ac:dyDescent="0.2">
      <c r="C117" t="s">
        <v>12</v>
      </c>
      <c r="D117" t="s">
        <v>1</v>
      </c>
      <c r="E117" t="s">
        <v>84</v>
      </c>
      <c r="F117" t="str">
        <f>_xlfn.XLOOKUP(RAW_DATA_COL[[#This Row],[MATERIAL_ID]],DIM_MATERIAL[MATERIAL_ID],DIM_MATERIAL[UOM_IN])</f>
        <v>KG</v>
      </c>
    </row>
    <row r="118" spans="2:6" x14ac:dyDescent="0.2">
      <c r="B118" s="1">
        <v>45656</v>
      </c>
      <c r="C118" t="s">
        <v>11</v>
      </c>
      <c r="D118" t="s">
        <v>1</v>
      </c>
      <c r="E118" t="s">
        <v>85</v>
      </c>
      <c r="F118" t="str">
        <f>_xlfn.XLOOKUP(RAW_DATA_COL[[#This Row],[MATERIAL_ID]],DIM_MATERIAL[MATERIAL_ID],DIM_MATERIAL[UOM_IN])</f>
        <v>KG</v>
      </c>
    </row>
    <row r="119" spans="2:6" x14ac:dyDescent="0.2">
      <c r="B119" s="1" t="s">
        <v>86</v>
      </c>
      <c r="C119" t="s">
        <v>11</v>
      </c>
      <c r="D119" t="s">
        <v>1</v>
      </c>
      <c r="E119" t="s">
        <v>87</v>
      </c>
      <c r="F119" t="str">
        <f>_xlfn.XLOOKUP(RAW_DATA_COL[[#This Row],[MATERIAL_ID]],DIM_MATERIAL[MATERIAL_ID],DIM_MATERIAL[UOM_IN])</f>
        <v>KG</v>
      </c>
    </row>
    <row r="120" spans="2:6" x14ac:dyDescent="0.2">
      <c r="C120" t="s">
        <v>11</v>
      </c>
      <c r="D120" t="s">
        <v>2</v>
      </c>
      <c r="E120">
        <v>51</v>
      </c>
      <c r="F120" t="str">
        <f>_xlfn.XLOOKUP(RAW_DATA_COL[[#This Row],[MATERIAL_ID]],DIM_MATERIAL[MATERIAL_ID],DIM_MATERIAL[UOM_IN])</f>
        <v>PCS</v>
      </c>
    </row>
    <row r="121" spans="2:6" x14ac:dyDescent="0.2">
      <c r="C121" t="s">
        <v>12</v>
      </c>
      <c r="D121" t="s">
        <v>1</v>
      </c>
      <c r="E121" t="s">
        <v>88</v>
      </c>
      <c r="F121" t="str">
        <f>_xlfn.XLOOKUP(RAW_DATA_COL[[#This Row],[MATERIAL_ID]],DIM_MATERIAL[MATERIAL_ID],DIM_MATERIAL[UOM_IN])</f>
        <v>KG</v>
      </c>
    </row>
    <row r="122" spans="2:6" x14ac:dyDescent="0.2">
      <c r="B122" s="1">
        <v>45659</v>
      </c>
      <c r="C122" t="s">
        <v>11</v>
      </c>
      <c r="D122" t="s">
        <v>1</v>
      </c>
      <c r="E122" t="s">
        <v>89</v>
      </c>
      <c r="F122" t="str">
        <f>_xlfn.XLOOKUP(RAW_DATA_COL[[#This Row],[MATERIAL_ID]],DIM_MATERIAL[MATERIAL_ID],DIM_MATERIAL[UOM_IN])</f>
        <v>KG</v>
      </c>
    </row>
    <row r="123" spans="2:6" x14ac:dyDescent="0.2">
      <c r="B123" s="1">
        <v>45660</v>
      </c>
      <c r="C123" t="s">
        <v>11</v>
      </c>
      <c r="D123" t="s">
        <v>1</v>
      </c>
      <c r="E123" t="s">
        <v>91</v>
      </c>
      <c r="F123" t="str">
        <f>_xlfn.XLOOKUP(RAW_DATA_COL[[#This Row],[MATERIAL_ID]],DIM_MATERIAL[MATERIAL_ID],DIM_MATERIAL[UOM_IN])</f>
        <v>KG</v>
      </c>
    </row>
    <row r="124" spans="2:6" x14ac:dyDescent="0.2">
      <c r="B124"/>
      <c r="C124" t="s">
        <v>12</v>
      </c>
      <c r="D124" t="s">
        <v>1</v>
      </c>
      <c r="E124" t="s">
        <v>90</v>
      </c>
      <c r="F124" t="str">
        <f>_xlfn.XLOOKUP(RAW_DATA_COL[[#This Row],[MATERIAL_ID]],DIM_MATERIAL[MATERIAL_ID],DIM_MATERIAL[UOM_IN])</f>
        <v>KG</v>
      </c>
    </row>
    <row r="125" spans="2:6" x14ac:dyDescent="0.2">
      <c r="B125" s="1">
        <v>45663</v>
      </c>
      <c r="C125" t="s">
        <v>11</v>
      </c>
      <c r="D125" t="s">
        <v>1</v>
      </c>
      <c r="E125" t="s">
        <v>92</v>
      </c>
      <c r="F125" t="str">
        <f>_xlfn.XLOOKUP(RAW_DATA_COL[[#This Row],[MATERIAL_ID]],DIM_MATERIAL[MATERIAL_ID],DIM_MATERIAL[UOM_IN])</f>
        <v>KG</v>
      </c>
    </row>
    <row r="126" spans="2:6" x14ac:dyDescent="0.2">
      <c r="C126" t="s">
        <v>12</v>
      </c>
      <c r="D126" t="s">
        <v>1</v>
      </c>
      <c r="E126" t="s">
        <v>93</v>
      </c>
      <c r="F126" t="str">
        <f>_xlfn.XLOOKUP(RAW_DATA_COL[[#This Row],[MATERIAL_ID]],DIM_MATERIAL[MATERIAL_ID],DIM_MATERIAL[UOM_IN])</f>
        <v>KG</v>
      </c>
    </row>
    <row r="127" spans="2:6" x14ac:dyDescent="0.2">
      <c r="B127" s="1">
        <v>45664</v>
      </c>
      <c r="C127" t="s">
        <v>11</v>
      </c>
      <c r="D127" t="s">
        <v>1</v>
      </c>
      <c r="E127" t="s">
        <v>94</v>
      </c>
      <c r="F127" t="str">
        <f>_xlfn.XLOOKUP(RAW_DATA_COL[[#This Row],[MATERIAL_ID]],DIM_MATERIAL[MATERIAL_ID],DIM_MATERIAL[UOM_IN])</f>
        <v>KG</v>
      </c>
    </row>
    <row r="128" spans="2:6" x14ac:dyDescent="0.2">
      <c r="C128" t="s">
        <v>12</v>
      </c>
      <c r="D128" t="s">
        <v>1</v>
      </c>
      <c r="E128">
        <v>131</v>
      </c>
      <c r="F128" t="str">
        <f>_xlfn.XLOOKUP(RAW_DATA_COL[[#This Row],[MATERIAL_ID]],DIM_MATERIAL[MATERIAL_ID],DIM_MATERIAL[UOM_IN])</f>
        <v>KG</v>
      </c>
    </row>
    <row r="129" spans="2:6" x14ac:dyDescent="0.2">
      <c r="B129" s="1">
        <v>45665</v>
      </c>
      <c r="C129" t="s">
        <v>11</v>
      </c>
      <c r="D129" t="s">
        <v>1</v>
      </c>
      <c r="E129" t="s">
        <v>95</v>
      </c>
      <c r="F129" t="str">
        <f>_xlfn.XLOOKUP(RAW_DATA_COL[[#This Row],[MATERIAL_ID]],DIM_MATERIAL[MATERIAL_ID],DIM_MATERIAL[UOM_IN])</f>
        <v>KG</v>
      </c>
    </row>
    <row r="130" spans="2:6" x14ac:dyDescent="0.2">
      <c r="C130" t="s">
        <v>11</v>
      </c>
      <c r="D130" t="s">
        <v>2</v>
      </c>
      <c r="E130">
        <v>78</v>
      </c>
      <c r="F130" t="str">
        <f>_xlfn.XLOOKUP(RAW_DATA_COL[[#This Row],[MATERIAL_ID]],DIM_MATERIAL[MATERIAL_ID],DIM_MATERIAL[UOM_IN])</f>
        <v>PCS</v>
      </c>
    </row>
    <row r="131" spans="2:6" x14ac:dyDescent="0.2">
      <c r="C131" t="s">
        <v>12</v>
      </c>
      <c r="D131" t="s">
        <v>1</v>
      </c>
      <c r="E131">
        <v>841</v>
      </c>
      <c r="F131" t="str">
        <f>_xlfn.XLOOKUP(RAW_DATA_COL[[#This Row],[MATERIAL_ID]],DIM_MATERIAL[MATERIAL_ID],DIM_MATERIAL[UOM_IN])</f>
        <v>KG</v>
      </c>
    </row>
    <row r="132" spans="2:6" x14ac:dyDescent="0.2">
      <c r="B132" s="1">
        <v>45667</v>
      </c>
      <c r="C132" t="s">
        <v>11</v>
      </c>
      <c r="D132" t="s">
        <v>1</v>
      </c>
      <c r="E132" t="s">
        <v>96</v>
      </c>
      <c r="F132" t="str">
        <f>_xlfn.XLOOKUP(RAW_DATA_COL[[#This Row],[MATERIAL_ID]],DIM_MATERIAL[MATERIAL_ID],DIM_MATERIAL[UOM_IN])</f>
        <v>KG</v>
      </c>
    </row>
    <row r="133" spans="2:6" x14ac:dyDescent="0.2">
      <c r="B133" s="1">
        <v>45668</v>
      </c>
      <c r="C133" t="s">
        <v>11</v>
      </c>
      <c r="D133" t="s">
        <v>1</v>
      </c>
      <c r="E133" t="s">
        <v>97</v>
      </c>
      <c r="F133" t="str">
        <f>_xlfn.XLOOKUP(RAW_DATA_COL[[#This Row],[MATERIAL_ID]],DIM_MATERIAL[MATERIAL_ID],DIM_MATERIAL[UOM_IN])</f>
        <v>KG</v>
      </c>
    </row>
    <row r="134" spans="2:6" x14ac:dyDescent="0.2">
      <c r="C134" t="s">
        <v>11</v>
      </c>
      <c r="D134" t="s">
        <v>2</v>
      </c>
      <c r="E134">
        <v>35</v>
      </c>
      <c r="F134" t="str">
        <f>_xlfn.XLOOKUP(RAW_DATA_COL[[#This Row],[MATERIAL_ID]],DIM_MATERIAL[MATERIAL_ID],DIM_MATERIAL[UOM_IN])</f>
        <v>PCS</v>
      </c>
    </row>
    <row r="135" spans="2:6" x14ac:dyDescent="0.2">
      <c r="B135" s="1">
        <v>45670</v>
      </c>
      <c r="C135" t="s">
        <v>11</v>
      </c>
      <c r="D135" t="s">
        <v>1</v>
      </c>
      <c r="E135">
        <v>215</v>
      </c>
      <c r="F135" t="str">
        <f>_xlfn.XLOOKUP(RAW_DATA_COL[[#This Row],[MATERIAL_ID]],DIM_MATERIAL[MATERIAL_ID],DIM_MATERIAL[UOM_IN])</f>
        <v>KG</v>
      </c>
    </row>
    <row r="136" spans="2:6" x14ac:dyDescent="0.2">
      <c r="B136" s="1">
        <v>45671</v>
      </c>
      <c r="C136" t="s">
        <v>11</v>
      </c>
      <c r="D136" t="s">
        <v>1</v>
      </c>
      <c r="E136" t="s">
        <v>98</v>
      </c>
      <c r="F136" t="str">
        <f>_xlfn.XLOOKUP(RAW_DATA_COL[[#This Row],[MATERIAL_ID]],DIM_MATERIAL[MATERIAL_ID],DIM_MATERIAL[UOM_IN])</f>
        <v>KG</v>
      </c>
    </row>
    <row r="137" spans="2:6" x14ac:dyDescent="0.2">
      <c r="C137" t="s">
        <v>12</v>
      </c>
      <c r="D137" t="s">
        <v>1</v>
      </c>
      <c r="E137" t="s">
        <v>99</v>
      </c>
      <c r="F137" t="str">
        <f>_xlfn.XLOOKUP(RAW_DATA_COL[[#This Row],[MATERIAL_ID]],DIM_MATERIAL[MATERIAL_ID],DIM_MATERIAL[UOM_IN])</f>
        <v>KG</v>
      </c>
    </row>
    <row r="138" spans="2:6" x14ac:dyDescent="0.2">
      <c r="B138" s="1">
        <v>45672</v>
      </c>
      <c r="C138" t="s">
        <v>11</v>
      </c>
      <c r="D138" t="s">
        <v>1</v>
      </c>
      <c r="E138" t="s">
        <v>100</v>
      </c>
      <c r="F138" t="str">
        <f>_xlfn.XLOOKUP(RAW_DATA_COL[[#This Row],[MATERIAL_ID]],DIM_MATERIAL[MATERIAL_ID],DIM_MATERIAL[UOM_IN])</f>
        <v>KG</v>
      </c>
    </row>
    <row r="139" spans="2:6" x14ac:dyDescent="0.2">
      <c r="C139" t="s">
        <v>11</v>
      </c>
      <c r="D139" t="s">
        <v>2</v>
      </c>
      <c r="E139">
        <v>97</v>
      </c>
      <c r="F139" t="str">
        <f>_xlfn.XLOOKUP(RAW_DATA_COL[[#This Row],[MATERIAL_ID]],DIM_MATERIAL[MATERIAL_ID],DIM_MATERIAL[UOM_IN])</f>
        <v>PCS</v>
      </c>
    </row>
    <row r="140" spans="2:6" x14ac:dyDescent="0.2">
      <c r="B140" s="1">
        <v>45673</v>
      </c>
      <c r="C140" t="s">
        <v>12</v>
      </c>
      <c r="D140" t="s">
        <v>1</v>
      </c>
      <c r="E140" t="s">
        <v>101</v>
      </c>
      <c r="F140" t="str">
        <f>_xlfn.XLOOKUP(RAW_DATA_COL[[#This Row],[MATERIAL_ID]],DIM_MATERIAL[MATERIAL_ID],DIM_MATERIAL[UOM_IN])</f>
        <v>KG</v>
      </c>
    </row>
    <row r="141" spans="2:6" x14ac:dyDescent="0.2">
      <c r="B141" s="1">
        <v>45674</v>
      </c>
      <c r="C141" t="s">
        <v>11</v>
      </c>
      <c r="D141" t="s">
        <v>1</v>
      </c>
      <c r="E141" t="s">
        <v>102</v>
      </c>
      <c r="F141" t="str">
        <f>_xlfn.XLOOKUP(RAW_DATA_COL[[#This Row],[MATERIAL_ID]],DIM_MATERIAL[MATERIAL_ID],DIM_MATERIAL[UOM_IN])</f>
        <v>KG</v>
      </c>
    </row>
    <row r="142" spans="2:6" x14ac:dyDescent="0.2">
      <c r="C142" t="s">
        <v>11</v>
      </c>
      <c r="D142" t="s">
        <v>2</v>
      </c>
      <c r="E142">
        <v>26</v>
      </c>
      <c r="F142" t="str">
        <f>_xlfn.XLOOKUP(RAW_DATA_COL[[#This Row],[MATERIAL_ID]],DIM_MATERIAL[MATERIAL_ID],DIM_MATERIAL[UOM_IN])</f>
        <v>PCS</v>
      </c>
    </row>
    <row r="143" spans="2:6" x14ac:dyDescent="0.2">
      <c r="C143" t="s">
        <v>12</v>
      </c>
      <c r="D143" t="s">
        <v>1</v>
      </c>
      <c r="E143" t="s">
        <v>103</v>
      </c>
      <c r="F143" t="str">
        <f>_xlfn.XLOOKUP(RAW_DATA_COL[[#This Row],[MATERIAL_ID]],DIM_MATERIAL[MATERIAL_ID],DIM_MATERIAL[UOM_IN])</f>
        <v>KG</v>
      </c>
    </row>
    <row r="144" spans="2:6" x14ac:dyDescent="0.2">
      <c r="B144" s="1">
        <v>45677</v>
      </c>
      <c r="C144" t="s">
        <v>11</v>
      </c>
      <c r="D144" t="s">
        <v>1</v>
      </c>
      <c r="E144" t="s">
        <v>104</v>
      </c>
      <c r="F144" t="str">
        <f>_xlfn.XLOOKUP(RAW_DATA_COL[[#This Row],[MATERIAL_ID]],DIM_MATERIAL[MATERIAL_ID],DIM_MATERIAL[UOM_IN])</f>
        <v>KG</v>
      </c>
    </row>
    <row r="145" spans="2:6" x14ac:dyDescent="0.2">
      <c r="C145" t="s">
        <v>11</v>
      </c>
      <c r="D145" t="s">
        <v>2</v>
      </c>
      <c r="E145">
        <v>13</v>
      </c>
      <c r="F145" t="str">
        <f>_xlfn.XLOOKUP(RAW_DATA_COL[[#This Row],[MATERIAL_ID]],DIM_MATERIAL[MATERIAL_ID],DIM_MATERIAL[UOM_IN])</f>
        <v>PCS</v>
      </c>
    </row>
    <row r="146" spans="2:6" x14ac:dyDescent="0.2">
      <c r="C146" t="s">
        <v>12</v>
      </c>
      <c r="D146" t="s">
        <v>1</v>
      </c>
      <c r="E146" t="s">
        <v>105</v>
      </c>
      <c r="F146" t="str">
        <f>_xlfn.XLOOKUP(RAW_DATA_COL[[#This Row],[MATERIAL_ID]],DIM_MATERIAL[MATERIAL_ID],DIM_MATERIAL[UOM_IN])</f>
        <v>KG</v>
      </c>
    </row>
    <row r="147" spans="2:6" x14ac:dyDescent="0.2">
      <c r="B147" s="1">
        <v>45679</v>
      </c>
      <c r="C147" t="s">
        <v>11</v>
      </c>
      <c r="D147" t="s">
        <v>1</v>
      </c>
      <c r="E147" t="s">
        <v>106</v>
      </c>
      <c r="F147" t="str">
        <f>_xlfn.XLOOKUP(RAW_DATA_COL[[#This Row],[MATERIAL_ID]],DIM_MATERIAL[MATERIAL_ID],DIM_MATERIAL[UOM_IN])</f>
        <v>KG</v>
      </c>
    </row>
    <row r="148" spans="2:6" x14ac:dyDescent="0.2">
      <c r="C148" t="s">
        <v>12</v>
      </c>
      <c r="D148" t="s">
        <v>1</v>
      </c>
      <c r="E148" t="s">
        <v>107</v>
      </c>
      <c r="F148" t="str">
        <f>_xlfn.XLOOKUP(RAW_DATA_COL[[#This Row],[MATERIAL_ID]],DIM_MATERIAL[MATERIAL_ID],DIM_MATERIAL[UOM_IN])</f>
        <v>KG</v>
      </c>
    </row>
    <row r="149" spans="2:6" x14ac:dyDescent="0.2">
      <c r="B149" s="1">
        <v>45680</v>
      </c>
      <c r="C149" t="s">
        <v>11</v>
      </c>
      <c r="D149" t="s">
        <v>1</v>
      </c>
      <c r="E149" t="s">
        <v>108</v>
      </c>
      <c r="F149" t="str">
        <f>_xlfn.XLOOKUP(RAW_DATA_COL[[#This Row],[MATERIAL_ID]],DIM_MATERIAL[MATERIAL_ID],DIM_MATERIAL[UOM_IN])</f>
        <v>KG</v>
      </c>
    </row>
    <row r="150" spans="2:6" x14ac:dyDescent="0.2">
      <c r="C150" t="s">
        <v>11</v>
      </c>
      <c r="D150" t="s">
        <v>2</v>
      </c>
      <c r="E150">
        <v>77</v>
      </c>
      <c r="F150" t="str">
        <f>_xlfn.XLOOKUP(RAW_DATA_COL[[#This Row],[MATERIAL_ID]],DIM_MATERIAL[MATERIAL_ID],DIM_MATERIAL[UOM_IN])</f>
        <v>PCS</v>
      </c>
    </row>
    <row r="151" spans="2:6" x14ac:dyDescent="0.2">
      <c r="B151" s="1">
        <v>45681</v>
      </c>
      <c r="C151" t="s">
        <v>11</v>
      </c>
      <c r="D151" t="s">
        <v>1</v>
      </c>
      <c r="E151" t="s">
        <v>109</v>
      </c>
      <c r="F151" t="str">
        <f>_xlfn.XLOOKUP(RAW_DATA_COL[[#This Row],[MATERIAL_ID]],DIM_MATERIAL[MATERIAL_ID],DIM_MATERIAL[UOM_IN])</f>
        <v>KG</v>
      </c>
    </row>
    <row r="152" spans="2:6" x14ac:dyDescent="0.2">
      <c r="C152" t="s">
        <v>11</v>
      </c>
      <c r="D152" t="s">
        <v>2</v>
      </c>
      <c r="E152">
        <v>49</v>
      </c>
      <c r="F152" t="str">
        <f>_xlfn.XLOOKUP(RAW_DATA_COL[[#This Row],[MATERIAL_ID]],DIM_MATERIAL[MATERIAL_ID],DIM_MATERIAL[UOM_IN])</f>
        <v>PCS</v>
      </c>
    </row>
    <row r="153" spans="2:6" x14ac:dyDescent="0.2">
      <c r="C153" t="s">
        <v>12</v>
      </c>
      <c r="D153" t="s">
        <v>1</v>
      </c>
      <c r="E153" t="s">
        <v>110</v>
      </c>
      <c r="F153" t="str">
        <f>_xlfn.XLOOKUP(RAW_DATA_COL[[#This Row],[MATERIAL_ID]],DIM_MATERIAL[MATERIAL_ID],DIM_MATERIAL[UOM_IN])</f>
        <v>KG</v>
      </c>
    </row>
    <row r="154" spans="2:6" x14ac:dyDescent="0.2">
      <c r="B154" s="1">
        <v>45684</v>
      </c>
      <c r="C154" t="s">
        <v>11</v>
      </c>
      <c r="D154" t="s">
        <v>1</v>
      </c>
      <c r="E154" t="s">
        <v>111</v>
      </c>
      <c r="F154" t="str">
        <f>_xlfn.XLOOKUP(RAW_DATA_COL[[#This Row],[MATERIAL_ID]],DIM_MATERIAL[MATERIAL_ID],DIM_MATERIAL[UOM_IN])</f>
        <v>KG</v>
      </c>
    </row>
    <row r="155" spans="2:6" x14ac:dyDescent="0.2">
      <c r="C155" t="s">
        <v>11</v>
      </c>
      <c r="D155" t="s">
        <v>2</v>
      </c>
      <c r="E155">
        <v>14</v>
      </c>
      <c r="F155" t="str">
        <f>_xlfn.XLOOKUP(RAW_DATA_COL[[#This Row],[MATERIAL_ID]],DIM_MATERIAL[MATERIAL_ID],DIM_MATERIAL[UOM_IN])</f>
        <v>PCS</v>
      </c>
    </row>
    <row r="156" spans="2:6" x14ac:dyDescent="0.2">
      <c r="C156" t="s">
        <v>12</v>
      </c>
      <c r="D156" t="s">
        <v>1</v>
      </c>
      <c r="E156" t="s">
        <v>110</v>
      </c>
      <c r="F156" t="str">
        <f>_xlfn.XLOOKUP(RAW_DATA_COL[[#This Row],[MATERIAL_ID]],DIM_MATERIAL[MATERIAL_ID],DIM_MATERIAL[UOM_IN])</f>
        <v>KG</v>
      </c>
    </row>
    <row r="157" spans="2:6" x14ac:dyDescent="0.2">
      <c r="B157" s="1">
        <v>45685</v>
      </c>
      <c r="C157" t="s">
        <v>11</v>
      </c>
      <c r="D157" t="s">
        <v>1</v>
      </c>
      <c r="E157">
        <v>500</v>
      </c>
      <c r="F157" t="str">
        <f>_xlfn.XLOOKUP(RAW_DATA_COL[[#This Row],[MATERIAL_ID]],DIM_MATERIAL[MATERIAL_ID],DIM_MATERIAL[UOM_IN])</f>
        <v>KG</v>
      </c>
    </row>
    <row r="158" spans="2:6" x14ac:dyDescent="0.2">
      <c r="C158" t="s">
        <v>11</v>
      </c>
      <c r="D158" t="s">
        <v>2</v>
      </c>
      <c r="E158">
        <v>44</v>
      </c>
      <c r="F158" t="str">
        <f>_xlfn.XLOOKUP(RAW_DATA_COL[[#This Row],[MATERIAL_ID]],DIM_MATERIAL[MATERIAL_ID],DIM_MATERIAL[UOM_IN])</f>
        <v>PCS</v>
      </c>
    </row>
    <row r="159" spans="2:6" x14ac:dyDescent="0.2">
      <c r="C159" t="s">
        <v>12</v>
      </c>
      <c r="D159" t="s">
        <v>1</v>
      </c>
      <c r="E159">
        <v>592</v>
      </c>
      <c r="F159" t="str">
        <f>_xlfn.XLOOKUP(RAW_DATA_COL[[#This Row],[MATERIAL_ID]],DIM_MATERIAL[MATERIAL_ID],DIM_MATERIAL[UOM_IN])</f>
        <v>KG</v>
      </c>
    </row>
    <row r="160" spans="2:6" x14ac:dyDescent="0.2">
      <c r="B160" s="1">
        <v>45686</v>
      </c>
      <c r="C160" t="s">
        <v>11</v>
      </c>
      <c r="D160" t="s">
        <v>1</v>
      </c>
      <c r="E160" t="s">
        <v>112</v>
      </c>
      <c r="F160" t="str">
        <f>_xlfn.XLOOKUP(RAW_DATA_COL[[#This Row],[MATERIAL_ID]],DIM_MATERIAL[MATERIAL_ID],DIM_MATERIAL[UOM_IN])</f>
        <v>KG</v>
      </c>
    </row>
    <row r="161" spans="2:6" x14ac:dyDescent="0.2">
      <c r="B161" s="1">
        <v>45687</v>
      </c>
      <c r="C161" t="s">
        <v>11</v>
      </c>
      <c r="D161" t="s">
        <v>1</v>
      </c>
      <c r="E161" t="s">
        <v>113</v>
      </c>
      <c r="F161" t="str">
        <f>_xlfn.XLOOKUP(RAW_DATA_COL[[#This Row],[MATERIAL_ID]],DIM_MATERIAL[MATERIAL_ID],DIM_MATERIAL[UOM_IN])</f>
        <v>KG</v>
      </c>
    </row>
    <row r="162" spans="2:6" x14ac:dyDescent="0.2">
      <c r="C162" t="s">
        <v>11</v>
      </c>
      <c r="D162" t="s">
        <v>2</v>
      </c>
      <c r="E162">
        <v>77</v>
      </c>
      <c r="F162" t="str">
        <f>_xlfn.XLOOKUP(RAW_DATA_COL[[#This Row],[MATERIAL_ID]],DIM_MATERIAL[MATERIAL_ID],DIM_MATERIAL[UOM_IN])</f>
        <v>PCS</v>
      </c>
    </row>
    <row r="163" spans="2:6" x14ac:dyDescent="0.2">
      <c r="B163" s="1">
        <v>45688</v>
      </c>
      <c r="C163" t="s">
        <v>11</v>
      </c>
      <c r="D163" t="s">
        <v>1</v>
      </c>
      <c r="E163" t="s">
        <v>114</v>
      </c>
      <c r="F163" t="str">
        <f>_xlfn.XLOOKUP(RAW_DATA_COL[[#This Row],[MATERIAL_ID]],DIM_MATERIAL[MATERIAL_ID],DIM_MATERIAL[UOM_IN])</f>
        <v>KG</v>
      </c>
    </row>
    <row r="164" spans="2:6" x14ac:dyDescent="0.2">
      <c r="C164" t="s">
        <v>11</v>
      </c>
      <c r="D164" t="s">
        <v>2</v>
      </c>
      <c r="E164">
        <v>7</v>
      </c>
      <c r="F164" t="str">
        <f>_xlfn.XLOOKUP(RAW_DATA_COL[[#This Row],[MATERIAL_ID]],DIM_MATERIAL[MATERIAL_ID],DIM_MATERIAL[UOM_IN])</f>
        <v>PCS</v>
      </c>
    </row>
    <row r="165" spans="2:6" x14ac:dyDescent="0.2">
      <c r="C165" t="s">
        <v>12</v>
      </c>
      <c r="D165" t="s">
        <v>1</v>
      </c>
      <c r="E165" t="s">
        <v>115</v>
      </c>
      <c r="F165" t="str">
        <f>_xlfn.XLOOKUP(RAW_DATA_COL[[#This Row],[MATERIAL_ID]],DIM_MATERIAL[MATERIAL_ID],DIM_MATERIAL[UOM_IN])</f>
        <v>KG</v>
      </c>
    </row>
    <row r="166" spans="2:6" x14ac:dyDescent="0.2">
      <c r="B166" s="1">
        <v>45691</v>
      </c>
      <c r="C166" t="s">
        <v>11</v>
      </c>
      <c r="D166" t="s">
        <v>1</v>
      </c>
      <c r="E166" t="s">
        <v>116</v>
      </c>
      <c r="F166" t="str">
        <f>_xlfn.XLOOKUP(RAW_DATA_COL[[#This Row],[MATERIAL_ID]],DIM_MATERIAL[MATERIAL_ID],DIM_MATERIAL[UOM_IN])</f>
        <v>KG</v>
      </c>
    </row>
    <row r="167" spans="2:6" x14ac:dyDescent="0.2">
      <c r="B167" s="1">
        <v>45692</v>
      </c>
      <c r="C167" t="s">
        <v>11</v>
      </c>
      <c r="D167" t="s">
        <v>1</v>
      </c>
      <c r="E167" t="s">
        <v>117</v>
      </c>
      <c r="F167" t="str">
        <f>_xlfn.XLOOKUP(RAW_DATA_COL[[#This Row],[MATERIAL_ID]],DIM_MATERIAL[MATERIAL_ID],DIM_MATERIAL[UOM_IN])</f>
        <v>KG</v>
      </c>
    </row>
    <row r="168" spans="2:6" x14ac:dyDescent="0.2">
      <c r="C168" t="s">
        <v>11</v>
      </c>
      <c r="D168" t="s">
        <v>2</v>
      </c>
      <c r="E168">
        <v>38</v>
      </c>
      <c r="F168" t="str">
        <f>_xlfn.XLOOKUP(RAW_DATA_COL[[#This Row],[MATERIAL_ID]],DIM_MATERIAL[MATERIAL_ID],DIM_MATERIAL[UOM_IN])</f>
        <v>PCS</v>
      </c>
    </row>
    <row r="169" spans="2:6" x14ac:dyDescent="0.2">
      <c r="C169" t="s">
        <v>12</v>
      </c>
      <c r="D169" t="s">
        <v>1</v>
      </c>
      <c r="E169" t="s">
        <v>118</v>
      </c>
      <c r="F169" t="str">
        <f>_xlfn.XLOOKUP(RAW_DATA_COL[[#This Row],[MATERIAL_ID]],DIM_MATERIAL[MATERIAL_ID],DIM_MATERIAL[UOM_IN])</f>
        <v>KG</v>
      </c>
    </row>
    <row r="170" spans="2:6" x14ac:dyDescent="0.2">
      <c r="B170" s="1">
        <v>45693</v>
      </c>
      <c r="C170" t="s">
        <v>11</v>
      </c>
      <c r="D170" t="s">
        <v>1</v>
      </c>
      <c r="E170">
        <v>338</v>
      </c>
      <c r="F170" t="str">
        <f>_xlfn.XLOOKUP(RAW_DATA_COL[[#This Row],[MATERIAL_ID]],DIM_MATERIAL[MATERIAL_ID],DIM_MATERIAL[UOM_IN])</f>
        <v>KG</v>
      </c>
    </row>
    <row r="171" spans="2:6" x14ac:dyDescent="0.2">
      <c r="C171" t="s">
        <v>11</v>
      </c>
      <c r="D171" t="s">
        <v>2</v>
      </c>
      <c r="E171">
        <v>24</v>
      </c>
      <c r="F171" t="str">
        <f>_xlfn.XLOOKUP(RAW_DATA_COL[[#This Row],[MATERIAL_ID]],DIM_MATERIAL[MATERIAL_ID],DIM_MATERIAL[UOM_IN])</f>
        <v>PCS</v>
      </c>
    </row>
    <row r="172" spans="2:6" x14ac:dyDescent="0.2">
      <c r="C172" t="s">
        <v>12</v>
      </c>
      <c r="D172" t="s">
        <v>1</v>
      </c>
      <c r="E172" t="s">
        <v>119</v>
      </c>
      <c r="F172" t="str">
        <f>_xlfn.XLOOKUP(RAW_DATA_COL[[#This Row],[MATERIAL_ID]],DIM_MATERIAL[MATERIAL_ID],DIM_MATERIAL[UOM_IN])</f>
        <v>KG</v>
      </c>
    </row>
    <row r="173" spans="2:6" x14ac:dyDescent="0.2">
      <c r="B173" s="1">
        <v>45694</v>
      </c>
      <c r="C173" t="s">
        <v>11</v>
      </c>
      <c r="D173" t="s">
        <v>1</v>
      </c>
      <c r="E173" t="s">
        <v>120</v>
      </c>
      <c r="F173" t="str">
        <f>_xlfn.XLOOKUP(RAW_DATA_COL[[#This Row],[MATERIAL_ID]],DIM_MATERIAL[MATERIAL_ID],DIM_MATERIAL[UOM_IN])</f>
        <v>KG</v>
      </c>
    </row>
    <row r="174" spans="2:6" x14ac:dyDescent="0.2">
      <c r="B174" s="1">
        <v>45695</v>
      </c>
      <c r="C174" t="s">
        <v>11</v>
      </c>
      <c r="D174" t="s">
        <v>1</v>
      </c>
      <c r="E174" t="s">
        <v>121</v>
      </c>
      <c r="F174" t="str">
        <f>_xlfn.XLOOKUP(RAW_DATA_COL[[#This Row],[MATERIAL_ID]],DIM_MATERIAL[MATERIAL_ID],DIM_MATERIAL[UOM_IN])</f>
        <v>KG</v>
      </c>
    </row>
    <row r="175" spans="2:6" x14ac:dyDescent="0.2">
      <c r="C175" t="s">
        <v>12</v>
      </c>
      <c r="D175" t="s">
        <v>1</v>
      </c>
      <c r="E175" t="s">
        <v>122</v>
      </c>
      <c r="F175" t="str">
        <f>_xlfn.XLOOKUP(RAW_DATA_COL[[#This Row],[MATERIAL_ID]],DIM_MATERIAL[MATERIAL_ID],DIM_MATERIAL[UOM_IN])</f>
        <v>KG</v>
      </c>
    </row>
    <row r="176" spans="2:6" x14ac:dyDescent="0.2">
      <c r="B176" s="1">
        <v>45696</v>
      </c>
      <c r="C176" t="s">
        <v>11</v>
      </c>
      <c r="D176" t="s">
        <v>1</v>
      </c>
      <c r="E176" t="s">
        <v>123</v>
      </c>
      <c r="F176" t="str">
        <f>_xlfn.XLOOKUP(RAW_DATA_COL[[#This Row],[MATERIAL_ID]],DIM_MATERIAL[MATERIAL_ID],DIM_MATERIAL[UOM_IN])</f>
        <v>KG</v>
      </c>
    </row>
    <row r="177" spans="2:6" x14ac:dyDescent="0.2">
      <c r="C177" t="s">
        <v>11</v>
      </c>
      <c r="D177" t="s">
        <v>2</v>
      </c>
      <c r="E177">
        <v>181</v>
      </c>
      <c r="F177" t="str">
        <f>_xlfn.XLOOKUP(RAW_DATA_COL[[#This Row],[MATERIAL_ID]],DIM_MATERIAL[MATERIAL_ID],DIM_MATERIAL[UOM_IN])</f>
        <v>PCS</v>
      </c>
    </row>
    <row r="178" spans="2:6" x14ac:dyDescent="0.2">
      <c r="B178" s="1">
        <v>45699</v>
      </c>
      <c r="C178" t="s">
        <v>11</v>
      </c>
      <c r="D178" t="s">
        <v>1</v>
      </c>
      <c r="E178" t="s">
        <v>124</v>
      </c>
      <c r="F178" t="str">
        <f>_xlfn.XLOOKUP(RAW_DATA_COL[[#This Row],[MATERIAL_ID]],DIM_MATERIAL[MATERIAL_ID],DIM_MATERIAL[UOM_IN])</f>
        <v>KG</v>
      </c>
    </row>
    <row r="179" spans="2:6" x14ac:dyDescent="0.2">
      <c r="C179" t="s">
        <v>11</v>
      </c>
      <c r="D179" t="s">
        <v>2</v>
      </c>
      <c r="E179">
        <v>150</v>
      </c>
      <c r="F179" t="str">
        <f>_xlfn.XLOOKUP(RAW_DATA_COL[[#This Row],[MATERIAL_ID]],DIM_MATERIAL[MATERIAL_ID],DIM_MATERIAL[UOM_IN])</f>
        <v>PCS</v>
      </c>
    </row>
    <row r="180" spans="2:6" x14ac:dyDescent="0.2">
      <c r="B180" s="1">
        <v>45700</v>
      </c>
      <c r="C180" t="s">
        <v>11</v>
      </c>
      <c r="D180" t="s">
        <v>1</v>
      </c>
      <c r="E180" t="s">
        <v>125</v>
      </c>
      <c r="F180" t="str">
        <f>_xlfn.XLOOKUP(RAW_DATA_COL[[#This Row],[MATERIAL_ID]],DIM_MATERIAL[MATERIAL_ID],DIM_MATERIAL[UOM_IN])</f>
        <v>KG</v>
      </c>
    </row>
    <row r="181" spans="2:6" x14ac:dyDescent="0.2">
      <c r="C181" t="s">
        <v>11</v>
      </c>
      <c r="D181" t="s">
        <v>2</v>
      </c>
      <c r="E181">
        <v>146</v>
      </c>
      <c r="F181" t="str">
        <f>_xlfn.XLOOKUP(RAW_DATA_COL[[#This Row],[MATERIAL_ID]],DIM_MATERIAL[MATERIAL_ID],DIM_MATERIAL[UOM_IN])</f>
        <v>PCS</v>
      </c>
    </row>
    <row r="182" spans="2:6" x14ac:dyDescent="0.2">
      <c r="C182" t="s">
        <v>12</v>
      </c>
      <c r="D182" t="s">
        <v>1</v>
      </c>
      <c r="E182" t="s">
        <v>126</v>
      </c>
      <c r="F182" t="str">
        <f>_xlfn.XLOOKUP(RAW_DATA_COL[[#This Row],[MATERIAL_ID]],DIM_MATERIAL[MATERIAL_ID],DIM_MATERIAL[UOM_IN])</f>
        <v>KG</v>
      </c>
    </row>
    <row r="183" spans="2:6" x14ac:dyDescent="0.2">
      <c r="B183" s="1">
        <v>45701</v>
      </c>
      <c r="C183" t="s">
        <v>11</v>
      </c>
      <c r="D183" t="s">
        <v>1</v>
      </c>
      <c r="E183" t="s">
        <v>127</v>
      </c>
      <c r="F183" t="str">
        <f>_xlfn.XLOOKUP(RAW_DATA_COL[[#This Row],[MATERIAL_ID]],DIM_MATERIAL[MATERIAL_ID],DIM_MATERIAL[UOM_IN])</f>
        <v>KG</v>
      </c>
    </row>
    <row r="184" spans="2:6" x14ac:dyDescent="0.2">
      <c r="C184" t="s">
        <v>12</v>
      </c>
      <c r="D184" t="s">
        <v>1</v>
      </c>
      <c r="E184" t="s">
        <v>128</v>
      </c>
      <c r="F184" t="str">
        <f>_xlfn.XLOOKUP(RAW_DATA_COL[[#This Row],[MATERIAL_ID]],DIM_MATERIAL[MATERIAL_ID],DIM_MATERIAL[UOM_IN])</f>
        <v>KG</v>
      </c>
    </row>
    <row r="185" spans="2:6" x14ac:dyDescent="0.2">
      <c r="B185" s="1">
        <v>45702</v>
      </c>
      <c r="C185" t="s">
        <v>11</v>
      </c>
      <c r="D185" t="s">
        <v>1</v>
      </c>
      <c r="E185" t="s">
        <v>129</v>
      </c>
      <c r="F185" t="str">
        <f>_xlfn.XLOOKUP(RAW_DATA_COL[[#This Row],[MATERIAL_ID]],DIM_MATERIAL[MATERIAL_ID],DIM_MATERIAL[UOM_IN])</f>
        <v>KG</v>
      </c>
    </row>
    <row r="186" spans="2:6" x14ac:dyDescent="0.2">
      <c r="B186" s="1">
        <v>45705</v>
      </c>
      <c r="C186" t="s">
        <v>11</v>
      </c>
      <c r="D186" t="s">
        <v>1</v>
      </c>
      <c r="E186" t="s">
        <v>130</v>
      </c>
      <c r="F186" t="str">
        <f>_xlfn.XLOOKUP(RAW_DATA_COL[[#This Row],[MATERIAL_ID]],DIM_MATERIAL[MATERIAL_ID],DIM_MATERIAL[UOM_IN])</f>
        <v>KG</v>
      </c>
    </row>
    <row r="187" spans="2:6" x14ac:dyDescent="0.2">
      <c r="C187" t="s">
        <v>12</v>
      </c>
      <c r="D187" t="s">
        <v>1</v>
      </c>
      <c r="E187" t="s">
        <v>131</v>
      </c>
      <c r="F187" t="str">
        <f>_xlfn.XLOOKUP(RAW_DATA_COL[[#This Row],[MATERIAL_ID]],DIM_MATERIAL[MATERIAL_ID],DIM_MATERIAL[UOM_IN])</f>
        <v>KG</v>
      </c>
    </row>
    <row r="188" spans="2:6" x14ac:dyDescent="0.2">
      <c r="B188" s="1">
        <v>45706</v>
      </c>
      <c r="C188" t="s">
        <v>11</v>
      </c>
      <c r="D188" t="s">
        <v>1</v>
      </c>
      <c r="E188" t="s">
        <v>132</v>
      </c>
      <c r="F188" t="str">
        <f>_xlfn.XLOOKUP(RAW_DATA_COL[[#This Row],[MATERIAL_ID]],DIM_MATERIAL[MATERIAL_ID],DIM_MATERIAL[UOM_IN])</f>
        <v>KG</v>
      </c>
    </row>
    <row r="189" spans="2:6" x14ac:dyDescent="0.2">
      <c r="C189" t="s">
        <v>12</v>
      </c>
      <c r="D189" t="s">
        <v>1</v>
      </c>
      <c r="E189" t="s">
        <v>133</v>
      </c>
      <c r="F189" t="str">
        <f>_xlfn.XLOOKUP(RAW_DATA_COL[[#This Row],[MATERIAL_ID]],DIM_MATERIAL[MATERIAL_ID],DIM_MATERIAL[UOM_IN])</f>
        <v>KG</v>
      </c>
    </row>
    <row r="190" spans="2:6" x14ac:dyDescent="0.2">
      <c r="B190" s="1">
        <v>45707</v>
      </c>
      <c r="C190" t="s">
        <v>11</v>
      </c>
      <c r="D190" t="s">
        <v>1</v>
      </c>
      <c r="E190" t="s">
        <v>134</v>
      </c>
      <c r="F190" t="str">
        <f>_xlfn.XLOOKUP(RAW_DATA_COL[[#This Row],[MATERIAL_ID]],DIM_MATERIAL[MATERIAL_ID],DIM_MATERIAL[UOM_IN])</f>
        <v>KG</v>
      </c>
    </row>
    <row r="191" spans="2:6" x14ac:dyDescent="0.2">
      <c r="B191" s="1">
        <v>45708</v>
      </c>
      <c r="C191" t="s">
        <v>11</v>
      </c>
      <c r="D191" t="s">
        <v>1</v>
      </c>
      <c r="E191" t="s">
        <v>135</v>
      </c>
      <c r="F191" t="str">
        <f>_xlfn.XLOOKUP(RAW_DATA_COL[[#This Row],[MATERIAL_ID]],DIM_MATERIAL[MATERIAL_ID],DIM_MATERIAL[UOM_IN])</f>
        <v>KG</v>
      </c>
    </row>
    <row r="192" spans="2:6" x14ac:dyDescent="0.2">
      <c r="C192" t="s">
        <v>12</v>
      </c>
      <c r="D192" t="s">
        <v>1</v>
      </c>
      <c r="E192" t="s">
        <v>136</v>
      </c>
      <c r="F192" t="str">
        <f>_xlfn.XLOOKUP(RAW_DATA_COL[[#This Row],[MATERIAL_ID]],DIM_MATERIAL[MATERIAL_ID],DIM_MATERIAL[UOM_IN])</f>
        <v>KG</v>
      </c>
    </row>
    <row r="193" spans="2:6" x14ac:dyDescent="0.2">
      <c r="B193" s="1">
        <v>45709</v>
      </c>
      <c r="C193" t="s">
        <v>11</v>
      </c>
      <c r="D193" t="s">
        <v>1</v>
      </c>
      <c r="E193">
        <v>519</v>
      </c>
      <c r="F193" t="str">
        <f>_xlfn.XLOOKUP(RAW_DATA_COL[[#This Row],[MATERIAL_ID]],DIM_MATERIAL[MATERIAL_ID],DIM_MATERIAL[UOM_IN])</f>
        <v>KG</v>
      </c>
    </row>
    <row r="194" spans="2:6" x14ac:dyDescent="0.2">
      <c r="B194" s="1">
        <v>45710</v>
      </c>
      <c r="C194" t="s">
        <v>11</v>
      </c>
      <c r="D194" t="s">
        <v>1</v>
      </c>
      <c r="E194" t="s">
        <v>137</v>
      </c>
      <c r="F194" t="str">
        <f>_xlfn.XLOOKUP(RAW_DATA_COL[[#This Row],[MATERIAL_ID]],DIM_MATERIAL[MATERIAL_ID],DIM_MATERIAL[UOM_IN])</f>
        <v>KG</v>
      </c>
    </row>
    <row r="195" spans="2:6" x14ac:dyDescent="0.2">
      <c r="C195" t="s">
        <v>11</v>
      </c>
      <c r="D195" t="s">
        <v>2</v>
      </c>
      <c r="E195">
        <v>65</v>
      </c>
      <c r="F195" t="str">
        <f>_xlfn.XLOOKUP(RAW_DATA_COL[[#This Row],[MATERIAL_ID]],DIM_MATERIAL[MATERIAL_ID],DIM_MATERIAL[UOM_IN])</f>
        <v>PCS</v>
      </c>
    </row>
    <row r="196" spans="2:6" x14ac:dyDescent="0.2">
      <c r="B196" s="1">
        <v>45712</v>
      </c>
      <c r="C196" t="s">
        <v>11</v>
      </c>
      <c r="D196" t="s">
        <v>2</v>
      </c>
      <c r="E196">
        <v>133</v>
      </c>
      <c r="F196" t="str">
        <f>_xlfn.XLOOKUP(RAW_DATA_COL[[#This Row],[MATERIAL_ID]],DIM_MATERIAL[MATERIAL_ID],DIM_MATERIAL[UOM_IN])</f>
        <v>PCS</v>
      </c>
    </row>
    <row r="197" spans="2:6" x14ac:dyDescent="0.2">
      <c r="B197" s="1">
        <v>45713</v>
      </c>
      <c r="C197" t="s">
        <v>11</v>
      </c>
      <c r="D197" t="s">
        <v>1</v>
      </c>
      <c r="E197" t="s">
        <v>138</v>
      </c>
      <c r="F197" t="str">
        <f>_xlfn.XLOOKUP(RAW_DATA_COL[[#This Row],[MATERIAL_ID]],DIM_MATERIAL[MATERIAL_ID],DIM_MATERIAL[UOM_IN])</f>
        <v>KG</v>
      </c>
    </row>
    <row r="198" spans="2:6" x14ac:dyDescent="0.2">
      <c r="C198" t="s">
        <v>11</v>
      </c>
      <c r="D198" t="s">
        <v>2</v>
      </c>
      <c r="E198">
        <v>81</v>
      </c>
      <c r="F198" t="str">
        <f>_xlfn.XLOOKUP(RAW_DATA_COL[[#This Row],[MATERIAL_ID]],DIM_MATERIAL[MATERIAL_ID],DIM_MATERIAL[UOM_IN])</f>
        <v>PCS</v>
      </c>
    </row>
    <row r="199" spans="2:6" x14ac:dyDescent="0.2">
      <c r="C199" t="s">
        <v>12</v>
      </c>
      <c r="D199" t="s">
        <v>1</v>
      </c>
      <c r="E199" t="s">
        <v>139</v>
      </c>
      <c r="F199" t="str">
        <f>_xlfn.XLOOKUP(RAW_DATA_COL[[#This Row],[MATERIAL_ID]],DIM_MATERIAL[MATERIAL_ID],DIM_MATERIAL[UOM_IN])</f>
        <v>KG</v>
      </c>
    </row>
    <row r="200" spans="2:6" x14ac:dyDescent="0.2">
      <c r="B200" s="1">
        <v>45715</v>
      </c>
      <c r="C200" t="s">
        <v>11</v>
      </c>
      <c r="D200" t="s">
        <v>1</v>
      </c>
      <c r="E200" t="s">
        <v>140</v>
      </c>
      <c r="F200" t="str">
        <f>_xlfn.XLOOKUP(RAW_DATA_COL[[#This Row],[MATERIAL_ID]],DIM_MATERIAL[MATERIAL_ID],DIM_MATERIAL[UOM_IN])</f>
        <v>KG</v>
      </c>
    </row>
    <row r="201" spans="2:6" x14ac:dyDescent="0.2">
      <c r="C201" t="s">
        <v>11</v>
      </c>
      <c r="D201" t="s">
        <v>2</v>
      </c>
      <c r="E201">
        <v>63</v>
      </c>
      <c r="F201" t="str">
        <f>_xlfn.XLOOKUP(RAW_DATA_COL[[#This Row],[MATERIAL_ID]],DIM_MATERIAL[MATERIAL_ID],DIM_MATERIAL[UOM_IN])</f>
        <v>PCS</v>
      </c>
    </row>
    <row r="202" spans="2:6" x14ac:dyDescent="0.2">
      <c r="C202" t="s">
        <v>12</v>
      </c>
      <c r="D202" t="s">
        <v>1</v>
      </c>
      <c r="E202" t="s">
        <v>141</v>
      </c>
      <c r="F202" t="str">
        <f>_xlfn.XLOOKUP(RAW_DATA_COL[[#This Row],[MATERIAL_ID]],DIM_MATERIAL[MATERIAL_ID],DIM_MATERIAL[UOM_IN])</f>
        <v>KG</v>
      </c>
    </row>
    <row r="203" spans="2:6" x14ac:dyDescent="0.2">
      <c r="B203" s="1">
        <v>45716</v>
      </c>
      <c r="C203" t="s">
        <v>11</v>
      </c>
      <c r="D203" t="s">
        <v>1</v>
      </c>
      <c r="E203" t="s">
        <v>142</v>
      </c>
      <c r="F203" t="str">
        <f>_xlfn.XLOOKUP(RAW_DATA_COL[[#This Row],[MATERIAL_ID]],DIM_MATERIAL[MATERIAL_ID],DIM_MATERIAL[UOM_IN])</f>
        <v>KG</v>
      </c>
    </row>
    <row r="204" spans="2:6" x14ac:dyDescent="0.2">
      <c r="B204" s="1">
        <v>45720</v>
      </c>
      <c r="C204" t="s">
        <v>11</v>
      </c>
      <c r="D204" t="s">
        <v>1</v>
      </c>
      <c r="E204">
        <v>1051</v>
      </c>
      <c r="F204" t="str">
        <f>_xlfn.XLOOKUP(RAW_DATA_COL[[#This Row],[MATERIAL_ID]],DIM_MATERIAL[MATERIAL_ID],DIM_MATERIAL[UOM_IN])</f>
        <v>KG</v>
      </c>
    </row>
    <row r="205" spans="2:6" x14ac:dyDescent="0.2">
      <c r="C205" t="s">
        <v>12</v>
      </c>
      <c r="D205" t="s">
        <v>1</v>
      </c>
      <c r="E205" t="s">
        <v>143</v>
      </c>
      <c r="F205" t="str">
        <f>_xlfn.XLOOKUP(RAW_DATA_COL[[#This Row],[MATERIAL_ID]],DIM_MATERIAL[MATERIAL_ID],DIM_MATERIAL[UOM_IN])</f>
        <v>KG</v>
      </c>
    </row>
    <row r="206" spans="2:6" x14ac:dyDescent="0.2">
      <c r="B206" s="1">
        <v>45721</v>
      </c>
      <c r="C206" t="s">
        <v>11</v>
      </c>
      <c r="D206" t="s">
        <v>1</v>
      </c>
      <c r="E206" t="s">
        <v>95</v>
      </c>
      <c r="F206" t="str">
        <f>_xlfn.XLOOKUP(RAW_DATA_COL[[#This Row],[MATERIAL_ID]],DIM_MATERIAL[MATERIAL_ID],DIM_MATERIAL[UOM_IN])</f>
        <v>KG</v>
      </c>
    </row>
    <row r="207" spans="2:6" x14ac:dyDescent="0.2">
      <c r="C207" t="s">
        <v>12</v>
      </c>
      <c r="D207" t="s">
        <v>1</v>
      </c>
      <c r="E207" t="s">
        <v>144</v>
      </c>
      <c r="F207" t="str">
        <f>_xlfn.XLOOKUP(RAW_DATA_COL[[#This Row],[MATERIAL_ID]],DIM_MATERIAL[MATERIAL_ID],DIM_MATERIAL[UOM_IN])</f>
        <v>KG</v>
      </c>
    </row>
    <row r="208" spans="2:6" x14ac:dyDescent="0.2">
      <c r="B208" s="1">
        <v>45722</v>
      </c>
      <c r="C208" t="s">
        <v>11</v>
      </c>
      <c r="D208" t="s">
        <v>1</v>
      </c>
      <c r="E208" t="s">
        <v>145</v>
      </c>
      <c r="F208" t="str">
        <f>_xlfn.XLOOKUP(RAW_DATA_COL[[#This Row],[MATERIAL_ID]],DIM_MATERIAL[MATERIAL_ID],DIM_MATERIAL[UOM_IN])</f>
        <v>KG</v>
      </c>
    </row>
    <row r="209" spans="2:6" x14ac:dyDescent="0.2">
      <c r="C209" t="s">
        <v>11</v>
      </c>
      <c r="D209" t="s">
        <v>2</v>
      </c>
      <c r="E209">
        <v>127</v>
      </c>
      <c r="F209" t="str">
        <f>_xlfn.XLOOKUP(RAW_DATA_COL[[#This Row],[MATERIAL_ID]],DIM_MATERIAL[MATERIAL_ID],DIM_MATERIAL[UOM_IN])</f>
        <v>PCS</v>
      </c>
    </row>
    <row r="210" spans="2:6" x14ac:dyDescent="0.2">
      <c r="B210" s="1">
        <v>45724</v>
      </c>
      <c r="C210" t="s">
        <v>11</v>
      </c>
      <c r="D210" t="s">
        <v>1</v>
      </c>
      <c r="E210">
        <v>412.4</v>
      </c>
      <c r="F210" t="str">
        <f>_xlfn.XLOOKUP(RAW_DATA_COL[[#This Row],[MATERIAL_ID]],DIM_MATERIAL[MATERIAL_ID],DIM_MATERIAL[UOM_IN])</f>
        <v>KG</v>
      </c>
    </row>
    <row r="211" spans="2:6" x14ac:dyDescent="0.2">
      <c r="B211" s="1">
        <v>45726</v>
      </c>
      <c r="C211" t="s">
        <v>11</v>
      </c>
      <c r="D211" t="s">
        <v>1</v>
      </c>
      <c r="E211" t="s">
        <v>146</v>
      </c>
      <c r="F211" t="str">
        <f>_xlfn.XLOOKUP(RAW_DATA_COL[[#This Row],[MATERIAL_ID]],DIM_MATERIAL[MATERIAL_ID],DIM_MATERIAL[UOM_IN])</f>
        <v>KG</v>
      </c>
    </row>
    <row r="212" spans="2:6" x14ac:dyDescent="0.2">
      <c r="C212" t="s">
        <v>12</v>
      </c>
      <c r="D212" t="s">
        <v>1</v>
      </c>
      <c r="E212" t="s">
        <v>147</v>
      </c>
      <c r="F212" t="str">
        <f>_xlfn.XLOOKUP(RAW_DATA_COL[[#This Row],[MATERIAL_ID]],DIM_MATERIAL[MATERIAL_ID],DIM_MATERIAL[UOM_IN])</f>
        <v>KG</v>
      </c>
    </row>
    <row r="213" spans="2:6" x14ac:dyDescent="0.2">
      <c r="B213" s="1">
        <v>45727</v>
      </c>
      <c r="C213" t="s">
        <v>11</v>
      </c>
      <c r="D213" t="s">
        <v>1</v>
      </c>
      <c r="E213" t="s">
        <v>148</v>
      </c>
      <c r="F213" t="str">
        <f>_xlfn.XLOOKUP(RAW_DATA_COL[[#This Row],[MATERIAL_ID]],DIM_MATERIAL[MATERIAL_ID],DIM_MATERIAL[UOM_IN])</f>
        <v>KG</v>
      </c>
    </row>
    <row r="214" spans="2:6" x14ac:dyDescent="0.2">
      <c r="C214" t="s">
        <v>12</v>
      </c>
      <c r="D214" t="s">
        <v>1</v>
      </c>
      <c r="E214" t="s">
        <v>149</v>
      </c>
      <c r="F214" t="str">
        <f>_xlfn.XLOOKUP(RAW_DATA_COL[[#This Row],[MATERIAL_ID]],DIM_MATERIAL[MATERIAL_ID],DIM_MATERIAL[UOM_IN])</f>
        <v>KG</v>
      </c>
    </row>
    <row r="215" spans="2:6" x14ac:dyDescent="0.2">
      <c r="B215" s="1">
        <v>45728</v>
      </c>
      <c r="C215" t="s">
        <v>11</v>
      </c>
      <c r="D215" t="s">
        <v>1</v>
      </c>
      <c r="E215">
        <v>586</v>
      </c>
      <c r="F215" t="str">
        <f>_xlfn.XLOOKUP(RAW_DATA_COL[[#This Row],[MATERIAL_ID]],DIM_MATERIAL[MATERIAL_ID],DIM_MATERIAL[UOM_IN])</f>
        <v>KG</v>
      </c>
    </row>
    <row r="216" spans="2:6" x14ac:dyDescent="0.2">
      <c r="C216" t="s">
        <v>11</v>
      </c>
      <c r="D216" t="s">
        <v>2</v>
      </c>
      <c r="E216">
        <v>152</v>
      </c>
      <c r="F216" t="str">
        <f>_xlfn.XLOOKUP(RAW_DATA_COL[[#This Row],[MATERIAL_ID]],DIM_MATERIAL[MATERIAL_ID],DIM_MATERIAL[UOM_IN])</f>
        <v>PCS</v>
      </c>
    </row>
    <row r="217" spans="2:6" x14ac:dyDescent="0.2">
      <c r="C217" t="s">
        <v>12</v>
      </c>
      <c r="D217" t="s">
        <v>1</v>
      </c>
      <c r="E217">
        <v>290</v>
      </c>
      <c r="F217" t="str">
        <f>_xlfn.XLOOKUP(RAW_DATA_COL[[#This Row],[MATERIAL_ID]],DIM_MATERIAL[MATERIAL_ID],DIM_MATERIAL[UOM_IN])</f>
        <v>KG</v>
      </c>
    </row>
    <row r="218" spans="2:6" x14ac:dyDescent="0.2">
      <c r="B218" s="1">
        <v>45729</v>
      </c>
      <c r="C218" t="s">
        <v>11</v>
      </c>
      <c r="D218" t="s">
        <v>1</v>
      </c>
      <c r="E218">
        <v>563</v>
      </c>
      <c r="F218" t="str">
        <f>_xlfn.XLOOKUP(RAW_DATA_COL[[#This Row],[MATERIAL_ID]],DIM_MATERIAL[MATERIAL_ID],DIM_MATERIAL[UOM_IN])</f>
        <v>KG</v>
      </c>
    </row>
    <row r="219" spans="2:6" x14ac:dyDescent="0.2">
      <c r="C219" t="s">
        <v>12</v>
      </c>
      <c r="D219" t="s">
        <v>1</v>
      </c>
      <c r="E219" t="s">
        <v>107</v>
      </c>
      <c r="F219" t="str">
        <f>_xlfn.XLOOKUP(RAW_DATA_COL[[#This Row],[MATERIAL_ID]],DIM_MATERIAL[MATERIAL_ID],DIM_MATERIAL[UOM_IN])</f>
        <v>KG</v>
      </c>
    </row>
    <row r="220" spans="2:6" x14ac:dyDescent="0.2">
      <c r="B220" s="1">
        <v>45730</v>
      </c>
      <c r="C220" t="s">
        <v>11</v>
      </c>
      <c r="D220" t="s">
        <v>1</v>
      </c>
      <c r="E220" t="s">
        <v>150</v>
      </c>
      <c r="F220" t="str">
        <f>_xlfn.XLOOKUP(RAW_DATA_COL[[#This Row],[MATERIAL_ID]],DIM_MATERIAL[MATERIAL_ID],DIM_MATERIAL[UOM_IN])</f>
        <v>KG</v>
      </c>
    </row>
    <row r="221" spans="2:6" x14ac:dyDescent="0.2">
      <c r="C221" t="s">
        <v>12</v>
      </c>
      <c r="D221" t="s">
        <v>1</v>
      </c>
      <c r="E221" t="s">
        <v>151</v>
      </c>
      <c r="F221" t="str">
        <f>_xlfn.XLOOKUP(RAW_DATA_COL[[#This Row],[MATERIAL_ID]],DIM_MATERIAL[MATERIAL_ID],DIM_MATERIAL[UOM_IN])</f>
        <v>KG</v>
      </c>
    </row>
    <row r="222" spans="2:6" x14ac:dyDescent="0.2">
      <c r="B222" s="1">
        <v>45733</v>
      </c>
      <c r="C222" t="s">
        <v>11</v>
      </c>
      <c r="D222" t="s">
        <v>1</v>
      </c>
      <c r="E222" t="s">
        <v>152</v>
      </c>
      <c r="F222" t="str">
        <f>_xlfn.XLOOKUP(RAW_DATA_COL[[#This Row],[MATERIAL_ID]],DIM_MATERIAL[MATERIAL_ID],DIM_MATERIAL[UOM_IN])</f>
        <v>KG</v>
      </c>
    </row>
    <row r="223" spans="2:6" x14ac:dyDescent="0.2">
      <c r="C223" t="s">
        <v>11</v>
      </c>
      <c r="D223" t="s">
        <v>2</v>
      </c>
      <c r="E223">
        <v>38</v>
      </c>
      <c r="F223" t="str">
        <f>_xlfn.XLOOKUP(RAW_DATA_COL[[#This Row],[MATERIAL_ID]],DIM_MATERIAL[MATERIAL_ID],DIM_MATERIAL[UOM_IN])</f>
        <v>PCS</v>
      </c>
    </row>
    <row r="224" spans="2:6" x14ac:dyDescent="0.2">
      <c r="C224" t="s">
        <v>12</v>
      </c>
      <c r="D224" t="s">
        <v>1</v>
      </c>
      <c r="E224" t="s">
        <v>153</v>
      </c>
      <c r="F224" t="str">
        <f>_xlfn.XLOOKUP(RAW_DATA_COL[[#This Row],[MATERIAL_ID]],DIM_MATERIAL[MATERIAL_ID],DIM_MATERIAL[UOM_IN])</f>
        <v>KG</v>
      </c>
    </row>
    <row r="225" spans="2:6" x14ac:dyDescent="0.2">
      <c r="B225" s="1">
        <v>45734</v>
      </c>
      <c r="C225" t="s">
        <v>11</v>
      </c>
      <c r="D225" t="s">
        <v>1</v>
      </c>
      <c r="E225" t="s">
        <v>24</v>
      </c>
      <c r="F225" t="str">
        <f>_xlfn.XLOOKUP(RAW_DATA_COL[[#This Row],[MATERIAL_ID]],DIM_MATERIAL[MATERIAL_ID],DIM_MATERIAL[UOM_IN])</f>
        <v>KG</v>
      </c>
    </row>
    <row r="226" spans="2:6" x14ac:dyDescent="0.2">
      <c r="C226" t="s">
        <v>12</v>
      </c>
      <c r="D226" t="s">
        <v>1</v>
      </c>
      <c r="E226" t="s">
        <v>154</v>
      </c>
      <c r="F226" t="str">
        <f>_xlfn.XLOOKUP(RAW_DATA_COL[[#This Row],[MATERIAL_ID]],DIM_MATERIAL[MATERIAL_ID],DIM_MATERIAL[UOM_IN])</f>
        <v>KG</v>
      </c>
    </row>
    <row r="227" spans="2:6" x14ac:dyDescent="0.2">
      <c r="B227" s="1">
        <v>45735</v>
      </c>
      <c r="C227" t="s">
        <v>11</v>
      </c>
      <c r="D227" t="s">
        <v>1</v>
      </c>
      <c r="E227" t="s">
        <v>155</v>
      </c>
      <c r="F227" t="str">
        <f>_xlfn.XLOOKUP(RAW_DATA_COL[[#This Row],[MATERIAL_ID]],DIM_MATERIAL[MATERIAL_ID],DIM_MATERIAL[UOM_IN])</f>
        <v>KG</v>
      </c>
    </row>
    <row r="228" spans="2:6" x14ac:dyDescent="0.2">
      <c r="C228" t="s">
        <v>12</v>
      </c>
      <c r="D228" t="s">
        <v>1</v>
      </c>
      <c r="E228" t="s">
        <v>156</v>
      </c>
      <c r="F228" t="str">
        <f>_xlfn.XLOOKUP(RAW_DATA_COL[[#This Row],[MATERIAL_ID]],DIM_MATERIAL[MATERIAL_ID],DIM_MATERIAL[UOM_IN])</f>
        <v>KG</v>
      </c>
    </row>
    <row r="229" spans="2:6" x14ac:dyDescent="0.2">
      <c r="B229" s="1">
        <v>45736</v>
      </c>
      <c r="C229" t="s">
        <v>11</v>
      </c>
      <c r="D229" t="s">
        <v>1</v>
      </c>
      <c r="E229" t="s">
        <v>157</v>
      </c>
      <c r="F229" t="str">
        <f>_xlfn.XLOOKUP(RAW_DATA_COL[[#This Row],[MATERIAL_ID]],DIM_MATERIAL[MATERIAL_ID],DIM_MATERIAL[UOM_IN])</f>
        <v>KG</v>
      </c>
    </row>
    <row r="230" spans="2:6" x14ac:dyDescent="0.2">
      <c r="C230" t="s">
        <v>11</v>
      </c>
      <c r="D230" t="s">
        <v>2</v>
      </c>
      <c r="E230">
        <v>50</v>
      </c>
      <c r="F230" t="str">
        <f>_xlfn.XLOOKUP(RAW_DATA_COL[[#This Row],[MATERIAL_ID]],DIM_MATERIAL[MATERIAL_ID],DIM_MATERIAL[UOM_IN])</f>
        <v>PCS</v>
      </c>
    </row>
    <row r="231" spans="2:6" x14ac:dyDescent="0.2">
      <c r="C231" t="s">
        <v>12</v>
      </c>
      <c r="D231" t="s">
        <v>1</v>
      </c>
      <c r="E231">
        <v>320</v>
      </c>
      <c r="F231" t="str">
        <f>_xlfn.XLOOKUP(RAW_DATA_COL[[#This Row],[MATERIAL_ID]],DIM_MATERIAL[MATERIAL_ID],DIM_MATERIAL[UOM_IN])</f>
        <v>KG</v>
      </c>
    </row>
    <row r="232" spans="2:6" x14ac:dyDescent="0.2">
      <c r="B232" s="1">
        <v>45737</v>
      </c>
      <c r="C232" t="s">
        <v>11</v>
      </c>
      <c r="D232" t="s">
        <v>1</v>
      </c>
      <c r="E232" t="s">
        <v>158</v>
      </c>
      <c r="F232" t="str">
        <f>_xlfn.XLOOKUP(RAW_DATA_COL[[#This Row],[MATERIAL_ID]],DIM_MATERIAL[MATERIAL_ID],DIM_MATERIAL[UOM_IN])</f>
        <v>KG</v>
      </c>
    </row>
    <row r="233" spans="2:6" x14ac:dyDescent="0.2">
      <c r="C233" t="s">
        <v>11</v>
      </c>
      <c r="D233" t="s">
        <v>2</v>
      </c>
      <c r="E233">
        <v>25</v>
      </c>
      <c r="F233" t="str">
        <f>_xlfn.XLOOKUP(RAW_DATA_COL[[#This Row],[MATERIAL_ID]],DIM_MATERIAL[MATERIAL_ID],DIM_MATERIAL[UOM_IN])</f>
        <v>PCS</v>
      </c>
    </row>
    <row r="234" spans="2:6" x14ac:dyDescent="0.2">
      <c r="B234" s="1">
        <v>45740</v>
      </c>
      <c r="C234" t="s">
        <v>11</v>
      </c>
      <c r="D234" t="s">
        <v>1</v>
      </c>
      <c r="E234" t="s">
        <v>159</v>
      </c>
      <c r="F234" t="str">
        <f>_xlfn.XLOOKUP(RAW_DATA_COL[[#This Row],[MATERIAL_ID]],DIM_MATERIAL[MATERIAL_ID],DIM_MATERIAL[UOM_IN])</f>
        <v>KG</v>
      </c>
    </row>
    <row r="235" spans="2:6" x14ac:dyDescent="0.2">
      <c r="C235" t="s">
        <v>12</v>
      </c>
      <c r="D235" t="s">
        <v>1</v>
      </c>
      <c r="E235" t="s">
        <v>160</v>
      </c>
      <c r="F235" t="str">
        <f>_xlfn.XLOOKUP(RAW_DATA_COL[[#This Row],[MATERIAL_ID]],DIM_MATERIAL[MATERIAL_ID],DIM_MATERIAL[UOM_IN])</f>
        <v>KG</v>
      </c>
    </row>
    <row r="236" spans="2:6" x14ac:dyDescent="0.2">
      <c r="B236" s="1">
        <v>45741</v>
      </c>
      <c r="C236" t="s">
        <v>11</v>
      </c>
      <c r="D236" t="s">
        <v>1</v>
      </c>
      <c r="E236" t="s">
        <v>161</v>
      </c>
      <c r="F236" t="str">
        <f>_xlfn.XLOOKUP(RAW_DATA_COL[[#This Row],[MATERIAL_ID]],DIM_MATERIAL[MATERIAL_ID],DIM_MATERIAL[UOM_IN])</f>
        <v>KG</v>
      </c>
    </row>
    <row r="237" spans="2:6" x14ac:dyDescent="0.2">
      <c r="C237" t="s">
        <v>11</v>
      </c>
      <c r="D237" t="s">
        <v>2</v>
      </c>
      <c r="E237">
        <v>66</v>
      </c>
      <c r="F237" t="str">
        <f>_xlfn.XLOOKUP(RAW_DATA_COL[[#This Row],[MATERIAL_ID]],DIM_MATERIAL[MATERIAL_ID],DIM_MATERIAL[UOM_IN])</f>
        <v>PCS</v>
      </c>
    </row>
    <row r="238" spans="2:6" x14ac:dyDescent="0.2">
      <c r="C238" t="s">
        <v>12</v>
      </c>
      <c r="D238" t="s">
        <v>1</v>
      </c>
      <c r="E238" t="s">
        <v>162</v>
      </c>
      <c r="F238" t="str">
        <f>_xlfn.XLOOKUP(RAW_DATA_COL[[#This Row],[MATERIAL_ID]],DIM_MATERIAL[MATERIAL_ID],DIM_MATERIAL[UOM_IN])</f>
        <v>KG</v>
      </c>
    </row>
    <row r="239" spans="2:6" x14ac:dyDescent="0.2">
      <c r="B239" s="1">
        <v>45743</v>
      </c>
      <c r="C239" t="s">
        <v>11</v>
      </c>
      <c r="D239" t="s">
        <v>1</v>
      </c>
      <c r="E239">
        <v>1108</v>
      </c>
      <c r="F239" t="str">
        <f>_xlfn.XLOOKUP(RAW_DATA_COL[[#This Row],[MATERIAL_ID]],DIM_MATERIAL[MATERIAL_ID],DIM_MATERIAL[UOM_IN])</f>
        <v>KG</v>
      </c>
    </row>
    <row r="240" spans="2:6" x14ac:dyDescent="0.2">
      <c r="C240" t="s">
        <v>11</v>
      </c>
      <c r="D240" t="s">
        <v>2</v>
      </c>
      <c r="E240">
        <v>51</v>
      </c>
      <c r="F240" t="str">
        <f>_xlfn.XLOOKUP(RAW_DATA_COL[[#This Row],[MATERIAL_ID]],DIM_MATERIAL[MATERIAL_ID],DIM_MATERIAL[UOM_IN])</f>
        <v>PCS</v>
      </c>
    </row>
    <row r="241" spans="2:6" x14ac:dyDescent="0.2">
      <c r="B241" s="1">
        <v>45744</v>
      </c>
      <c r="C241" t="s">
        <v>11</v>
      </c>
      <c r="D241" t="s">
        <v>1</v>
      </c>
      <c r="E241" t="s">
        <v>163</v>
      </c>
      <c r="F241" t="str">
        <f>_xlfn.XLOOKUP(RAW_DATA_COL[[#This Row],[MATERIAL_ID]],DIM_MATERIAL[MATERIAL_ID],DIM_MATERIAL[UOM_IN])</f>
        <v>KG</v>
      </c>
    </row>
    <row r="242" spans="2:6" x14ac:dyDescent="0.2">
      <c r="C242" t="s">
        <v>11</v>
      </c>
      <c r="D242" t="s">
        <v>2</v>
      </c>
      <c r="E242">
        <v>1</v>
      </c>
      <c r="F242" t="str">
        <f>_xlfn.XLOOKUP(RAW_DATA_COL[[#This Row],[MATERIAL_ID]],DIM_MATERIAL[MATERIAL_ID],DIM_MATERIAL[UOM_IN])</f>
        <v>PCS</v>
      </c>
    </row>
    <row r="243" spans="2:6" x14ac:dyDescent="0.2">
      <c r="C243" t="s">
        <v>12</v>
      </c>
      <c r="D243" t="s">
        <v>1</v>
      </c>
      <c r="E243" t="s">
        <v>164</v>
      </c>
      <c r="F243" t="str">
        <f>_xlfn.XLOOKUP(RAW_DATA_COL[[#This Row],[MATERIAL_ID]],DIM_MATERIAL[MATERIAL_ID],DIM_MATERIAL[UOM_IN])</f>
        <v>KG</v>
      </c>
    </row>
    <row r="244" spans="2:6" x14ac:dyDescent="0.2">
      <c r="B244" s="1">
        <v>45749</v>
      </c>
      <c r="C244" t="s">
        <v>11</v>
      </c>
      <c r="D244" t="s">
        <v>1</v>
      </c>
      <c r="E244" t="s">
        <v>165</v>
      </c>
      <c r="F244" t="str">
        <f>_xlfn.XLOOKUP(RAW_DATA_COL[[#This Row],[MATERIAL_ID]],DIM_MATERIAL[MATERIAL_ID],DIM_MATERIAL[UOM_IN])</f>
        <v>KG</v>
      </c>
    </row>
    <row r="245" spans="2:6" x14ac:dyDescent="0.2">
      <c r="C245" t="s">
        <v>11</v>
      </c>
      <c r="D245" t="s">
        <v>2</v>
      </c>
      <c r="E245">
        <v>32</v>
      </c>
      <c r="F245" t="str">
        <f>_xlfn.XLOOKUP(RAW_DATA_COL[[#This Row],[MATERIAL_ID]],DIM_MATERIAL[MATERIAL_ID],DIM_MATERIAL[UOM_IN])</f>
        <v>PCS</v>
      </c>
    </row>
    <row r="246" spans="2:6" x14ac:dyDescent="0.2">
      <c r="C246" t="s">
        <v>12</v>
      </c>
      <c r="D246" t="s">
        <v>1</v>
      </c>
      <c r="E246" t="s">
        <v>166</v>
      </c>
      <c r="F246" t="str">
        <f>_xlfn.XLOOKUP(RAW_DATA_COL[[#This Row],[MATERIAL_ID]],DIM_MATERIAL[MATERIAL_ID],DIM_MATERIAL[UOM_IN])</f>
        <v>KG</v>
      </c>
    </row>
    <row r="247" spans="2:6" x14ac:dyDescent="0.2">
      <c r="B247" s="1">
        <v>45750</v>
      </c>
      <c r="C247" t="s">
        <v>11</v>
      </c>
      <c r="D247" t="s">
        <v>1</v>
      </c>
      <c r="E247" t="s">
        <v>167</v>
      </c>
      <c r="F247" t="str">
        <f>_xlfn.XLOOKUP(RAW_DATA_COL[[#This Row],[MATERIAL_ID]],DIM_MATERIAL[MATERIAL_ID],DIM_MATERIAL[UOM_IN])</f>
        <v>KG</v>
      </c>
    </row>
    <row r="248" spans="2:6" x14ac:dyDescent="0.2">
      <c r="C248" t="s">
        <v>11</v>
      </c>
      <c r="D248" t="s">
        <v>2</v>
      </c>
      <c r="E248">
        <v>90</v>
      </c>
      <c r="F248" t="str">
        <f>_xlfn.XLOOKUP(RAW_DATA_COL[[#This Row],[MATERIAL_ID]],DIM_MATERIAL[MATERIAL_ID],DIM_MATERIAL[UOM_IN])</f>
        <v>PCS</v>
      </c>
    </row>
    <row r="249" spans="2:6" x14ac:dyDescent="0.2">
      <c r="B249" s="1">
        <v>45754</v>
      </c>
      <c r="C249" t="s">
        <v>11</v>
      </c>
      <c r="D249" t="s">
        <v>1</v>
      </c>
      <c r="E249" t="s">
        <v>168</v>
      </c>
      <c r="F249" t="str">
        <f>_xlfn.XLOOKUP(RAW_DATA_COL[[#This Row],[MATERIAL_ID]],DIM_MATERIAL[MATERIAL_ID],DIM_MATERIAL[UOM_IN])</f>
        <v>KG</v>
      </c>
    </row>
    <row r="250" spans="2:6" x14ac:dyDescent="0.2">
      <c r="C250" t="s">
        <v>11</v>
      </c>
      <c r="D250" t="s">
        <v>2</v>
      </c>
      <c r="E250">
        <v>15</v>
      </c>
      <c r="F250" t="str">
        <f>_xlfn.XLOOKUP(RAW_DATA_COL[[#This Row],[MATERIAL_ID]],DIM_MATERIAL[MATERIAL_ID],DIM_MATERIAL[UOM_IN])</f>
        <v>PCS</v>
      </c>
    </row>
    <row r="251" spans="2:6" x14ac:dyDescent="0.2">
      <c r="C251" t="s">
        <v>12</v>
      </c>
      <c r="D251" t="s">
        <v>1</v>
      </c>
      <c r="E251" t="s">
        <v>169</v>
      </c>
      <c r="F251" t="str">
        <f>_xlfn.XLOOKUP(RAW_DATA_COL[[#This Row],[MATERIAL_ID]],DIM_MATERIAL[MATERIAL_ID],DIM_MATERIAL[UOM_IN])</f>
        <v>KG</v>
      </c>
    </row>
    <row r="252" spans="2:6" x14ac:dyDescent="0.2">
      <c r="B252" s="1">
        <v>45755</v>
      </c>
      <c r="C252" t="s">
        <v>11</v>
      </c>
      <c r="D252" t="s">
        <v>1</v>
      </c>
      <c r="E252" t="s">
        <v>170</v>
      </c>
      <c r="F252" t="str">
        <f>_xlfn.XLOOKUP(RAW_DATA_COL[[#This Row],[MATERIAL_ID]],DIM_MATERIAL[MATERIAL_ID],DIM_MATERIAL[UOM_IN])</f>
        <v>KG</v>
      </c>
    </row>
    <row r="253" spans="2:6" x14ac:dyDescent="0.2">
      <c r="C253" t="s">
        <v>12</v>
      </c>
      <c r="D253" t="s">
        <v>1</v>
      </c>
      <c r="E253" t="s">
        <v>171</v>
      </c>
      <c r="F253" t="str">
        <f>_xlfn.XLOOKUP(RAW_DATA_COL[[#This Row],[MATERIAL_ID]],DIM_MATERIAL[MATERIAL_ID],DIM_MATERIAL[UOM_IN])</f>
        <v>KG</v>
      </c>
    </row>
    <row r="254" spans="2:6" x14ac:dyDescent="0.2">
      <c r="B254" s="1">
        <v>45756</v>
      </c>
      <c r="C254" t="s">
        <v>11</v>
      </c>
      <c r="D254" t="s">
        <v>1</v>
      </c>
      <c r="E254" t="s">
        <v>172</v>
      </c>
      <c r="F254" t="str">
        <f>_xlfn.XLOOKUP(RAW_DATA_COL[[#This Row],[MATERIAL_ID]],DIM_MATERIAL[MATERIAL_ID],DIM_MATERIAL[UOM_IN])</f>
        <v>KG</v>
      </c>
    </row>
    <row r="255" spans="2:6" x14ac:dyDescent="0.2">
      <c r="C255" t="s">
        <v>11</v>
      </c>
      <c r="D255" t="s">
        <v>2</v>
      </c>
      <c r="E255">
        <v>43</v>
      </c>
      <c r="F255" t="str">
        <f>_xlfn.XLOOKUP(RAW_DATA_COL[[#This Row],[MATERIAL_ID]],DIM_MATERIAL[MATERIAL_ID],DIM_MATERIAL[UOM_IN])</f>
        <v>PCS</v>
      </c>
    </row>
    <row r="256" spans="2:6" x14ac:dyDescent="0.2">
      <c r="B256" s="1">
        <v>45757</v>
      </c>
      <c r="C256" t="s">
        <v>11</v>
      </c>
      <c r="D256" t="s">
        <v>1</v>
      </c>
      <c r="E256" t="s">
        <v>173</v>
      </c>
      <c r="F256" t="str">
        <f>_xlfn.XLOOKUP(RAW_DATA_COL[[#This Row],[MATERIAL_ID]],DIM_MATERIAL[MATERIAL_ID],DIM_MATERIAL[UOM_IN])</f>
        <v>KG</v>
      </c>
    </row>
    <row r="257" spans="2:6" x14ac:dyDescent="0.2">
      <c r="C257" t="s">
        <v>12</v>
      </c>
      <c r="D257" t="s">
        <v>1</v>
      </c>
      <c r="E257" t="s">
        <v>174</v>
      </c>
      <c r="F257" t="str">
        <f>_xlfn.XLOOKUP(RAW_DATA_COL[[#This Row],[MATERIAL_ID]],DIM_MATERIAL[MATERIAL_ID],DIM_MATERIAL[UOM_IN])</f>
        <v>KG</v>
      </c>
    </row>
    <row r="258" spans="2:6" x14ac:dyDescent="0.2">
      <c r="B258" s="1">
        <v>45758</v>
      </c>
      <c r="C258" t="s">
        <v>11</v>
      </c>
      <c r="D258" t="s">
        <v>1</v>
      </c>
      <c r="E258" t="s">
        <v>175</v>
      </c>
      <c r="F258" t="str">
        <f>_xlfn.XLOOKUP(RAW_DATA_COL[[#This Row],[MATERIAL_ID]],DIM_MATERIAL[MATERIAL_ID],DIM_MATERIAL[UOM_IN])</f>
        <v>KG</v>
      </c>
    </row>
    <row r="259" spans="2:6" x14ac:dyDescent="0.2">
      <c r="C259" t="s">
        <v>11</v>
      </c>
      <c r="D259" t="s">
        <v>2</v>
      </c>
      <c r="E259">
        <v>31</v>
      </c>
      <c r="F259" t="str">
        <f>_xlfn.XLOOKUP(RAW_DATA_COL[[#This Row],[MATERIAL_ID]],DIM_MATERIAL[MATERIAL_ID],DIM_MATERIAL[UOM_IN])</f>
        <v>PCS</v>
      </c>
    </row>
    <row r="260" spans="2:6" x14ac:dyDescent="0.2">
      <c r="B260" s="1">
        <v>45761</v>
      </c>
      <c r="C260" t="s">
        <v>11</v>
      </c>
      <c r="D260" t="s">
        <v>1</v>
      </c>
      <c r="E260" t="s">
        <v>176</v>
      </c>
      <c r="F260" t="str">
        <f>_xlfn.XLOOKUP(RAW_DATA_COL[[#This Row],[MATERIAL_ID]],DIM_MATERIAL[MATERIAL_ID],DIM_MATERIAL[UOM_IN])</f>
        <v>KG</v>
      </c>
    </row>
    <row r="261" spans="2:6" x14ac:dyDescent="0.2">
      <c r="C261" t="s">
        <v>12</v>
      </c>
      <c r="D261" t="s">
        <v>1</v>
      </c>
      <c r="E261" t="s">
        <v>177</v>
      </c>
      <c r="F261" t="str">
        <f>_xlfn.XLOOKUP(RAW_DATA_COL[[#This Row],[MATERIAL_ID]],DIM_MATERIAL[MATERIAL_ID],DIM_MATERIAL[UOM_IN])</f>
        <v>KG</v>
      </c>
    </row>
    <row r="262" spans="2:6" x14ac:dyDescent="0.2">
      <c r="B262" s="1">
        <v>45762</v>
      </c>
      <c r="C262" t="s">
        <v>11</v>
      </c>
      <c r="D262" t="s">
        <v>1</v>
      </c>
      <c r="E262" t="s">
        <v>57</v>
      </c>
      <c r="F262" t="str">
        <f>_xlfn.XLOOKUP(RAW_DATA_COL[[#This Row],[MATERIAL_ID]],DIM_MATERIAL[MATERIAL_ID],DIM_MATERIAL[UOM_IN])</f>
        <v>KG</v>
      </c>
    </row>
    <row r="263" spans="2:6" x14ac:dyDescent="0.2">
      <c r="C263" t="s">
        <v>11</v>
      </c>
      <c r="D263" t="s">
        <v>2</v>
      </c>
      <c r="E263">
        <v>32</v>
      </c>
      <c r="F263" t="str">
        <f>_xlfn.XLOOKUP(RAW_DATA_COL[[#This Row],[MATERIAL_ID]],DIM_MATERIAL[MATERIAL_ID],DIM_MATERIAL[UOM_IN])</f>
        <v>PCS</v>
      </c>
    </row>
    <row r="264" spans="2:6" x14ac:dyDescent="0.2">
      <c r="B264" s="1">
        <v>45763</v>
      </c>
      <c r="C264" t="s">
        <v>11</v>
      </c>
      <c r="D264" t="s">
        <v>1</v>
      </c>
      <c r="E264">
        <v>671</v>
      </c>
      <c r="F264" t="str">
        <f>_xlfn.XLOOKUP(RAW_DATA_COL[[#This Row],[MATERIAL_ID]],DIM_MATERIAL[MATERIAL_ID],DIM_MATERIAL[UOM_IN])</f>
        <v>KG</v>
      </c>
    </row>
    <row r="265" spans="2:6" x14ac:dyDescent="0.2">
      <c r="C265" t="s">
        <v>12</v>
      </c>
      <c r="D265" t="s">
        <v>1</v>
      </c>
      <c r="E265" t="s">
        <v>178</v>
      </c>
      <c r="F265" t="str">
        <f>_xlfn.XLOOKUP(RAW_DATA_COL[[#This Row],[MATERIAL_ID]],DIM_MATERIAL[MATERIAL_ID],DIM_MATERIAL[UOM_IN])</f>
        <v>KG</v>
      </c>
    </row>
    <row r="266" spans="2:6" x14ac:dyDescent="0.2">
      <c r="B266" s="1">
        <v>45764</v>
      </c>
      <c r="C266" t="s">
        <v>11</v>
      </c>
      <c r="D266" t="s">
        <v>1</v>
      </c>
      <c r="E266" t="s">
        <v>179</v>
      </c>
      <c r="F266" t="str">
        <f>_xlfn.XLOOKUP(RAW_DATA_COL[[#This Row],[MATERIAL_ID]],DIM_MATERIAL[MATERIAL_ID],DIM_MATERIAL[UOM_IN])</f>
        <v>KG</v>
      </c>
    </row>
    <row r="267" spans="2:6" x14ac:dyDescent="0.2">
      <c r="C267" t="s">
        <v>12</v>
      </c>
      <c r="D267" t="s">
        <v>1</v>
      </c>
      <c r="E267" t="s">
        <v>180</v>
      </c>
      <c r="F267" t="str">
        <f>_xlfn.XLOOKUP(RAW_DATA_COL[[#This Row],[MATERIAL_ID]],DIM_MATERIAL[MATERIAL_ID],DIM_MATERIAL[UOM_IN])</f>
        <v>KG</v>
      </c>
    </row>
    <row r="268" spans="2:6" x14ac:dyDescent="0.2">
      <c r="B268" s="1">
        <v>45765</v>
      </c>
      <c r="C268" t="s">
        <v>12</v>
      </c>
      <c r="D268" t="s">
        <v>1</v>
      </c>
      <c r="E268" t="s">
        <v>181</v>
      </c>
      <c r="F268" t="str">
        <f>_xlfn.XLOOKUP(RAW_DATA_COL[[#This Row],[MATERIAL_ID]],DIM_MATERIAL[MATERIAL_ID],DIM_MATERIAL[UOM_IN])</f>
        <v>KG</v>
      </c>
    </row>
    <row r="269" spans="2:6" x14ac:dyDescent="0.2">
      <c r="B269" s="1">
        <v>45768</v>
      </c>
      <c r="C269" t="s">
        <v>11</v>
      </c>
      <c r="D269" t="s">
        <v>1</v>
      </c>
      <c r="E269" t="s">
        <v>182</v>
      </c>
      <c r="F269" t="str">
        <f>_xlfn.XLOOKUP(RAW_DATA_COL[[#This Row],[MATERIAL_ID]],DIM_MATERIAL[MATERIAL_ID],DIM_MATERIAL[UOM_IN])</f>
        <v>KG</v>
      </c>
    </row>
    <row r="270" spans="2:6" x14ac:dyDescent="0.2">
      <c r="C270" t="s">
        <v>11</v>
      </c>
      <c r="D270" t="s">
        <v>2</v>
      </c>
      <c r="E270">
        <v>48</v>
      </c>
      <c r="F270" t="str">
        <f>_xlfn.XLOOKUP(RAW_DATA_COL[[#This Row],[MATERIAL_ID]],DIM_MATERIAL[MATERIAL_ID],DIM_MATERIAL[UOM_IN])</f>
        <v>PCS</v>
      </c>
    </row>
    <row r="271" spans="2:6" x14ac:dyDescent="0.2">
      <c r="B271" s="1">
        <v>45769</v>
      </c>
      <c r="C271" t="s">
        <v>11</v>
      </c>
      <c r="D271" t="s">
        <v>1</v>
      </c>
      <c r="E271" t="s">
        <v>183</v>
      </c>
      <c r="F271" t="str">
        <f>_xlfn.XLOOKUP(RAW_DATA_COL[[#This Row],[MATERIAL_ID]],DIM_MATERIAL[MATERIAL_ID],DIM_MATERIAL[UOM_IN])</f>
        <v>KG</v>
      </c>
    </row>
    <row r="272" spans="2:6" x14ac:dyDescent="0.2">
      <c r="C272" t="s">
        <v>11</v>
      </c>
      <c r="D272" t="s">
        <v>2</v>
      </c>
      <c r="E272">
        <v>11</v>
      </c>
      <c r="F272" t="str">
        <f>_xlfn.XLOOKUP(RAW_DATA_COL[[#This Row],[MATERIAL_ID]],DIM_MATERIAL[MATERIAL_ID],DIM_MATERIAL[UOM_IN])</f>
        <v>PCS</v>
      </c>
    </row>
    <row r="273" spans="2:6" x14ac:dyDescent="0.2">
      <c r="C273" t="s">
        <v>12</v>
      </c>
      <c r="D273" t="s">
        <v>1</v>
      </c>
      <c r="E273">
        <v>353</v>
      </c>
      <c r="F273" t="str">
        <f>_xlfn.XLOOKUP(RAW_DATA_COL[[#This Row],[MATERIAL_ID]],DIM_MATERIAL[MATERIAL_ID],DIM_MATERIAL[UOM_IN])</f>
        <v>KG</v>
      </c>
    </row>
    <row r="274" spans="2:6" x14ac:dyDescent="0.2">
      <c r="B274" s="1">
        <v>45770</v>
      </c>
      <c r="C274" t="s">
        <v>11</v>
      </c>
      <c r="D274" t="s">
        <v>1</v>
      </c>
      <c r="E274" t="s">
        <v>184</v>
      </c>
      <c r="F274" t="str">
        <f>_xlfn.XLOOKUP(RAW_DATA_COL[[#This Row],[MATERIAL_ID]],DIM_MATERIAL[MATERIAL_ID],DIM_MATERIAL[UOM_IN])</f>
        <v>KG</v>
      </c>
    </row>
    <row r="275" spans="2:6" x14ac:dyDescent="0.2">
      <c r="B275" s="1">
        <v>45771</v>
      </c>
      <c r="C275" t="s">
        <v>11</v>
      </c>
      <c r="D275" t="s">
        <v>1</v>
      </c>
      <c r="E275" t="s">
        <v>185</v>
      </c>
      <c r="F275" t="str">
        <f>_xlfn.XLOOKUP(RAW_DATA_COL[[#This Row],[MATERIAL_ID]],DIM_MATERIAL[MATERIAL_ID],DIM_MATERIAL[UOM_IN])</f>
        <v>KG</v>
      </c>
    </row>
    <row r="276" spans="2:6" x14ac:dyDescent="0.2">
      <c r="C276" t="s">
        <v>11</v>
      </c>
      <c r="D276" t="s">
        <v>2</v>
      </c>
      <c r="E276">
        <v>20</v>
      </c>
      <c r="F276" t="str">
        <f>_xlfn.XLOOKUP(RAW_DATA_COL[[#This Row],[MATERIAL_ID]],DIM_MATERIAL[MATERIAL_ID],DIM_MATERIAL[UOM_IN])</f>
        <v>PCS</v>
      </c>
    </row>
    <row r="277" spans="2:6" x14ac:dyDescent="0.2">
      <c r="B277" s="1">
        <v>45772</v>
      </c>
      <c r="C277" t="s">
        <v>11</v>
      </c>
      <c r="D277" t="s">
        <v>1</v>
      </c>
      <c r="E277" t="s">
        <v>186</v>
      </c>
      <c r="F277" t="str">
        <f>_xlfn.XLOOKUP(RAW_DATA_COL[[#This Row],[MATERIAL_ID]],DIM_MATERIAL[MATERIAL_ID],DIM_MATERIAL[UOM_IN])</f>
        <v>KG</v>
      </c>
    </row>
    <row r="278" spans="2:6" x14ac:dyDescent="0.2">
      <c r="C278" t="s">
        <v>11</v>
      </c>
      <c r="D278" t="s">
        <v>2</v>
      </c>
      <c r="E278">
        <v>69</v>
      </c>
      <c r="F278" t="str">
        <f>_xlfn.XLOOKUP(RAW_DATA_COL[[#This Row],[MATERIAL_ID]],DIM_MATERIAL[MATERIAL_ID],DIM_MATERIAL[UOM_IN])</f>
        <v>PCS</v>
      </c>
    </row>
    <row r="279" spans="2:6" x14ac:dyDescent="0.2">
      <c r="C279" t="s">
        <v>12</v>
      </c>
      <c r="D279" t="s">
        <v>1</v>
      </c>
      <c r="E279" t="s">
        <v>187</v>
      </c>
      <c r="F279" t="str">
        <f>_xlfn.XLOOKUP(RAW_DATA_COL[[#This Row],[MATERIAL_ID]],DIM_MATERIAL[MATERIAL_ID],DIM_MATERIAL[UOM_IN])</f>
        <v>KG</v>
      </c>
    </row>
    <row r="280" spans="2:6" x14ac:dyDescent="0.2">
      <c r="B280" s="1">
        <v>45775</v>
      </c>
      <c r="C280" t="s">
        <v>11</v>
      </c>
      <c r="D280" t="s">
        <v>1</v>
      </c>
      <c r="E280" t="s">
        <v>188</v>
      </c>
      <c r="F280" t="str">
        <f>_xlfn.XLOOKUP(RAW_DATA_COL[[#This Row],[MATERIAL_ID]],DIM_MATERIAL[MATERIAL_ID],DIM_MATERIAL[UOM_IN])</f>
        <v>KG</v>
      </c>
    </row>
    <row r="281" spans="2:6" x14ac:dyDescent="0.2">
      <c r="C281" t="s">
        <v>12</v>
      </c>
      <c r="D281" t="s">
        <v>1</v>
      </c>
      <c r="E281" t="s">
        <v>189</v>
      </c>
      <c r="F281" t="str">
        <f>_xlfn.XLOOKUP(RAW_DATA_COL[[#This Row],[MATERIAL_ID]],DIM_MATERIAL[MATERIAL_ID],DIM_MATERIAL[UOM_IN])</f>
        <v>KG</v>
      </c>
    </row>
    <row r="282" spans="2:6" x14ac:dyDescent="0.2">
      <c r="B282" s="1">
        <v>45776</v>
      </c>
      <c r="C282" t="s">
        <v>11</v>
      </c>
      <c r="D282" t="s">
        <v>1</v>
      </c>
      <c r="E282" t="s">
        <v>190</v>
      </c>
      <c r="F282" t="str">
        <f>_xlfn.XLOOKUP(RAW_DATA_COL[[#This Row],[MATERIAL_ID]],DIM_MATERIAL[MATERIAL_ID],DIM_MATERIAL[UOM_IN])</f>
        <v>KG</v>
      </c>
    </row>
    <row r="283" spans="2:6" x14ac:dyDescent="0.2">
      <c r="C283" t="s">
        <v>11</v>
      </c>
      <c r="D283" t="s">
        <v>2</v>
      </c>
      <c r="E283">
        <v>97</v>
      </c>
      <c r="F283" t="str">
        <f>_xlfn.XLOOKUP(RAW_DATA_COL[[#This Row],[MATERIAL_ID]],DIM_MATERIAL[MATERIAL_ID],DIM_MATERIAL[UOM_IN])</f>
        <v>PCS</v>
      </c>
    </row>
    <row r="284" spans="2:6" x14ac:dyDescent="0.2">
      <c r="B284" s="1">
        <v>45777</v>
      </c>
      <c r="C284" t="s">
        <v>11</v>
      </c>
      <c r="D284" t="s">
        <v>1</v>
      </c>
      <c r="E284">
        <v>401</v>
      </c>
      <c r="F284" t="str">
        <f>_xlfn.XLOOKUP(RAW_DATA_COL[[#This Row],[MATERIAL_ID]],DIM_MATERIAL[MATERIAL_ID],DIM_MATERIAL[UOM_IN])</f>
        <v>KG</v>
      </c>
    </row>
    <row r="285" spans="2:6" x14ac:dyDescent="0.2">
      <c r="C285" t="s">
        <v>12</v>
      </c>
      <c r="D285" t="s">
        <v>1</v>
      </c>
      <c r="E285" t="s">
        <v>191</v>
      </c>
      <c r="F285" t="str">
        <f>_xlfn.XLOOKUP(RAW_DATA_COL[[#This Row],[MATERIAL_ID]],DIM_MATERIAL[MATERIAL_ID],DIM_MATERIAL[UOM_IN])</f>
        <v>KG</v>
      </c>
    </row>
    <row r="286" spans="2:6" x14ac:dyDescent="0.2">
      <c r="B286" s="1">
        <v>45780</v>
      </c>
      <c r="C286" t="s">
        <v>11</v>
      </c>
      <c r="D286" t="s">
        <v>1</v>
      </c>
      <c r="E286" t="s">
        <v>192</v>
      </c>
      <c r="F286" t="str">
        <f>_xlfn.XLOOKUP(RAW_DATA_COL[[#This Row],[MATERIAL_ID]],DIM_MATERIAL[MATERIAL_ID],DIM_MATERIAL[UOM_IN])</f>
        <v>KG</v>
      </c>
    </row>
    <row r="287" spans="2:6" x14ac:dyDescent="0.2">
      <c r="C287" t="s">
        <v>11</v>
      </c>
      <c r="D287" t="s">
        <v>2</v>
      </c>
      <c r="E287">
        <v>64</v>
      </c>
      <c r="F287" t="str">
        <f>_xlfn.XLOOKUP(RAW_DATA_COL[[#This Row],[MATERIAL_ID]],DIM_MATERIAL[MATERIAL_ID],DIM_MATERIAL[UOM_IN])</f>
        <v>PCS</v>
      </c>
    </row>
    <row r="288" spans="2:6" x14ac:dyDescent="0.2">
      <c r="B288" s="1">
        <v>45782</v>
      </c>
      <c r="C288" t="s">
        <v>11</v>
      </c>
      <c r="D288" t="s">
        <v>1</v>
      </c>
      <c r="E288" t="s">
        <v>193</v>
      </c>
      <c r="F288" t="str">
        <f>_xlfn.XLOOKUP(RAW_DATA_COL[[#This Row],[MATERIAL_ID]],DIM_MATERIAL[MATERIAL_ID],DIM_MATERIAL[UOM_IN])</f>
        <v>KG</v>
      </c>
    </row>
    <row r="289" spans="2:6" x14ac:dyDescent="0.2">
      <c r="C289" t="s">
        <v>12</v>
      </c>
      <c r="D289" t="s">
        <v>1</v>
      </c>
      <c r="E289" t="s">
        <v>194</v>
      </c>
      <c r="F289" t="str">
        <f>_xlfn.XLOOKUP(RAW_DATA_COL[[#This Row],[MATERIAL_ID]],DIM_MATERIAL[MATERIAL_ID],DIM_MATERIAL[UOM_IN])</f>
        <v>KG</v>
      </c>
    </row>
    <row r="290" spans="2:6" x14ac:dyDescent="0.2">
      <c r="B290" s="1">
        <v>45783</v>
      </c>
      <c r="C290" t="s">
        <v>11</v>
      </c>
      <c r="D290" t="s">
        <v>1</v>
      </c>
      <c r="E290">
        <v>611</v>
      </c>
      <c r="F290" t="str">
        <f>_xlfn.XLOOKUP(RAW_DATA_COL[[#This Row],[MATERIAL_ID]],DIM_MATERIAL[MATERIAL_ID],DIM_MATERIAL[UOM_IN])</f>
        <v>KG</v>
      </c>
    </row>
    <row r="291" spans="2:6" x14ac:dyDescent="0.2">
      <c r="C291" t="s">
        <v>12</v>
      </c>
      <c r="D291" t="s">
        <v>1</v>
      </c>
      <c r="E291" t="s">
        <v>195</v>
      </c>
      <c r="F291" t="str">
        <f>_xlfn.XLOOKUP(RAW_DATA_COL[[#This Row],[MATERIAL_ID]],DIM_MATERIAL[MATERIAL_ID],DIM_MATERIAL[UOM_IN])</f>
        <v>KG</v>
      </c>
    </row>
    <row r="292" spans="2:6" x14ac:dyDescent="0.2">
      <c r="B292" s="1">
        <v>45784</v>
      </c>
      <c r="C292" t="s">
        <v>11</v>
      </c>
      <c r="D292" t="s">
        <v>1</v>
      </c>
      <c r="E292" t="s">
        <v>196</v>
      </c>
      <c r="F292" t="str">
        <f>_xlfn.XLOOKUP(RAW_DATA_COL[[#This Row],[MATERIAL_ID]],DIM_MATERIAL[MATERIAL_ID],DIM_MATERIAL[UOM_IN])</f>
        <v>KG</v>
      </c>
    </row>
    <row r="293" spans="2:6" x14ac:dyDescent="0.2">
      <c r="C293" t="s">
        <v>11</v>
      </c>
      <c r="D293" t="s">
        <v>2</v>
      </c>
      <c r="E293">
        <v>70</v>
      </c>
      <c r="F293" t="str">
        <f>_xlfn.XLOOKUP(RAW_DATA_COL[[#This Row],[MATERIAL_ID]],DIM_MATERIAL[MATERIAL_ID],DIM_MATERIAL[UOM_IN])</f>
        <v>PCS</v>
      </c>
    </row>
    <row r="294" spans="2:6" x14ac:dyDescent="0.2">
      <c r="B294" s="1">
        <v>45785</v>
      </c>
      <c r="C294" t="s">
        <v>11</v>
      </c>
      <c r="D294" t="s">
        <v>1</v>
      </c>
      <c r="E294" t="s">
        <v>197</v>
      </c>
      <c r="F294" t="str">
        <f>_xlfn.XLOOKUP(RAW_DATA_COL[[#This Row],[MATERIAL_ID]],DIM_MATERIAL[MATERIAL_ID],DIM_MATERIAL[UOM_IN])</f>
        <v>KG</v>
      </c>
    </row>
    <row r="295" spans="2:6" x14ac:dyDescent="0.2">
      <c r="C295" t="s">
        <v>12</v>
      </c>
      <c r="D295" t="s">
        <v>1</v>
      </c>
      <c r="E295" t="s">
        <v>198</v>
      </c>
      <c r="F295" t="str">
        <f>_xlfn.XLOOKUP(RAW_DATA_COL[[#This Row],[MATERIAL_ID]],DIM_MATERIAL[MATERIAL_ID],DIM_MATERIAL[UOM_IN])</f>
        <v>KG</v>
      </c>
    </row>
    <row r="296" spans="2:6" x14ac:dyDescent="0.2">
      <c r="B296" s="1">
        <v>45786</v>
      </c>
      <c r="C296" t="s">
        <v>11</v>
      </c>
      <c r="D296" t="s">
        <v>1</v>
      </c>
      <c r="E296" t="s">
        <v>199</v>
      </c>
      <c r="F296" t="str">
        <f>_xlfn.XLOOKUP(RAW_DATA_COL[[#This Row],[MATERIAL_ID]],DIM_MATERIAL[MATERIAL_ID],DIM_MATERIAL[UOM_IN])</f>
        <v>KG</v>
      </c>
    </row>
    <row r="297" spans="2:6" x14ac:dyDescent="0.2">
      <c r="B297" s="1">
        <v>45789</v>
      </c>
      <c r="C297" t="s">
        <v>12</v>
      </c>
      <c r="D297" t="s">
        <v>1</v>
      </c>
      <c r="E297" t="s">
        <v>200</v>
      </c>
      <c r="F297" t="str">
        <f>_xlfn.XLOOKUP(RAW_DATA_COL[[#This Row],[MATERIAL_ID]],DIM_MATERIAL[MATERIAL_ID],DIM_MATERIAL[UOM_IN])</f>
        <v>KG</v>
      </c>
    </row>
    <row r="298" spans="2:6" x14ac:dyDescent="0.2">
      <c r="B298" s="1">
        <v>45790</v>
      </c>
      <c r="C298" t="s">
        <v>11</v>
      </c>
      <c r="D298" t="s">
        <v>1</v>
      </c>
      <c r="E298" t="s">
        <v>201</v>
      </c>
      <c r="F298" t="str">
        <f>_xlfn.XLOOKUP(RAW_DATA_COL[[#This Row],[MATERIAL_ID]],DIM_MATERIAL[MATERIAL_ID],DIM_MATERIAL[UOM_IN])</f>
        <v>KG</v>
      </c>
    </row>
    <row r="299" spans="2:6" x14ac:dyDescent="0.2">
      <c r="C299" t="s">
        <v>11</v>
      </c>
      <c r="D299" t="s">
        <v>2</v>
      </c>
      <c r="E299">
        <v>88</v>
      </c>
      <c r="F299" t="str">
        <f>_xlfn.XLOOKUP(RAW_DATA_COL[[#This Row],[MATERIAL_ID]],DIM_MATERIAL[MATERIAL_ID],DIM_MATERIAL[UOM_IN])</f>
        <v>PCS</v>
      </c>
    </row>
    <row r="300" spans="2:6" x14ac:dyDescent="0.2">
      <c r="C300" t="s">
        <v>12</v>
      </c>
      <c r="D300" t="s">
        <v>1</v>
      </c>
      <c r="E300">
        <v>411</v>
      </c>
      <c r="F300" t="str">
        <f>_xlfn.XLOOKUP(RAW_DATA_COL[[#This Row],[MATERIAL_ID]],DIM_MATERIAL[MATERIAL_ID],DIM_MATERIAL[UOM_IN])</f>
        <v>KG</v>
      </c>
    </row>
    <row r="301" spans="2:6" x14ac:dyDescent="0.2">
      <c r="B301" s="1">
        <v>45791</v>
      </c>
      <c r="C301" t="s">
        <v>11</v>
      </c>
      <c r="D301" t="s">
        <v>1</v>
      </c>
      <c r="E301" t="s">
        <v>202</v>
      </c>
      <c r="F301" t="str">
        <f>_xlfn.XLOOKUP(RAW_DATA_COL[[#This Row],[MATERIAL_ID]],DIM_MATERIAL[MATERIAL_ID],DIM_MATERIAL[UOM_IN])</f>
        <v>KG</v>
      </c>
    </row>
    <row r="302" spans="2:6" x14ac:dyDescent="0.2">
      <c r="B302" s="1">
        <v>45792</v>
      </c>
      <c r="C302" t="s">
        <v>11</v>
      </c>
      <c r="D302" t="s">
        <v>1</v>
      </c>
      <c r="E302" t="s">
        <v>203</v>
      </c>
      <c r="F302" t="str">
        <f>_xlfn.XLOOKUP(RAW_DATA_COL[[#This Row],[MATERIAL_ID]],DIM_MATERIAL[MATERIAL_ID],DIM_MATERIAL[UOM_IN])</f>
        <v>KG</v>
      </c>
    </row>
    <row r="303" spans="2:6" x14ac:dyDescent="0.2">
      <c r="C303" t="s">
        <v>12</v>
      </c>
      <c r="D303" t="s">
        <v>1</v>
      </c>
      <c r="E303" t="s">
        <v>204</v>
      </c>
      <c r="F303" t="str">
        <f>_xlfn.XLOOKUP(RAW_DATA_COL[[#This Row],[MATERIAL_ID]],DIM_MATERIAL[MATERIAL_ID],DIM_MATERIAL[UOM_IN])</f>
        <v>KG</v>
      </c>
    </row>
    <row r="304" spans="2:6" x14ac:dyDescent="0.2">
      <c r="B304" s="1">
        <v>45793</v>
      </c>
      <c r="C304" t="s">
        <v>11</v>
      </c>
      <c r="D304" t="s">
        <v>1</v>
      </c>
      <c r="E304" t="s">
        <v>205</v>
      </c>
      <c r="F304" t="str">
        <f>_xlfn.XLOOKUP(RAW_DATA_COL[[#This Row],[MATERIAL_ID]],DIM_MATERIAL[MATERIAL_ID],DIM_MATERIAL[UOM_IN])</f>
        <v>KG</v>
      </c>
    </row>
    <row r="305" spans="2:6" x14ac:dyDescent="0.2">
      <c r="C305" t="s">
        <v>11</v>
      </c>
      <c r="D305" t="s">
        <v>2</v>
      </c>
      <c r="E305">
        <v>68</v>
      </c>
      <c r="F305" t="str">
        <f>_xlfn.XLOOKUP(RAW_DATA_COL[[#This Row],[MATERIAL_ID]],DIM_MATERIAL[MATERIAL_ID],DIM_MATERIAL[UOM_IN])</f>
        <v>PCS</v>
      </c>
    </row>
    <row r="306" spans="2:6" x14ac:dyDescent="0.2">
      <c r="C306" t="s">
        <v>12</v>
      </c>
      <c r="D306" t="s">
        <v>1</v>
      </c>
      <c r="E306" t="s">
        <v>206</v>
      </c>
      <c r="F306" t="str">
        <f>_xlfn.XLOOKUP(RAW_DATA_COL[[#This Row],[MATERIAL_ID]],DIM_MATERIAL[MATERIAL_ID],DIM_MATERIAL[UOM_IN])</f>
        <v>KG</v>
      </c>
    </row>
    <row r="307" spans="2:6" x14ac:dyDescent="0.2">
      <c r="B307" s="1">
        <v>45794</v>
      </c>
      <c r="C307" t="s">
        <v>11</v>
      </c>
      <c r="D307" t="s">
        <v>1</v>
      </c>
      <c r="E307" t="s">
        <v>207</v>
      </c>
      <c r="F307" t="str">
        <f>_xlfn.XLOOKUP(RAW_DATA_COL[[#This Row],[MATERIAL_ID]],DIM_MATERIAL[MATERIAL_ID],DIM_MATERIAL[UOM_IN])</f>
        <v>KG</v>
      </c>
    </row>
    <row r="308" spans="2:6" x14ac:dyDescent="0.2">
      <c r="B308" s="1">
        <v>45796</v>
      </c>
      <c r="C308" t="s">
        <v>11</v>
      </c>
      <c r="D308" t="s">
        <v>1</v>
      </c>
      <c r="E308" t="s">
        <v>208</v>
      </c>
      <c r="F308" t="str">
        <f>_xlfn.XLOOKUP(RAW_DATA_COL[[#This Row],[MATERIAL_ID]],DIM_MATERIAL[MATERIAL_ID],DIM_MATERIAL[UOM_IN])</f>
        <v>KG</v>
      </c>
    </row>
    <row r="309" spans="2:6" x14ac:dyDescent="0.2">
      <c r="C309" t="s">
        <v>12</v>
      </c>
      <c r="D309" t="s">
        <v>1</v>
      </c>
      <c r="E309" t="s">
        <v>209</v>
      </c>
      <c r="F309" t="str">
        <f>_xlfn.XLOOKUP(RAW_DATA_COL[[#This Row],[MATERIAL_ID]],DIM_MATERIAL[MATERIAL_ID],DIM_MATERIAL[UOM_IN])</f>
        <v>KG</v>
      </c>
    </row>
    <row r="310" spans="2:6" x14ac:dyDescent="0.2">
      <c r="B310" s="1">
        <v>45797</v>
      </c>
      <c r="C310" t="s">
        <v>11</v>
      </c>
      <c r="D310" t="s">
        <v>1</v>
      </c>
      <c r="E310" t="s">
        <v>210</v>
      </c>
      <c r="F310" t="str">
        <f>_xlfn.XLOOKUP(RAW_DATA_COL[[#This Row],[MATERIAL_ID]],DIM_MATERIAL[MATERIAL_ID],DIM_MATERIAL[UOM_IN])</f>
        <v>KG</v>
      </c>
    </row>
    <row r="311" spans="2:6" x14ac:dyDescent="0.2">
      <c r="C311" t="s">
        <v>12</v>
      </c>
      <c r="D311" t="s">
        <v>1</v>
      </c>
      <c r="E311" t="s">
        <v>211</v>
      </c>
      <c r="F311" t="str">
        <f>_xlfn.XLOOKUP(RAW_DATA_COL[[#This Row],[MATERIAL_ID]],DIM_MATERIAL[MATERIAL_ID],DIM_MATERIAL[UOM_IN])</f>
        <v>KG</v>
      </c>
    </row>
    <row r="312" spans="2:6" x14ac:dyDescent="0.2">
      <c r="B312" s="1">
        <v>45799</v>
      </c>
      <c r="C312" t="s">
        <v>11</v>
      </c>
      <c r="D312" t="s">
        <v>1</v>
      </c>
      <c r="E312" t="s">
        <v>212</v>
      </c>
      <c r="F312" t="str">
        <f>_xlfn.XLOOKUP(RAW_DATA_COL[[#This Row],[MATERIAL_ID]],DIM_MATERIAL[MATERIAL_ID],DIM_MATERIAL[UOM_IN])</f>
        <v>KG</v>
      </c>
    </row>
    <row r="313" spans="2:6" x14ac:dyDescent="0.2">
      <c r="C313" t="s">
        <v>12</v>
      </c>
      <c r="D313" t="s">
        <v>1</v>
      </c>
      <c r="E313" t="s">
        <v>213</v>
      </c>
      <c r="F313" t="str">
        <f>_xlfn.XLOOKUP(RAW_DATA_COL[[#This Row],[MATERIAL_ID]],DIM_MATERIAL[MATERIAL_ID],DIM_MATERIAL[UOM_IN])</f>
        <v>KG</v>
      </c>
    </row>
    <row r="314" spans="2:6" x14ac:dyDescent="0.2">
      <c r="B314" s="1">
        <v>45800</v>
      </c>
      <c r="C314" t="s">
        <v>11</v>
      </c>
      <c r="D314" t="s">
        <v>1</v>
      </c>
      <c r="E314">
        <v>1255</v>
      </c>
      <c r="F314" t="str">
        <f>_xlfn.XLOOKUP(RAW_DATA_COL[[#This Row],[MATERIAL_ID]],DIM_MATERIAL[MATERIAL_ID],DIM_MATERIAL[UOM_IN])</f>
        <v>KG</v>
      </c>
    </row>
    <row r="315" spans="2:6" x14ac:dyDescent="0.2">
      <c r="C315" t="s">
        <v>12</v>
      </c>
      <c r="D315" t="s">
        <v>1</v>
      </c>
      <c r="E315" t="s">
        <v>214</v>
      </c>
      <c r="F315" t="str">
        <f>_xlfn.XLOOKUP(RAW_DATA_COL[[#This Row],[MATERIAL_ID]],DIM_MATERIAL[MATERIAL_ID],DIM_MATERIAL[UOM_IN])</f>
        <v>KG</v>
      </c>
    </row>
    <row r="316" spans="2:6" x14ac:dyDescent="0.2">
      <c r="B316" s="1">
        <v>45801</v>
      </c>
      <c r="C316" t="s">
        <v>11</v>
      </c>
      <c r="D316" t="s">
        <v>2</v>
      </c>
      <c r="E316">
        <v>180</v>
      </c>
      <c r="F316" t="str">
        <f>_xlfn.XLOOKUP(RAW_DATA_COL[[#This Row],[MATERIAL_ID]],DIM_MATERIAL[MATERIAL_ID],DIM_MATERIAL[UOM_IN])</f>
        <v>PCS</v>
      </c>
    </row>
    <row r="317" spans="2:6" x14ac:dyDescent="0.2">
      <c r="B317" s="1">
        <v>45803</v>
      </c>
      <c r="C317" t="s">
        <v>11</v>
      </c>
      <c r="D317" t="s">
        <v>1</v>
      </c>
      <c r="E317" t="s">
        <v>215</v>
      </c>
      <c r="F317" t="str">
        <f>_xlfn.XLOOKUP(RAW_DATA_COL[[#This Row],[MATERIAL_ID]],DIM_MATERIAL[MATERIAL_ID],DIM_MATERIAL[UOM_IN])</f>
        <v>KG</v>
      </c>
    </row>
    <row r="318" spans="2:6" x14ac:dyDescent="0.2">
      <c r="C318" t="s">
        <v>11</v>
      </c>
      <c r="D318" t="s">
        <v>2</v>
      </c>
      <c r="E318">
        <v>27</v>
      </c>
      <c r="F318" t="str">
        <f>_xlfn.XLOOKUP(RAW_DATA_COL[[#This Row],[MATERIAL_ID]],DIM_MATERIAL[MATERIAL_ID],DIM_MATERIAL[UOM_IN])</f>
        <v>PCS</v>
      </c>
    </row>
    <row r="319" spans="2:6" x14ac:dyDescent="0.2">
      <c r="C319" t="s">
        <v>12</v>
      </c>
      <c r="D319" t="s">
        <v>1</v>
      </c>
      <c r="E319" t="s">
        <v>216</v>
      </c>
      <c r="F319" t="str">
        <f>_xlfn.XLOOKUP(RAW_DATA_COL[[#This Row],[MATERIAL_ID]],DIM_MATERIAL[MATERIAL_ID],DIM_MATERIAL[UOM_IN])</f>
        <v>KG</v>
      </c>
    </row>
    <row r="320" spans="2:6" x14ac:dyDescent="0.2">
      <c r="B320" s="1">
        <v>45804</v>
      </c>
      <c r="C320" t="s">
        <v>11</v>
      </c>
      <c r="D320" t="s">
        <v>1</v>
      </c>
      <c r="E320" t="s">
        <v>217</v>
      </c>
      <c r="F320" t="str">
        <f>_xlfn.XLOOKUP(RAW_DATA_COL[[#This Row],[MATERIAL_ID]],DIM_MATERIAL[MATERIAL_ID],DIM_MATERIAL[UOM_IN])</f>
        <v>KG</v>
      </c>
    </row>
    <row r="321" spans="2:6" x14ac:dyDescent="0.2">
      <c r="C321" t="s">
        <v>11</v>
      </c>
      <c r="D321" t="s">
        <v>2</v>
      </c>
      <c r="E321">
        <v>275</v>
      </c>
      <c r="F321" t="str">
        <f>_xlfn.XLOOKUP(RAW_DATA_COL[[#This Row],[MATERIAL_ID]],DIM_MATERIAL[MATERIAL_ID],DIM_MATERIAL[UOM_IN])</f>
        <v>PCS</v>
      </c>
    </row>
    <row r="322" spans="2:6" x14ac:dyDescent="0.2">
      <c r="C322" t="s">
        <v>12</v>
      </c>
      <c r="D322" t="s">
        <v>1</v>
      </c>
      <c r="E322" t="s">
        <v>218</v>
      </c>
      <c r="F322" t="str">
        <f>_xlfn.XLOOKUP(RAW_DATA_COL[[#This Row],[MATERIAL_ID]],DIM_MATERIAL[MATERIAL_ID],DIM_MATERIAL[UOM_IN])</f>
        <v>KG</v>
      </c>
    </row>
    <row r="323" spans="2:6" x14ac:dyDescent="0.2">
      <c r="B323" s="1">
        <v>45805</v>
      </c>
      <c r="C323" t="s">
        <v>11</v>
      </c>
      <c r="D323" t="s">
        <v>1</v>
      </c>
      <c r="E323" t="s">
        <v>219</v>
      </c>
      <c r="F323" t="str">
        <f>_xlfn.XLOOKUP(RAW_DATA_COL[[#This Row],[MATERIAL_ID]],DIM_MATERIAL[MATERIAL_ID],DIM_MATERIAL[UOM_IN])</f>
        <v>KG</v>
      </c>
    </row>
    <row r="324" spans="2:6" x14ac:dyDescent="0.2">
      <c r="B324" s="1">
        <v>45806</v>
      </c>
      <c r="C324" t="s">
        <v>11</v>
      </c>
      <c r="D324" t="s">
        <v>1</v>
      </c>
      <c r="E324" t="s">
        <v>192</v>
      </c>
      <c r="F324" t="str">
        <f>_xlfn.XLOOKUP(RAW_DATA_COL[[#This Row],[MATERIAL_ID]],DIM_MATERIAL[MATERIAL_ID],DIM_MATERIAL[UOM_IN])</f>
        <v>KG</v>
      </c>
    </row>
    <row r="325" spans="2:6" x14ac:dyDescent="0.2">
      <c r="C325" t="s">
        <v>12</v>
      </c>
      <c r="D325" t="s">
        <v>1</v>
      </c>
      <c r="E325" t="s">
        <v>220</v>
      </c>
      <c r="F325" t="str">
        <f>_xlfn.XLOOKUP(RAW_DATA_COL[[#This Row],[MATERIAL_ID]],DIM_MATERIAL[MATERIAL_ID],DIM_MATERIAL[UOM_IN])</f>
        <v>KG</v>
      </c>
    </row>
    <row r="326" spans="2:6" x14ac:dyDescent="0.2">
      <c r="B326" s="1">
        <v>45807</v>
      </c>
      <c r="C326" t="s">
        <v>11</v>
      </c>
      <c r="D326" t="s">
        <v>1</v>
      </c>
      <c r="E326" t="s">
        <v>221</v>
      </c>
      <c r="F326" t="str">
        <f>_xlfn.XLOOKUP(RAW_DATA_COL[[#This Row],[MATERIAL_ID]],DIM_MATERIAL[MATERIAL_ID],DIM_MATERIAL[UOM_IN])</f>
        <v>KG</v>
      </c>
    </row>
    <row r="327" spans="2:6" x14ac:dyDescent="0.2">
      <c r="C327" t="s">
        <v>11</v>
      </c>
      <c r="D327" t="s">
        <v>2</v>
      </c>
      <c r="E327">
        <v>111</v>
      </c>
      <c r="F327" t="str">
        <f>_xlfn.XLOOKUP(RAW_DATA_COL[[#This Row],[MATERIAL_ID]],DIM_MATERIAL[MATERIAL_ID],DIM_MATERIAL[UOM_IN])</f>
        <v>PCS</v>
      </c>
    </row>
    <row r="328" spans="2:6" x14ac:dyDescent="0.2">
      <c r="C328" t="s">
        <v>12</v>
      </c>
      <c r="D328" t="s">
        <v>1</v>
      </c>
      <c r="E328" t="s">
        <v>222</v>
      </c>
      <c r="F328" t="str">
        <f>_xlfn.XLOOKUP(RAW_DATA_COL[[#This Row],[MATERIAL_ID]],DIM_MATERIAL[MATERIAL_ID],DIM_MATERIAL[UOM_IN])</f>
        <v>KG</v>
      </c>
    </row>
    <row r="329" spans="2:6" x14ac:dyDescent="0.2">
      <c r="B329" s="3">
        <v>45810</v>
      </c>
      <c r="C329" t="s">
        <v>11</v>
      </c>
      <c r="D329" t="s">
        <v>1</v>
      </c>
      <c r="E329">
        <v>413.5</v>
      </c>
      <c r="F329" t="str">
        <f>_xlfn.XLOOKUP(RAW_DATA_COL[[#This Row],[MATERIAL_ID]],DIM_MATERIAL[MATERIAL_ID],DIM_MATERIAL[UOM_IN])</f>
        <v>KG</v>
      </c>
    </row>
    <row r="330" spans="2:6" x14ac:dyDescent="0.2">
      <c r="B330" s="3">
        <v>45811</v>
      </c>
      <c r="C330" t="s">
        <v>11</v>
      </c>
      <c r="D330" t="s">
        <v>1</v>
      </c>
      <c r="E330">
        <v>310.8</v>
      </c>
      <c r="F330" t="str">
        <f>_xlfn.XLOOKUP(RAW_DATA_COL[[#This Row],[MATERIAL_ID]],DIM_MATERIAL[MATERIAL_ID],DIM_MATERIAL[UOM_IN])</f>
        <v>KG</v>
      </c>
    </row>
    <row r="331" spans="2:6" x14ac:dyDescent="0.2">
      <c r="B331" s="3">
        <v>45811</v>
      </c>
      <c r="C331" t="s">
        <v>11</v>
      </c>
      <c r="D331" t="s">
        <v>2</v>
      </c>
      <c r="E331">
        <v>45</v>
      </c>
      <c r="F331" t="str">
        <f>_xlfn.XLOOKUP(RAW_DATA_COL[[#This Row],[MATERIAL_ID]],DIM_MATERIAL[MATERIAL_ID],DIM_MATERIAL[UOM_IN])</f>
        <v>PCS</v>
      </c>
    </row>
    <row r="332" spans="2:6" x14ac:dyDescent="0.2">
      <c r="B332" s="3">
        <v>45811</v>
      </c>
      <c r="C332" t="s">
        <v>12</v>
      </c>
      <c r="D332" t="s">
        <v>1</v>
      </c>
      <c r="E332">
        <v>575.5</v>
      </c>
      <c r="F332" t="str">
        <f>_xlfn.XLOOKUP(RAW_DATA_COL[[#This Row],[MATERIAL_ID]],DIM_MATERIAL[MATERIAL_ID],DIM_MATERIAL[UOM_IN])</f>
        <v>KG</v>
      </c>
    </row>
    <row r="333" spans="2:6" x14ac:dyDescent="0.2">
      <c r="B333" s="3">
        <v>45812</v>
      </c>
      <c r="C333" t="s">
        <v>11</v>
      </c>
      <c r="D333" t="s">
        <v>1</v>
      </c>
      <c r="E333">
        <v>511.3</v>
      </c>
      <c r="F333" t="str">
        <f>_xlfn.XLOOKUP(RAW_DATA_COL[[#This Row],[MATERIAL_ID]],DIM_MATERIAL[MATERIAL_ID],DIM_MATERIAL[UOM_IN])</f>
        <v>KG</v>
      </c>
    </row>
    <row r="334" spans="2:6" x14ac:dyDescent="0.2">
      <c r="B334" s="3">
        <v>45813</v>
      </c>
      <c r="C334" t="s">
        <v>11</v>
      </c>
      <c r="D334" t="s">
        <v>1</v>
      </c>
      <c r="E334">
        <v>499.9</v>
      </c>
      <c r="F334" t="str">
        <f>_xlfn.XLOOKUP(RAW_DATA_COL[[#This Row],[MATERIAL_ID]],DIM_MATERIAL[MATERIAL_ID],DIM_MATERIAL[UOM_IN])</f>
        <v>KG</v>
      </c>
    </row>
    <row r="335" spans="2:6" x14ac:dyDescent="0.2">
      <c r="B335" s="3">
        <v>45813</v>
      </c>
      <c r="C335" t="s">
        <v>11</v>
      </c>
      <c r="D335" t="s">
        <v>2</v>
      </c>
      <c r="E335">
        <v>77</v>
      </c>
      <c r="F335" t="str">
        <f>_xlfn.XLOOKUP(RAW_DATA_COL[[#This Row],[MATERIAL_ID]],DIM_MATERIAL[MATERIAL_ID],DIM_MATERIAL[UOM_IN])</f>
        <v>PCS</v>
      </c>
    </row>
    <row r="336" spans="2:6" x14ac:dyDescent="0.2">
      <c r="B336" s="6"/>
      <c r="C336" t="s">
        <v>584</v>
      </c>
      <c r="D336" t="s">
        <v>580</v>
      </c>
      <c r="E336">
        <v>9</v>
      </c>
      <c r="F336" t="str">
        <f>_xlfn.XLOOKUP(RAW_DATA_COL[[#This Row],[MATERIAL_ID]],DIM_MATERIAL[MATERIAL_ID],DIM_MATERIAL[UOM_IN])</f>
        <v>BAG</v>
      </c>
    </row>
    <row r="337" spans="2:6" x14ac:dyDescent="0.2">
      <c r="B337" s="3">
        <v>45814</v>
      </c>
      <c r="C337" t="s">
        <v>11</v>
      </c>
      <c r="D337" t="s">
        <v>1</v>
      </c>
      <c r="E337">
        <v>879.7</v>
      </c>
      <c r="F337" t="str">
        <f>_xlfn.XLOOKUP(RAW_DATA_COL[[#This Row],[MATERIAL_ID]],DIM_MATERIAL[MATERIAL_ID],DIM_MATERIAL[UOM_IN])</f>
        <v>KG</v>
      </c>
    </row>
    <row r="338" spans="2:6" x14ac:dyDescent="0.2">
      <c r="B338" s="3">
        <v>45814</v>
      </c>
      <c r="C338" t="s">
        <v>11</v>
      </c>
      <c r="D338" t="s">
        <v>2</v>
      </c>
      <c r="E338">
        <v>27</v>
      </c>
      <c r="F338" t="str">
        <f>_xlfn.XLOOKUP(RAW_DATA_COL[[#This Row],[MATERIAL_ID]],DIM_MATERIAL[MATERIAL_ID],DIM_MATERIAL[UOM_IN])</f>
        <v>PCS</v>
      </c>
    </row>
    <row r="339" spans="2:6" x14ac:dyDescent="0.2">
      <c r="B339" s="3">
        <v>45815</v>
      </c>
      <c r="C339" t="s">
        <v>11</v>
      </c>
      <c r="D339" t="s">
        <v>1</v>
      </c>
      <c r="E339">
        <v>420.2</v>
      </c>
      <c r="F339" t="str">
        <f>_xlfn.XLOOKUP(RAW_DATA_COL[[#This Row],[MATERIAL_ID]],DIM_MATERIAL[MATERIAL_ID],DIM_MATERIAL[UOM_IN])</f>
        <v>KG</v>
      </c>
    </row>
    <row r="340" spans="2:6" x14ac:dyDescent="0.2">
      <c r="B340" s="3">
        <v>45817</v>
      </c>
      <c r="C340" t="s">
        <v>12</v>
      </c>
      <c r="D340" t="s">
        <v>1</v>
      </c>
      <c r="E340">
        <v>413.3</v>
      </c>
      <c r="F340" t="str">
        <f>_xlfn.XLOOKUP(RAW_DATA_COL[[#This Row],[MATERIAL_ID]],DIM_MATERIAL[MATERIAL_ID],DIM_MATERIAL[UOM_IN])</f>
        <v>KG</v>
      </c>
    </row>
    <row r="341" spans="2:6" x14ac:dyDescent="0.2">
      <c r="B341" s="3">
        <v>45818</v>
      </c>
      <c r="C341" t="s">
        <v>11</v>
      </c>
      <c r="D341" t="s">
        <v>1</v>
      </c>
      <c r="E341">
        <v>829.7</v>
      </c>
      <c r="F341" t="str">
        <f>_xlfn.XLOOKUP(RAW_DATA_COL[[#This Row],[MATERIAL_ID]],DIM_MATERIAL[MATERIAL_ID],DIM_MATERIAL[UOM_IN])</f>
        <v>KG</v>
      </c>
    </row>
    <row r="342" spans="2:6" x14ac:dyDescent="0.2">
      <c r="B342" s="3"/>
      <c r="C342" t="s">
        <v>11</v>
      </c>
      <c r="D342" t="s">
        <v>2</v>
      </c>
      <c r="E342">
        <v>31</v>
      </c>
      <c r="F342" t="str">
        <f>_xlfn.XLOOKUP(RAW_DATA_COL[[#This Row],[MATERIAL_ID]],DIM_MATERIAL[MATERIAL_ID],DIM_MATERIAL[UOM_IN])</f>
        <v>PCS</v>
      </c>
    </row>
    <row r="343" spans="2:6" x14ac:dyDescent="0.2">
      <c r="B343" s="3">
        <v>45819</v>
      </c>
      <c r="C343" t="s">
        <v>11</v>
      </c>
      <c r="D343" t="s">
        <v>1</v>
      </c>
      <c r="E343">
        <v>383.5</v>
      </c>
      <c r="F343" t="str">
        <f>_xlfn.XLOOKUP(RAW_DATA_COL[[#This Row],[MATERIAL_ID]],DIM_MATERIAL[MATERIAL_ID],DIM_MATERIAL[UOM_IN])</f>
        <v>KG</v>
      </c>
    </row>
    <row r="344" spans="2:6" x14ac:dyDescent="0.2">
      <c r="B344" s="3"/>
      <c r="C344" t="s">
        <v>12</v>
      </c>
      <c r="D344" t="s">
        <v>1</v>
      </c>
      <c r="E344">
        <v>301.60000000000002</v>
      </c>
      <c r="F344" t="str">
        <f>_xlfn.XLOOKUP(RAW_DATA_COL[[#This Row],[MATERIAL_ID]],DIM_MATERIAL[MATERIAL_ID],DIM_MATERIAL[UOM_IN])</f>
        <v>KG</v>
      </c>
    </row>
    <row r="345" spans="2:6" x14ac:dyDescent="0.2">
      <c r="B345" s="3">
        <v>45820</v>
      </c>
      <c r="C345" t="s">
        <v>11</v>
      </c>
      <c r="D345" t="s">
        <v>1</v>
      </c>
      <c r="E345">
        <v>884.5</v>
      </c>
      <c r="F345" t="str">
        <f>_xlfn.XLOOKUP(RAW_DATA_COL[[#This Row],[MATERIAL_ID]],DIM_MATERIAL[MATERIAL_ID],DIM_MATERIAL[UOM_IN])</f>
        <v>KG</v>
      </c>
    </row>
    <row r="346" spans="2:6" x14ac:dyDescent="0.2">
      <c r="B346" s="3"/>
      <c r="C346" t="s">
        <v>11</v>
      </c>
      <c r="D346" t="s">
        <v>2</v>
      </c>
      <c r="E346">
        <v>61</v>
      </c>
      <c r="F346" t="str">
        <f>_xlfn.XLOOKUP(RAW_DATA_COL[[#This Row],[MATERIAL_ID]],DIM_MATERIAL[MATERIAL_ID],DIM_MATERIAL[UOM_IN])</f>
        <v>PCS</v>
      </c>
    </row>
    <row r="347" spans="2:6" x14ac:dyDescent="0.2">
      <c r="B347" s="3"/>
      <c r="C347" t="s">
        <v>12</v>
      </c>
      <c r="D347" t="s">
        <v>1</v>
      </c>
      <c r="E347">
        <v>229.7</v>
      </c>
      <c r="F347" t="str">
        <f>_xlfn.XLOOKUP(RAW_DATA_COL[[#This Row],[MATERIAL_ID]],DIM_MATERIAL[MATERIAL_ID],DIM_MATERIAL[UOM_IN])</f>
        <v>KG</v>
      </c>
    </row>
    <row r="348" spans="2:6" x14ac:dyDescent="0.2">
      <c r="B348" s="3">
        <v>45821</v>
      </c>
      <c r="C348" t="s">
        <v>11</v>
      </c>
      <c r="D348" t="s">
        <v>1</v>
      </c>
      <c r="E348">
        <v>416.5</v>
      </c>
      <c r="F348" t="str">
        <f>_xlfn.XLOOKUP(RAW_DATA_COL[[#This Row],[MATERIAL_ID]],DIM_MATERIAL[MATERIAL_ID],DIM_MATERIAL[UOM_IN])</f>
        <v>KG</v>
      </c>
    </row>
    <row r="349" spans="2:6" x14ac:dyDescent="0.2">
      <c r="B349" s="3"/>
      <c r="C349" t="s">
        <v>11</v>
      </c>
      <c r="D349" t="s">
        <v>2</v>
      </c>
      <c r="E349">
        <v>22</v>
      </c>
      <c r="F349" t="str">
        <f>_xlfn.XLOOKUP(RAW_DATA_COL[[#This Row],[MATERIAL_ID]],DIM_MATERIAL[MATERIAL_ID],DIM_MATERIAL[UOM_IN])</f>
        <v>PCS</v>
      </c>
    </row>
    <row r="350" spans="2:6" x14ac:dyDescent="0.2">
      <c r="B350" s="3">
        <v>45822</v>
      </c>
      <c r="C350" t="s">
        <v>11</v>
      </c>
      <c r="D350" t="s">
        <v>1</v>
      </c>
      <c r="E350">
        <v>457.9</v>
      </c>
      <c r="F350" t="str">
        <f>_xlfn.XLOOKUP(RAW_DATA_COL[[#This Row],[MATERIAL_ID]],DIM_MATERIAL[MATERIAL_ID],DIM_MATERIAL[UOM_IN])</f>
        <v>KG</v>
      </c>
    </row>
    <row r="351" spans="2:6" x14ac:dyDescent="0.2">
      <c r="B351" s="3">
        <v>45824</v>
      </c>
      <c r="C351" t="s">
        <v>11</v>
      </c>
      <c r="D351" t="s">
        <v>1</v>
      </c>
      <c r="E351">
        <v>503.6</v>
      </c>
      <c r="F351" t="str">
        <f>_xlfn.XLOOKUP(RAW_DATA_COL[[#This Row],[MATERIAL_ID]],DIM_MATERIAL[MATERIAL_ID],DIM_MATERIAL[UOM_IN])</f>
        <v>KG</v>
      </c>
    </row>
    <row r="352" spans="2:6" x14ac:dyDescent="0.2">
      <c r="B352" s="3"/>
      <c r="C352" t="s">
        <v>11</v>
      </c>
      <c r="D352" t="s">
        <v>2</v>
      </c>
      <c r="E352">
        <v>77</v>
      </c>
      <c r="F352" t="str">
        <f>_xlfn.XLOOKUP(RAW_DATA_COL[[#This Row],[MATERIAL_ID]],DIM_MATERIAL[MATERIAL_ID],DIM_MATERIAL[UOM_IN])</f>
        <v>PCS</v>
      </c>
    </row>
    <row r="353" spans="2:6" x14ac:dyDescent="0.2">
      <c r="B353" s="3">
        <v>45825</v>
      </c>
      <c r="C353" t="s">
        <v>11</v>
      </c>
      <c r="D353" t="s">
        <v>1</v>
      </c>
      <c r="E353">
        <v>222.6</v>
      </c>
      <c r="F353" t="str">
        <f>_xlfn.XLOOKUP(RAW_DATA_COL[[#This Row],[MATERIAL_ID]],DIM_MATERIAL[MATERIAL_ID],DIM_MATERIAL[UOM_IN])</f>
        <v>KG</v>
      </c>
    </row>
    <row r="354" spans="2:6" x14ac:dyDescent="0.2">
      <c r="B354" s="3"/>
      <c r="C354" t="s">
        <v>11</v>
      </c>
      <c r="D354" t="s">
        <v>2</v>
      </c>
      <c r="E354">
        <v>70</v>
      </c>
      <c r="F354" t="str">
        <f>_xlfn.XLOOKUP(RAW_DATA_COL[[#This Row],[MATERIAL_ID]],DIM_MATERIAL[MATERIAL_ID],DIM_MATERIAL[UOM_IN])</f>
        <v>PCS</v>
      </c>
    </row>
    <row r="355" spans="2:6" x14ac:dyDescent="0.2">
      <c r="B355" s="3"/>
      <c r="C355" t="s">
        <v>12</v>
      </c>
      <c r="D355" t="s">
        <v>1</v>
      </c>
      <c r="E355">
        <v>262.7</v>
      </c>
      <c r="F355" t="str">
        <f>_xlfn.XLOOKUP(RAW_DATA_COL[[#This Row],[MATERIAL_ID]],DIM_MATERIAL[MATERIAL_ID],DIM_MATERIAL[UOM_IN])</f>
        <v>KG</v>
      </c>
    </row>
    <row r="356" spans="2:6" x14ac:dyDescent="0.2">
      <c r="B356" s="3">
        <v>45826</v>
      </c>
      <c r="C356" t="s">
        <v>11</v>
      </c>
      <c r="D356" t="s">
        <v>1</v>
      </c>
      <c r="E356">
        <v>563.1</v>
      </c>
      <c r="F356" t="str">
        <f>_xlfn.XLOOKUP(RAW_DATA_COL[[#This Row],[MATERIAL_ID]],DIM_MATERIAL[MATERIAL_ID],DIM_MATERIAL[UOM_IN])</f>
        <v>KG</v>
      </c>
    </row>
    <row r="357" spans="2:6" x14ac:dyDescent="0.2">
      <c r="B357" s="3"/>
      <c r="C357" t="s">
        <v>11</v>
      </c>
      <c r="D357" t="s">
        <v>2</v>
      </c>
      <c r="E357">
        <v>59</v>
      </c>
      <c r="F357" t="str">
        <f>_xlfn.XLOOKUP(RAW_DATA_COL[[#This Row],[MATERIAL_ID]],DIM_MATERIAL[MATERIAL_ID],DIM_MATERIAL[UOM_IN])</f>
        <v>PCS</v>
      </c>
    </row>
    <row r="358" spans="2:6" x14ac:dyDescent="0.2">
      <c r="B358" s="3"/>
      <c r="C358" t="s">
        <v>12</v>
      </c>
      <c r="D358" t="s">
        <v>1</v>
      </c>
      <c r="E358">
        <v>263.7</v>
      </c>
      <c r="F358" t="str">
        <f>_xlfn.XLOOKUP(RAW_DATA_COL[[#This Row],[MATERIAL_ID]],DIM_MATERIAL[MATERIAL_ID],DIM_MATERIAL[UOM_IN])</f>
        <v>KG</v>
      </c>
    </row>
    <row r="359" spans="2:6" x14ac:dyDescent="0.2">
      <c r="B359" s="3">
        <v>45827</v>
      </c>
      <c r="C359" t="s">
        <v>11</v>
      </c>
      <c r="D359" t="s">
        <v>1</v>
      </c>
      <c r="E359">
        <v>256.3</v>
      </c>
      <c r="F359" t="str">
        <f>_xlfn.XLOOKUP(RAW_DATA_COL[[#This Row],[MATERIAL_ID]],DIM_MATERIAL[MATERIAL_ID],DIM_MATERIAL[UOM_IN])</f>
        <v>KG</v>
      </c>
    </row>
    <row r="360" spans="2:6" x14ac:dyDescent="0.2">
      <c r="B360" s="3"/>
      <c r="C360" t="s">
        <v>12</v>
      </c>
      <c r="D360" t="s">
        <v>1</v>
      </c>
      <c r="E360">
        <v>262.2</v>
      </c>
      <c r="F360" t="str">
        <f>_xlfn.XLOOKUP(RAW_DATA_COL[[#This Row],[MATERIAL_ID]],DIM_MATERIAL[MATERIAL_ID],DIM_MATERIAL[UOM_IN])</f>
        <v>KG</v>
      </c>
    </row>
    <row r="361" spans="2:6" x14ac:dyDescent="0.2">
      <c r="B361" s="3">
        <v>45828</v>
      </c>
      <c r="C361" t="s">
        <v>11</v>
      </c>
      <c r="D361" t="s">
        <v>1</v>
      </c>
      <c r="E361">
        <v>398.2</v>
      </c>
      <c r="F361" t="str">
        <f>_xlfn.XLOOKUP(RAW_DATA_COL[[#This Row],[MATERIAL_ID]],DIM_MATERIAL[MATERIAL_ID],DIM_MATERIAL[UOM_IN])</f>
        <v>KG</v>
      </c>
    </row>
    <row r="362" spans="2:6" x14ac:dyDescent="0.2">
      <c r="B362" s="3">
        <v>45832</v>
      </c>
      <c r="C362" t="s">
        <v>11</v>
      </c>
      <c r="D362" t="s">
        <v>1</v>
      </c>
      <c r="E362">
        <v>861.2</v>
      </c>
      <c r="F362" t="str">
        <f>_xlfn.XLOOKUP(RAW_DATA_COL[[#This Row],[MATERIAL_ID]],DIM_MATERIAL[MATERIAL_ID],DIM_MATERIAL[UOM_IN])</f>
        <v>KG</v>
      </c>
    </row>
    <row r="363" spans="2:6" x14ac:dyDescent="0.2">
      <c r="B363" s="3"/>
      <c r="C363" t="s">
        <v>12</v>
      </c>
      <c r="D363" t="s">
        <v>1</v>
      </c>
      <c r="E363">
        <v>233.9</v>
      </c>
      <c r="F363" t="str">
        <f>_xlfn.XLOOKUP(RAW_DATA_COL[[#This Row],[MATERIAL_ID]],DIM_MATERIAL[MATERIAL_ID],DIM_MATERIAL[UOM_IN])</f>
        <v>KG</v>
      </c>
    </row>
    <row r="364" spans="2:6" x14ac:dyDescent="0.2">
      <c r="B364" s="3">
        <v>45833</v>
      </c>
      <c r="C364" t="s">
        <v>11</v>
      </c>
      <c r="D364" t="s">
        <v>1</v>
      </c>
      <c r="E364">
        <v>252.7</v>
      </c>
      <c r="F364" t="str">
        <f>_xlfn.XLOOKUP(RAW_DATA_COL[[#This Row],[MATERIAL_ID]],DIM_MATERIAL[MATERIAL_ID],DIM_MATERIAL[UOM_IN])</f>
        <v>KG</v>
      </c>
    </row>
    <row r="365" spans="2:6" x14ac:dyDescent="0.2">
      <c r="B365" s="3"/>
      <c r="C365" t="s">
        <v>11</v>
      </c>
      <c r="D365" t="s">
        <v>2</v>
      </c>
      <c r="E365">
        <v>114</v>
      </c>
      <c r="F365" t="str">
        <f>_xlfn.XLOOKUP(RAW_DATA_COL[[#This Row],[MATERIAL_ID]],DIM_MATERIAL[MATERIAL_ID],DIM_MATERIAL[UOM_IN])</f>
        <v>PCS</v>
      </c>
    </row>
    <row r="366" spans="2:6" x14ac:dyDescent="0.2">
      <c r="B366" s="3"/>
      <c r="C366" t="s">
        <v>12</v>
      </c>
      <c r="D366" t="s">
        <v>1</v>
      </c>
      <c r="E366">
        <v>222.6</v>
      </c>
      <c r="F366" t="str">
        <f>_xlfn.XLOOKUP(RAW_DATA_COL[[#This Row],[MATERIAL_ID]],DIM_MATERIAL[MATERIAL_ID],DIM_MATERIAL[UOM_IN])</f>
        <v>KG</v>
      </c>
    </row>
    <row r="367" spans="2:6" x14ac:dyDescent="0.2">
      <c r="B367" s="3">
        <v>45834</v>
      </c>
      <c r="C367" t="s">
        <v>11</v>
      </c>
      <c r="D367" t="s">
        <v>1</v>
      </c>
      <c r="E367">
        <v>730.2</v>
      </c>
      <c r="F367" t="str">
        <f>_xlfn.XLOOKUP(RAW_DATA_COL[[#This Row],[MATERIAL_ID]],DIM_MATERIAL[MATERIAL_ID],DIM_MATERIAL[UOM_IN])</f>
        <v>KG</v>
      </c>
    </row>
    <row r="368" spans="2:6" x14ac:dyDescent="0.2">
      <c r="B368" s="3">
        <v>45835</v>
      </c>
      <c r="C368" t="s">
        <v>11</v>
      </c>
      <c r="D368" t="s">
        <v>1</v>
      </c>
      <c r="E368">
        <v>101.3</v>
      </c>
      <c r="F368" t="str">
        <f>_xlfn.XLOOKUP(RAW_DATA_COL[[#This Row],[MATERIAL_ID]],DIM_MATERIAL[MATERIAL_ID],DIM_MATERIAL[UOM_IN])</f>
        <v>KG</v>
      </c>
    </row>
    <row r="369" spans="2:6" x14ac:dyDescent="0.2">
      <c r="B369" s="3">
        <v>45835</v>
      </c>
      <c r="C369" t="s">
        <v>11</v>
      </c>
      <c r="D369" t="s">
        <v>2</v>
      </c>
      <c r="E369">
        <v>84</v>
      </c>
      <c r="F369" t="str">
        <f>_xlfn.XLOOKUP(RAW_DATA_COL[[#This Row],[MATERIAL_ID]],DIM_MATERIAL[MATERIAL_ID],DIM_MATERIAL[UOM_IN])</f>
        <v>PCS</v>
      </c>
    </row>
    <row r="370" spans="2:6" x14ac:dyDescent="0.2">
      <c r="B370" s="3">
        <v>45838</v>
      </c>
      <c r="C370" t="s">
        <v>11</v>
      </c>
      <c r="D370" t="s">
        <v>1</v>
      </c>
      <c r="E370">
        <v>304.3</v>
      </c>
      <c r="F370" t="str">
        <f>_xlfn.XLOOKUP(RAW_DATA_COL[[#This Row],[MATERIAL_ID]],DIM_MATERIAL[MATERIAL_ID],DIM_MATERIAL[UOM_IN])</f>
        <v>KG</v>
      </c>
    </row>
    <row r="371" spans="2:6" x14ac:dyDescent="0.2">
      <c r="B371" s="3">
        <v>45839</v>
      </c>
      <c r="C371" t="s">
        <v>11</v>
      </c>
      <c r="D371" t="s">
        <v>1</v>
      </c>
      <c r="E371">
        <v>870.6</v>
      </c>
      <c r="F371" t="str">
        <f>_xlfn.XLOOKUP(RAW_DATA_COL[[#This Row],[MATERIAL_ID]],DIM_MATERIAL[MATERIAL_ID],DIM_MATERIAL[UOM_IN])</f>
        <v>KG</v>
      </c>
    </row>
    <row r="372" spans="2:6" x14ac:dyDescent="0.2">
      <c r="B372" s="3">
        <v>45840</v>
      </c>
      <c r="C372" t="s">
        <v>11</v>
      </c>
      <c r="D372" t="s">
        <v>1</v>
      </c>
      <c r="E372">
        <v>520.1</v>
      </c>
      <c r="F372" t="str">
        <f>_xlfn.XLOOKUP(RAW_DATA_COL[[#This Row],[MATERIAL_ID]],DIM_MATERIAL[MATERIAL_ID],DIM_MATERIAL[UOM_IN])</f>
        <v>KG</v>
      </c>
    </row>
    <row r="373" spans="2:6" x14ac:dyDescent="0.2">
      <c r="B373" s="3">
        <v>45841</v>
      </c>
      <c r="C373" t="s">
        <v>11</v>
      </c>
      <c r="D373" t="s">
        <v>1</v>
      </c>
      <c r="E373">
        <v>983</v>
      </c>
      <c r="F373" t="str">
        <f>_xlfn.XLOOKUP(RAW_DATA_COL[[#This Row],[MATERIAL_ID]],DIM_MATERIAL[MATERIAL_ID],DIM_MATERIAL[UOM_IN])</f>
        <v>KG</v>
      </c>
    </row>
    <row r="374" spans="2:6" x14ac:dyDescent="0.2">
      <c r="B374" s="3">
        <v>45842</v>
      </c>
      <c r="C374" t="s">
        <v>11</v>
      </c>
      <c r="D374" t="s">
        <v>1</v>
      </c>
      <c r="E374">
        <v>322.5</v>
      </c>
      <c r="F374" t="str">
        <f>_xlfn.XLOOKUP(RAW_DATA_COL[[#This Row],[MATERIAL_ID]],DIM_MATERIAL[MATERIAL_ID],DIM_MATERIAL[UOM_IN])</f>
        <v>KG</v>
      </c>
    </row>
    <row r="375" spans="2:6" x14ac:dyDescent="0.2">
      <c r="B375" s="3">
        <v>45845</v>
      </c>
      <c r="C375" t="s">
        <v>11</v>
      </c>
      <c r="D375" t="s">
        <v>1</v>
      </c>
      <c r="E375">
        <v>607.1</v>
      </c>
      <c r="F375" t="str">
        <f>_xlfn.XLOOKUP(RAW_DATA_COL[[#This Row],[MATERIAL_ID]],DIM_MATERIAL[MATERIAL_ID],DIM_MATERIAL[UOM_IN])</f>
        <v>KG</v>
      </c>
    </row>
    <row r="376" spans="2:6" x14ac:dyDescent="0.2">
      <c r="B376" s="3">
        <v>45845</v>
      </c>
      <c r="C376" t="s">
        <v>11</v>
      </c>
      <c r="D376" t="s">
        <v>2</v>
      </c>
      <c r="E376">
        <v>50</v>
      </c>
      <c r="F376" t="str">
        <f>_xlfn.XLOOKUP(RAW_DATA_COL[[#This Row],[MATERIAL_ID]],DIM_MATERIAL[MATERIAL_ID],DIM_MATERIAL[UOM_IN])</f>
        <v>PCS</v>
      </c>
    </row>
    <row r="377" spans="2:6" x14ac:dyDescent="0.2">
      <c r="B377" s="3">
        <v>45846</v>
      </c>
      <c r="C377" t="s">
        <v>11</v>
      </c>
      <c r="D377" t="s">
        <v>1</v>
      </c>
      <c r="E377">
        <v>421.3</v>
      </c>
      <c r="F377" t="str">
        <f>_xlfn.XLOOKUP(RAW_DATA_COL[[#This Row],[MATERIAL_ID]],DIM_MATERIAL[MATERIAL_ID],DIM_MATERIAL[UOM_IN])</f>
        <v>KG</v>
      </c>
    </row>
    <row r="378" spans="2:6" x14ac:dyDescent="0.2">
      <c r="B378" s="3"/>
      <c r="C378" t="s">
        <v>11</v>
      </c>
      <c r="D378" t="s">
        <v>2</v>
      </c>
      <c r="E378">
        <v>68</v>
      </c>
      <c r="F378" t="str">
        <f>_xlfn.XLOOKUP(RAW_DATA_COL[[#This Row],[MATERIAL_ID]],DIM_MATERIAL[MATERIAL_ID],DIM_MATERIAL[UOM_IN])</f>
        <v>PCS</v>
      </c>
    </row>
    <row r="379" spans="2:6" x14ac:dyDescent="0.2">
      <c r="B379" s="3">
        <v>45847</v>
      </c>
      <c r="C379" t="s">
        <v>11</v>
      </c>
      <c r="D379" t="s">
        <v>1</v>
      </c>
      <c r="E379">
        <v>790</v>
      </c>
      <c r="F379" t="str">
        <f>_xlfn.XLOOKUP(RAW_DATA_COL[[#This Row],[MATERIAL_ID]],DIM_MATERIAL[MATERIAL_ID],DIM_MATERIAL[UOM_IN])</f>
        <v>KG</v>
      </c>
    </row>
    <row r="380" spans="2:6" x14ac:dyDescent="0.2">
      <c r="B380" s="3">
        <v>45848</v>
      </c>
      <c r="C380" t="s">
        <v>11</v>
      </c>
      <c r="D380" t="s">
        <v>1</v>
      </c>
      <c r="E380">
        <v>64</v>
      </c>
      <c r="F380" t="str">
        <f>_xlfn.XLOOKUP(RAW_DATA_COL[[#This Row],[MATERIAL_ID]],DIM_MATERIAL[MATERIAL_ID],DIM_MATERIAL[UOM_IN])</f>
        <v>KG</v>
      </c>
    </row>
    <row r="381" spans="2:6" x14ac:dyDescent="0.2">
      <c r="B381" s="3">
        <v>45849</v>
      </c>
      <c r="C381" t="s">
        <v>11</v>
      </c>
      <c r="D381" t="s">
        <v>1</v>
      </c>
      <c r="E381">
        <v>789.5</v>
      </c>
      <c r="F381" t="str">
        <f>_xlfn.XLOOKUP(RAW_DATA_COL[[#This Row],[MATERIAL_ID]],DIM_MATERIAL[MATERIAL_ID],DIM_MATERIAL[UOM_IN])</f>
        <v>KG</v>
      </c>
    </row>
    <row r="382" spans="2:6" x14ac:dyDescent="0.2">
      <c r="B382" s="3">
        <v>45853</v>
      </c>
      <c r="C382" t="s">
        <v>11</v>
      </c>
      <c r="D382" t="s">
        <v>1</v>
      </c>
      <c r="E382">
        <v>570.79999999999995</v>
      </c>
      <c r="F382" t="str">
        <f>_xlfn.XLOOKUP(RAW_DATA_COL[[#This Row],[MATERIAL_ID]],DIM_MATERIAL[MATERIAL_ID],DIM_MATERIAL[UOM_IN])</f>
        <v>KG</v>
      </c>
    </row>
    <row r="383" spans="2:6" x14ac:dyDescent="0.2">
      <c r="B383" s="3">
        <v>45854</v>
      </c>
      <c r="C383" t="s">
        <v>11</v>
      </c>
      <c r="D383" t="s">
        <v>1</v>
      </c>
      <c r="E383">
        <v>780</v>
      </c>
      <c r="F383" t="str">
        <f>_xlfn.XLOOKUP(RAW_DATA_COL[[#This Row],[MATERIAL_ID]],DIM_MATERIAL[MATERIAL_ID],DIM_MATERIAL[UOM_IN])</f>
        <v>KG</v>
      </c>
    </row>
    <row r="384" spans="2:6" x14ac:dyDescent="0.2">
      <c r="B384" s="3">
        <v>45855</v>
      </c>
      <c r="C384" t="s">
        <v>11</v>
      </c>
      <c r="D384" t="s">
        <v>1</v>
      </c>
      <c r="E384">
        <v>613.9</v>
      </c>
      <c r="F384" t="str">
        <f>_xlfn.XLOOKUP(RAW_DATA_COL[[#This Row],[MATERIAL_ID]],DIM_MATERIAL[MATERIAL_ID],DIM_MATERIAL[UOM_IN])</f>
        <v>KG</v>
      </c>
    </row>
    <row r="385" spans="2:6" x14ac:dyDescent="0.2">
      <c r="B385" s="3"/>
      <c r="C385" t="s">
        <v>11</v>
      </c>
      <c r="D385" t="s">
        <v>2</v>
      </c>
      <c r="E385">
        <v>185</v>
      </c>
      <c r="F385" t="str">
        <f>_xlfn.XLOOKUP(RAW_DATA_COL[[#This Row],[MATERIAL_ID]],DIM_MATERIAL[MATERIAL_ID],DIM_MATERIAL[UOM_IN])</f>
        <v>PCS</v>
      </c>
    </row>
    <row r="386" spans="2:6" x14ac:dyDescent="0.2">
      <c r="B386" s="3">
        <v>45856</v>
      </c>
      <c r="C386" t="s">
        <v>11</v>
      </c>
      <c r="D386" t="s">
        <v>1</v>
      </c>
      <c r="E386">
        <v>790</v>
      </c>
      <c r="F386" t="str">
        <f>_xlfn.XLOOKUP(RAW_DATA_COL[[#This Row],[MATERIAL_ID]],DIM_MATERIAL[MATERIAL_ID],DIM_MATERIAL[UOM_IN])</f>
        <v>KG</v>
      </c>
    </row>
    <row r="387" spans="2:6" x14ac:dyDescent="0.2">
      <c r="B387" s="3"/>
      <c r="C387" t="s">
        <v>11</v>
      </c>
      <c r="D387" t="s">
        <v>2</v>
      </c>
      <c r="E387">
        <v>75</v>
      </c>
      <c r="F387" t="str">
        <f>_xlfn.XLOOKUP(RAW_DATA_COL[[#This Row],[MATERIAL_ID]],DIM_MATERIAL[MATERIAL_ID],DIM_MATERIAL[UOM_IN])</f>
        <v>PCS</v>
      </c>
    </row>
    <row r="388" spans="2:6" x14ac:dyDescent="0.2">
      <c r="B388" s="3">
        <v>45857</v>
      </c>
      <c r="C388" t="s">
        <v>11</v>
      </c>
      <c r="D388" t="s">
        <v>1</v>
      </c>
      <c r="E388">
        <v>900</v>
      </c>
      <c r="F388" t="str">
        <f>_xlfn.XLOOKUP(RAW_DATA_COL[[#This Row],[MATERIAL_ID]],DIM_MATERIAL[MATERIAL_ID],DIM_MATERIAL[UOM_IN])</f>
        <v>KG</v>
      </c>
    </row>
    <row r="389" spans="2:6" x14ac:dyDescent="0.2">
      <c r="B389" s="3"/>
      <c r="C389" t="s">
        <v>11</v>
      </c>
      <c r="D389" t="s">
        <v>2</v>
      </c>
      <c r="E389">
        <v>26</v>
      </c>
      <c r="F389" t="str">
        <f>_xlfn.XLOOKUP(RAW_DATA_COL[[#This Row],[MATERIAL_ID]],DIM_MATERIAL[MATERIAL_ID],DIM_MATERIAL[UOM_IN])</f>
        <v>PCS</v>
      </c>
    </row>
    <row r="390" spans="2:6" x14ac:dyDescent="0.2">
      <c r="B390" s="6"/>
      <c r="C390" t="s">
        <v>584</v>
      </c>
      <c r="D390" t="s">
        <v>580</v>
      </c>
      <c r="E390">
        <v>10</v>
      </c>
      <c r="F390" t="str">
        <f>_xlfn.XLOOKUP(RAW_DATA_COL[[#This Row],[MATERIAL_ID]],DIM_MATERIAL[MATERIAL_ID],DIM_MATERIAL[UOM_IN])</f>
        <v>BAG</v>
      </c>
    </row>
    <row r="391" spans="2:6" x14ac:dyDescent="0.2">
      <c r="B391" s="3">
        <v>45859</v>
      </c>
      <c r="C391" t="s">
        <v>11</v>
      </c>
      <c r="D391" t="s">
        <v>1</v>
      </c>
      <c r="E391">
        <v>450.8</v>
      </c>
      <c r="F391" t="str">
        <f>_xlfn.XLOOKUP(RAW_DATA_COL[[#This Row],[MATERIAL_ID]],DIM_MATERIAL[MATERIAL_ID],DIM_MATERIAL[UOM_IN])</f>
        <v>KG</v>
      </c>
    </row>
    <row r="392" spans="2:6" x14ac:dyDescent="0.2">
      <c r="B392" s="3">
        <v>45860</v>
      </c>
      <c r="C392" t="s">
        <v>11</v>
      </c>
      <c r="D392" t="s">
        <v>1</v>
      </c>
      <c r="E392">
        <v>880</v>
      </c>
      <c r="F392" t="str">
        <f>_xlfn.XLOOKUP(RAW_DATA_COL[[#This Row],[MATERIAL_ID]],DIM_MATERIAL[MATERIAL_ID],DIM_MATERIAL[UOM_IN])</f>
        <v>KG</v>
      </c>
    </row>
    <row r="393" spans="2:6" x14ac:dyDescent="0.2">
      <c r="B393" s="3">
        <v>45861</v>
      </c>
      <c r="C393" t="s">
        <v>11</v>
      </c>
      <c r="D393" t="s">
        <v>1</v>
      </c>
      <c r="E393">
        <v>723.9</v>
      </c>
      <c r="F393" t="str">
        <f>_xlfn.XLOOKUP(RAW_DATA_COL[[#This Row],[MATERIAL_ID]],DIM_MATERIAL[MATERIAL_ID],DIM_MATERIAL[UOM_IN])</f>
        <v>KG</v>
      </c>
    </row>
    <row r="394" spans="2:6" x14ac:dyDescent="0.2">
      <c r="B394" s="3"/>
      <c r="C394" t="s">
        <v>11</v>
      </c>
      <c r="D394" t="s">
        <v>2</v>
      </c>
      <c r="E394">
        <v>150</v>
      </c>
      <c r="F394" t="str">
        <f>_xlfn.XLOOKUP(RAW_DATA_COL[[#This Row],[MATERIAL_ID]],DIM_MATERIAL[MATERIAL_ID],DIM_MATERIAL[UOM_IN])</f>
        <v>PCS</v>
      </c>
    </row>
    <row r="395" spans="2:6" x14ac:dyDescent="0.2">
      <c r="B395" s="3">
        <v>45862</v>
      </c>
      <c r="C395" t="s">
        <v>11</v>
      </c>
      <c r="D395" t="s">
        <v>1</v>
      </c>
      <c r="E395">
        <v>690</v>
      </c>
      <c r="F395" t="str">
        <f>_xlfn.XLOOKUP(RAW_DATA_COL[[#This Row],[MATERIAL_ID]],DIM_MATERIAL[MATERIAL_ID],DIM_MATERIAL[UOM_IN])</f>
        <v>KG</v>
      </c>
    </row>
    <row r="396" spans="2:6" x14ac:dyDescent="0.2">
      <c r="B396" s="3">
        <v>45863</v>
      </c>
      <c r="C396" t="s">
        <v>11</v>
      </c>
      <c r="D396" t="s">
        <v>1</v>
      </c>
      <c r="E396">
        <v>411.2</v>
      </c>
      <c r="F396" t="str">
        <f>_xlfn.XLOOKUP(RAW_DATA_COL[[#This Row],[MATERIAL_ID]],DIM_MATERIAL[MATERIAL_ID],DIM_MATERIAL[UOM_IN])</f>
        <v>KG</v>
      </c>
    </row>
    <row r="397" spans="2:6" x14ac:dyDescent="0.2">
      <c r="B397" s="3">
        <v>45864</v>
      </c>
      <c r="C397" t="s">
        <v>11</v>
      </c>
      <c r="D397" t="s">
        <v>1</v>
      </c>
      <c r="E397">
        <v>800</v>
      </c>
      <c r="F397" t="str">
        <f>_xlfn.XLOOKUP(RAW_DATA_COL[[#This Row],[MATERIAL_ID]],DIM_MATERIAL[MATERIAL_ID],DIM_MATERIAL[UOM_IN])</f>
        <v>KG</v>
      </c>
    </row>
    <row r="398" spans="2:6" x14ac:dyDescent="0.2">
      <c r="B398" s="3"/>
      <c r="C398" t="s">
        <v>11</v>
      </c>
      <c r="D398" t="s">
        <v>2</v>
      </c>
      <c r="E398">
        <v>22</v>
      </c>
      <c r="F398" t="str">
        <f>_xlfn.XLOOKUP(RAW_DATA_COL[[#This Row],[MATERIAL_ID]],DIM_MATERIAL[MATERIAL_ID],DIM_MATERIAL[UOM_IN])</f>
        <v>PCS</v>
      </c>
    </row>
    <row r="399" spans="2:6" x14ac:dyDescent="0.2">
      <c r="B399" s="3">
        <v>45866</v>
      </c>
      <c r="C399" t="s">
        <v>11</v>
      </c>
      <c r="D399" t="s">
        <v>1</v>
      </c>
      <c r="E399">
        <v>560</v>
      </c>
      <c r="F399" t="str">
        <f>_xlfn.XLOOKUP(RAW_DATA_COL[[#This Row],[MATERIAL_ID]],DIM_MATERIAL[MATERIAL_ID],DIM_MATERIAL[UOM_IN])</f>
        <v>KG</v>
      </c>
    </row>
    <row r="400" spans="2:6" x14ac:dyDescent="0.2">
      <c r="B400" s="3">
        <v>45867</v>
      </c>
      <c r="C400" t="s">
        <v>11</v>
      </c>
      <c r="D400" t="s">
        <v>1</v>
      </c>
      <c r="E400">
        <v>690</v>
      </c>
      <c r="F400" t="str">
        <f>_xlfn.XLOOKUP(RAW_DATA_COL[[#This Row],[MATERIAL_ID]],DIM_MATERIAL[MATERIAL_ID],DIM_MATERIAL[UOM_IN])</f>
        <v>KG</v>
      </c>
    </row>
    <row r="401" spans="2:6" x14ac:dyDescent="0.2">
      <c r="B401" s="3"/>
      <c r="C401" t="s">
        <v>11</v>
      </c>
      <c r="D401" t="s">
        <v>2</v>
      </c>
      <c r="E401">
        <v>52</v>
      </c>
      <c r="F401" t="str">
        <f>_xlfn.XLOOKUP(RAW_DATA_COL[[#This Row],[MATERIAL_ID]],DIM_MATERIAL[MATERIAL_ID],DIM_MATERIAL[UOM_IN])</f>
        <v>PCS</v>
      </c>
    </row>
    <row r="402" spans="2:6" x14ac:dyDescent="0.2">
      <c r="B402" s="3">
        <v>45868</v>
      </c>
      <c r="C402" t="s">
        <v>11</v>
      </c>
      <c r="D402" t="s">
        <v>1</v>
      </c>
      <c r="E402">
        <v>688.1</v>
      </c>
      <c r="F402" t="str">
        <f>_xlfn.XLOOKUP(RAW_DATA_COL[[#This Row],[MATERIAL_ID]],DIM_MATERIAL[MATERIAL_ID],DIM_MATERIAL[UOM_IN])</f>
        <v>KG</v>
      </c>
    </row>
    <row r="403" spans="2:6" x14ac:dyDescent="0.2">
      <c r="B403" s="3">
        <v>45869</v>
      </c>
      <c r="C403" t="s">
        <v>11</v>
      </c>
      <c r="D403" t="s">
        <v>1</v>
      </c>
      <c r="E403">
        <v>411.3</v>
      </c>
      <c r="F403" t="str">
        <f>_xlfn.XLOOKUP(RAW_DATA_COL[[#This Row],[MATERIAL_ID]],DIM_MATERIAL[MATERIAL_ID],DIM_MATERIAL[UOM_IN])</f>
        <v>KG</v>
      </c>
    </row>
    <row r="404" spans="2:6" x14ac:dyDescent="0.2">
      <c r="B404" s="3">
        <v>45870</v>
      </c>
      <c r="C404" t="s">
        <v>11</v>
      </c>
      <c r="D404" t="s">
        <v>1</v>
      </c>
      <c r="E404">
        <v>670</v>
      </c>
      <c r="F404" t="str">
        <f>_xlfn.XLOOKUP(RAW_DATA_COL[[#This Row],[MATERIAL_ID]],DIM_MATERIAL[MATERIAL_ID],DIM_MATERIAL[UOM_IN])</f>
        <v>KG</v>
      </c>
    </row>
    <row r="405" spans="2:6" x14ac:dyDescent="0.2">
      <c r="B405" s="3">
        <v>45871</v>
      </c>
      <c r="C405" t="s">
        <v>11</v>
      </c>
      <c r="D405" t="s">
        <v>1</v>
      </c>
      <c r="E405">
        <v>513.29999999999995</v>
      </c>
      <c r="F405" t="str">
        <f>_xlfn.XLOOKUP(RAW_DATA_COL[[#This Row],[MATERIAL_ID]],DIM_MATERIAL[MATERIAL_ID],DIM_MATERIAL[UOM_IN])</f>
        <v>KG</v>
      </c>
    </row>
    <row r="406" spans="2:6" x14ac:dyDescent="0.2">
      <c r="B406" s="3"/>
      <c r="C406" t="s">
        <v>11</v>
      </c>
      <c r="D406" t="s">
        <v>2</v>
      </c>
      <c r="E406">
        <v>120</v>
      </c>
      <c r="F406" t="str">
        <f>_xlfn.XLOOKUP(RAW_DATA_COL[[#This Row],[MATERIAL_ID]],DIM_MATERIAL[MATERIAL_ID],DIM_MATERIAL[UOM_IN])</f>
        <v>PCS</v>
      </c>
    </row>
    <row r="407" spans="2:6" x14ac:dyDescent="0.2">
      <c r="B407" s="3">
        <v>45874</v>
      </c>
      <c r="C407" t="s">
        <v>11</v>
      </c>
      <c r="D407" t="s">
        <v>1</v>
      </c>
      <c r="E407">
        <v>310.3</v>
      </c>
      <c r="F407" t="str">
        <f>_xlfn.XLOOKUP(RAW_DATA_COL[[#This Row],[MATERIAL_ID]],DIM_MATERIAL[MATERIAL_ID],DIM_MATERIAL[UOM_IN])</f>
        <v>KG</v>
      </c>
    </row>
    <row r="408" spans="2:6" x14ac:dyDescent="0.2">
      <c r="B408" s="3"/>
      <c r="C408" t="s">
        <v>11</v>
      </c>
      <c r="D408" t="s">
        <v>2</v>
      </c>
      <c r="E408">
        <v>40</v>
      </c>
      <c r="F408" t="str">
        <f>_xlfn.XLOOKUP(RAW_DATA_COL[[#This Row],[MATERIAL_ID]],DIM_MATERIAL[MATERIAL_ID],DIM_MATERIAL[UOM_IN])</f>
        <v>PCS</v>
      </c>
    </row>
    <row r="409" spans="2:6" x14ac:dyDescent="0.2">
      <c r="B409" s="3">
        <v>45875</v>
      </c>
      <c r="C409" t="s">
        <v>11</v>
      </c>
      <c r="D409" t="s">
        <v>1</v>
      </c>
      <c r="E409">
        <v>500.9</v>
      </c>
      <c r="F409" t="str">
        <f>_xlfn.XLOOKUP(RAW_DATA_COL[[#This Row],[MATERIAL_ID]],DIM_MATERIAL[MATERIAL_ID],DIM_MATERIAL[UOM_IN])</f>
        <v>KG</v>
      </c>
    </row>
    <row r="410" spans="2:6" x14ac:dyDescent="0.2">
      <c r="B410" s="3">
        <v>45876</v>
      </c>
      <c r="C410" t="s">
        <v>11</v>
      </c>
      <c r="D410" t="s">
        <v>1</v>
      </c>
      <c r="E410">
        <v>715.8</v>
      </c>
      <c r="F410" t="str">
        <f>_xlfn.XLOOKUP(RAW_DATA_COL[[#This Row],[MATERIAL_ID]],DIM_MATERIAL[MATERIAL_ID],DIM_MATERIAL[UOM_IN])</f>
        <v>KG</v>
      </c>
    </row>
    <row r="411" spans="2:6" x14ac:dyDescent="0.2">
      <c r="B411" s="3">
        <v>45877</v>
      </c>
      <c r="C411" t="s">
        <v>11</v>
      </c>
      <c r="D411" t="s">
        <v>1</v>
      </c>
      <c r="E411">
        <v>354.1</v>
      </c>
      <c r="F411" t="str">
        <f>_xlfn.XLOOKUP(RAW_DATA_COL[[#This Row],[MATERIAL_ID]],DIM_MATERIAL[MATERIAL_ID],DIM_MATERIAL[UOM_IN])</f>
        <v>KG</v>
      </c>
    </row>
    <row r="412" spans="2:6" x14ac:dyDescent="0.2">
      <c r="B412" s="3"/>
      <c r="C412" t="s">
        <v>11</v>
      </c>
      <c r="D412" t="s">
        <v>2</v>
      </c>
      <c r="E412">
        <v>95</v>
      </c>
      <c r="F412" t="str">
        <f>_xlfn.XLOOKUP(RAW_DATA_COL[[#This Row],[MATERIAL_ID]],DIM_MATERIAL[MATERIAL_ID],DIM_MATERIAL[UOM_IN])</f>
        <v>PCS</v>
      </c>
    </row>
    <row r="413" spans="2:6" x14ac:dyDescent="0.2">
      <c r="B413" s="3">
        <v>45880</v>
      </c>
      <c r="C413" t="s">
        <v>11</v>
      </c>
      <c r="D413" t="s">
        <v>1</v>
      </c>
      <c r="E413">
        <v>410.5</v>
      </c>
      <c r="F413" t="str">
        <f>_xlfn.XLOOKUP(RAW_DATA_COL[[#This Row],[MATERIAL_ID]],DIM_MATERIAL[MATERIAL_ID],DIM_MATERIAL[UOM_IN])</f>
        <v>KG</v>
      </c>
    </row>
    <row r="414" spans="2:6" x14ac:dyDescent="0.2">
      <c r="B414" s="3">
        <v>45881</v>
      </c>
      <c r="C414" t="s">
        <v>11</v>
      </c>
      <c r="D414" t="s">
        <v>1</v>
      </c>
      <c r="E414">
        <v>315.39999999999998</v>
      </c>
      <c r="F414" t="str">
        <f>_xlfn.XLOOKUP(RAW_DATA_COL[[#This Row],[MATERIAL_ID]],DIM_MATERIAL[MATERIAL_ID],DIM_MATERIAL[UOM_IN])</f>
        <v>KG</v>
      </c>
    </row>
    <row r="415" spans="2:6" x14ac:dyDescent="0.2">
      <c r="B415" s="3"/>
      <c r="C415" t="s">
        <v>11</v>
      </c>
      <c r="D415" t="s">
        <v>2</v>
      </c>
      <c r="E415">
        <v>102</v>
      </c>
      <c r="F415" t="str">
        <f>_xlfn.XLOOKUP(RAW_DATA_COL[[#This Row],[MATERIAL_ID]],DIM_MATERIAL[MATERIAL_ID],DIM_MATERIAL[UOM_IN])</f>
        <v>PCS</v>
      </c>
    </row>
    <row r="416" spans="2:6" x14ac:dyDescent="0.2">
      <c r="B416" s="3">
        <v>45882</v>
      </c>
      <c r="C416" t="s">
        <v>11</v>
      </c>
      <c r="D416" t="s">
        <v>1</v>
      </c>
      <c r="E416">
        <v>355.6</v>
      </c>
      <c r="F416" t="str">
        <f>_xlfn.XLOOKUP(RAW_DATA_COL[[#This Row],[MATERIAL_ID]],DIM_MATERIAL[MATERIAL_ID],DIM_MATERIAL[UOM_IN])</f>
        <v>KG</v>
      </c>
    </row>
    <row r="417" spans="2:6" x14ac:dyDescent="0.2">
      <c r="B417" s="3"/>
      <c r="C417" t="s">
        <v>11</v>
      </c>
      <c r="D417" t="s">
        <v>2</v>
      </c>
      <c r="E417">
        <v>115</v>
      </c>
      <c r="F417" t="str">
        <f>_xlfn.XLOOKUP(RAW_DATA_COL[[#This Row],[MATERIAL_ID]],DIM_MATERIAL[MATERIAL_ID],DIM_MATERIAL[UOM_IN])</f>
        <v>PCS</v>
      </c>
    </row>
    <row r="418" spans="2:6" x14ac:dyDescent="0.2">
      <c r="B418" s="3">
        <v>45883</v>
      </c>
      <c r="C418" t="s">
        <v>11</v>
      </c>
      <c r="D418" t="s">
        <v>1</v>
      </c>
      <c r="E418">
        <v>600</v>
      </c>
      <c r="F418" t="str">
        <f>_xlfn.XLOOKUP(RAW_DATA_COL[[#This Row],[MATERIAL_ID]],DIM_MATERIAL[MATERIAL_ID],DIM_MATERIAL[UOM_IN])</f>
        <v>KG</v>
      </c>
    </row>
    <row r="419" spans="2:6" x14ac:dyDescent="0.2">
      <c r="B419" s="3"/>
      <c r="C419" t="s">
        <v>11</v>
      </c>
      <c r="D419" t="s">
        <v>2</v>
      </c>
      <c r="E419">
        <v>215</v>
      </c>
      <c r="F419" t="str">
        <f>_xlfn.XLOOKUP(RAW_DATA_COL[[#This Row],[MATERIAL_ID]],DIM_MATERIAL[MATERIAL_ID],DIM_MATERIAL[UOM_IN])</f>
        <v>PCS</v>
      </c>
    </row>
    <row r="420" spans="2:6" x14ac:dyDescent="0.2">
      <c r="B420" s="3">
        <v>45884</v>
      </c>
      <c r="C420" t="s">
        <v>11</v>
      </c>
      <c r="D420" t="s">
        <v>1</v>
      </c>
      <c r="E420">
        <v>900</v>
      </c>
      <c r="F420" t="str">
        <f>_xlfn.XLOOKUP(RAW_DATA_COL[[#This Row],[MATERIAL_ID]],DIM_MATERIAL[MATERIAL_ID],DIM_MATERIAL[UOM_IN])</f>
        <v>KG</v>
      </c>
    </row>
    <row r="421" spans="2:6" x14ac:dyDescent="0.2">
      <c r="B421" s="3"/>
      <c r="C421" t="s">
        <v>11</v>
      </c>
      <c r="D421" t="s">
        <v>2</v>
      </c>
      <c r="E421">
        <v>215</v>
      </c>
      <c r="F421" t="str">
        <f>_xlfn.XLOOKUP(RAW_DATA_COL[[#This Row],[MATERIAL_ID]],DIM_MATERIAL[MATERIAL_ID],DIM_MATERIAL[UOM_IN])</f>
        <v>PCS</v>
      </c>
    </row>
    <row r="422" spans="2:6" x14ac:dyDescent="0.2">
      <c r="B422" s="3">
        <v>45887</v>
      </c>
      <c r="C422" t="s">
        <v>11</v>
      </c>
      <c r="D422" t="s">
        <v>1</v>
      </c>
      <c r="E422">
        <v>628.6</v>
      </c>
      <c r="F422" t="str">
        <f>_xlfn.XLOOKUP(RAW_DATA_COL[[#This Row],[MATERIAL_ID]],DIM_MATERIAL[MATERIAL_ID],DIM_MATERIAL[UOM_IN])</f>
        <v>KG</v>
      </c>
    </row>
    <row r="423" spans="2:6" x14ac:dyDescent="0.2">
      <c r="B423" s="3"/>
      <c r="C423" t="s">
        <v>11</v>
      </c>
      <c r="D423" t="s">
        <v>2</v>
      </c>
      <c r="E423">
        <v>75</v>
      </c>
      <c r="F423" t="str">
        <f>_xlfn.XLOOKUP(RAW_DATA_COL[[#This Row],[MATERIAL_ID]],DIM_MATERIAL[MATERIAL_ID],DIM_MATERIAL[UOM_IN])</f>
        <v>PCS</v>
      </c>
    </row>
    <row r="424" spans="2:6" x14ac:dyDescent="0.2">
      <c r="B424" s="3">
        <v>45888</v>
      </c>
      <c r="C424" t="s">
        <v>11</v>
      </c>
      <c r="D424" t="s">
        <v>1</v>
      </c>
      <c r="E424">
        <v>838.6</v>
      </c>
      <c r="F424" t="str">
        <f>_xlfn.XLOOKUP(RAW_DATA_COL[[#This Row],[MATERIAL_ID]],DIM_MATERIAL[MATERIAL_ID],DIM_MATERIAL[UOM_IN])</f>
        <v>KG</v>
      </c>
    </row>
    <row r="425" spans="2:6" x14ac:dyDescent="0.2">
      <c r="B425" s="3"/>
      <c r="C425" t="s">
        <v>11</v>
      </c>
      <c r="D425" t="s">
        <v>2</v>
      </c>
      <c r="E425">
        <v>46</v>
      </c>
      <c r="F425" t="str">
        <f>_xlfn.XLOOKUP(RAW_DATA_COL[[#This Row],[MATERIAL_ID]],DIM_MATERIAL[MATERIAL_ID],DIM_MATERIAL[UOM_IN])</f>
        <v>PCS</v>
      </c>
    </row>
    <row r="426" spans="2:6" x14ac:dyDescent="0.2">
      <c r="B426" s="3">
        <v>45889</v>
      </c>
      <c r="C426" t="s">
        <v>11</v>
      </c>
      <c r="D426" t="s">
        <v>1</v>
      </c>
      <c r="E426">
        <v>314.5</v>
      </c>
      <c r="F426" t="str">
        <f>_xlfn.XLOOKUP(RAW_DATA_COL[[#This Row],[MATERIAL_ID]],DIM_MATERIAL[MATERIAL_ID],DIM_MATERIAL[UOM_IN])</f>
        <v>KG</v>
      </c>
    </row>
    <row r="427" spans="2:6" x14ac:dyDescent="0.2">
      <c r="B427" s="3">
        <v>45890</v>
      </c>
      <c r="C427" t="s">
        <v>11</v>
      </c>
      <c r="D427" t="s">
        <v>1</v>
      </c>
      <c r="E427">
        <v>897.8</v>
      </c>
      <c r="F427" t="str">
        <f>_xlfn.XLOOKUP(RAW_DATA_COL[[#This Row],[MATERIAL_ID]],DIM_MATERIAL[MATERIAL_ID],DIM_MATERIAL[UOM_IN])</f>
        <v>KG</v>
      </c>
    </row>
    <row r="428" spans="2:6" x14ac:dyDescent="0.2">
      <c r="B428" s="3"/>
      <c r="C428" t="s">
        <v>11</v>
      </c>
      <c r="D428" t="s">
        <v>2</v>
      </c>
      <c r="E428">
        <v>45</v>
      </c>
      <c r="F428" t="str">
        <f>_xlfn.XLOOKUP(RAW_DATA_COL[[#This Row],[MATERIAL_ID]],DIM_MATERIAL[MATERIAL_ID],DIM_MATERIAL[UOM_IN])</f>
        <v>PCS</v>
      </c>
    </row>
    <row r="429" spans="2:6" x14ac:dyDescent="0.2">
      <c r="B429" s="3">
        <v>45891</v>
      </c>
      <c r="C429" t="s">
        <v>11</v>
      </c>
      <c r="D429" t="s">
        <v>1</v>
      </c>
      <c r="E429">
        <v>937</v>
      </c>
      <c r="F429" t="str">
        <f>_xlfn.XLOOKUP(RAW_DATA_COL[[#This Row],[MATERIAL_ID]],DIM_MATERIAL[MATERIAL_ID],DIM_MATERIAL[UOM_IN])</f>
        <v>KG</v>
      </c>
    </row>
    <row r="430" spans="2:6" x14ac:dyDescent="0.2">
      <c r="B430" s="3">
        <v>45894</v>
      </c>
      <c r="C430" t="s">
        <v>11</v>
      </c>
      <c r="D430" t="s">
        <v>1</v>
      </c>
      <c r="E430">
        <v>376.2</v>
      </c>
      <c r="F430" t="str">
        <f>_xlfn.XLOOKUP(RAW_DATA_COL[[#This Row],[MATERIAL_ID]],DIM_MATERIAL[MATERIAL_ID],DIM_MATERIAL[UOM_IN])</f>
        <v>KG</v>
      </c>
    </row>
    <row r="431" spans="2:6" x14ac:dyDescent="0.2">
      <c r="B431" s="3"/>
      <c r="C431" t="s">
        <v>11</v>
      </c>
      <c r="D431" t="s">
        <v>2</v>
      </c>
      <c r="E431">
        <v>85</v>
      </c>
      <c r="F431" t="str">
        <f>_xlfn.XLOOKUP(RAW_DATA_COL[[#This Row],[MATERIAL_ID]],DIM_MATERIAL[MATERIAL_ID],DIM_MATERIAL[UOM_IN])</f>
        <v>PCS</v>
      </c>
    </row>
    <row r="432" spans="2:6" x14ac:dyDescent="0.2">
      <c r="B432" s="3">
        <v>45895</v>
      </c>
      <c r="C432" t="s">
        <v>11</v>
      </c>
      <c r="D432" t="s">
        <v>1</v>
      </c>
      <c r="E432">
        <v>105.3</v>
      </c>
      <c r="F432" t="str">
        <f>_xlfn.XLOOKUP(RAW_DATA_COL[[#This Row],[MATERIAL_ID]],DIM_MATERIAL[MATERIAL_ID],DIM_MATERIAL[UOM_IN])</f>
        <v>KG</v>
      </c>
    </row>
    <row r="433" spans="2:6" x14ac:dyDescent="0.2">
      <c r="B433" s="3"/>
      <c r="C433" t="s">
        <v>11</v>
      </c>
      <c r="D433" t="s">
        <v>2</v>
      </c>
      <c r="E433">
        <v>82</v>
      </c>
      <c r="F433" t="str">
        <f>_xlfn.XLOOKUP(RAW_DATA_COL[[#This Row],[MATERIAL_ID]],DIM_MATERIAL[MATERIAL_ID],DIM_MATERIAL[UOM_IN])</f>
        <v>PCS</v>
      </c>
    </row>
    <row r="434" spans="2:6" x14ac:dyDescent="0.2">
      <c r="B434" s="3">
        <v>45896</v>
      </c>
      <c r="C434" t="s">
        <v>11</v>
      </c>
      <c r="D434" t="s">
        <v>1</v>
      </c>
      <c r="E434">
        <v>673.8</v>
      </c>
      <c r="F434" t="str">
        <f>_xlfn.XLOOKUP(RAW_DATA_COL[[#This Row],[MATERIAL_ID]],DIM_MATERIAL[MATERIAL_ID],DIM_MATERIAL[UOM_IN])</f>
        <v>KG</v>
      </c>
    </row>
    <row r="435" spans="2:6" x14ac:dyDescent="0.2">
      <c r="B435" s="3">
        <v>45902</v>
      </c>
      <c r="C435" t="s">
        <v>11</v>
      </c>
      <c r="D435" t="s">
        <v>1</v>
      </c>
      <c r="E435">
        <v>845.7</v>
      </c>
      <c r="F435" t="str">
        <f>_xlfn.XLOOKUP(RAW_DATA_COL[[#This Row],[MATERIAL_ID]],DIM_MATERIAL[MATERIAL_ID],DIM_MATERIAL[UOM_IN])</f>
        <v>KG</v>
      </c>
    </row>
    <row r="436" spans="2:6" x14ac:dyDescent="0.2">
      <c r="B436" s="3">
        <v>45903</v>
      </c>
      <c r="C436" t="s">
        <v>11</v>
      </c>
      <c r="D436" t="s">
        <v>1</v>
      </c>
      <c r="E436">
        <v>967.5</v>
      </c>
      <c r="F436" t="str">
        <f>_xlfn.XLOOKUP(RAW_DATA_COL[[#This Row],[MATERIAL_ID]],DIM_MATERIAL[MATERIAL_ID],DIM_MATERIAL[UOM_IN])</f>
        <v>KG</v>
      </c>
    </row>
    <row r="437" spans="2:6" x14ac:dyDescent="0.2">
      <c r="B437" s="3"/>
      <c r="C437" t="s">
        <v>11</v>
      </c>
      <c r="D437" t="s">
        <v>2</v>
      </c>
      <c r="E437">
        <v>174</v>
      </c>
      <c r="F437" t="str">
        <f>_xlfn.XLOOKUP(RAW_DATA_COL[[#This Row],[MATERIAL_ID]],DIM_MATERIAL[MATERIAL_ID],DIM_MATERIAL[UOM_IN])</f>
        <v>PCS</v>
      </c>
    </row>
    <row r="438" spans="2:6" x14ac:dyDescent="0.2">
      <c r="B438" s="3">
        <v>45904</v>
      </c>
      <c r="C438" t="s">
        <v>11</v>
      </c>
      <c r="D438" t="s">
        <v>1</v>
      </c>
      <c r="E438">
        <v>700</v>
      </c>
      <c r="F438" t="str">
        <f>_xlfn.XLOOKUP(RAW_DATA_COL[[#This Row],[MATERIAL_ID]],DIM_MATERIAL[MATERIAL_ID],DIM_MATERIAL[UOM_IN])</f>
        <v>KG</v>
      </c>
    </row>
    <row r="439" spans="2:6" x14ac:dyDescent="0.2">
      <c r="B439" s="3">
        <v>45905</v>
      </c>
      <c r="C439" t="s">
        <v>11</v>
      </c>
      <c r="D439" t="s">
        <v>1</v>
      </c>
      <c r="E439">
        <v>943.9</v>
      </c>
      <c r="F439" t="str">
        <f>_xlfn.XLOOKUP(RAW_DATA_COL[[#This Row],[MATERIAL_ID]],DIM_MATERIAL[MATERIAL_ID],DIM_MATERIAL[UOM_IN])</f>
        <v>KG</v>
      </c>
    </row>
    <row r="440" spans="2:6" x14ac:dyDescent="0.2">
      <c r="B440" s="3">
        <v>45906</v>
      </c>
      <c r="C440" t="s">
        <v>11</v>
      </c>
      <c r="D440" t="s">
        <v>1</v>
      </c>
      <c r="E440">
        <v>606.29999999999995</v>
      </c>
      <c r="F440" t="str">
        <f>_xlfn.XLOOKUP(RAW_DATA_COL[[#This Row],[MATERIAL_ID]],DIM_MATERIAL[MATERIAL_ID],DIM_MATERIAL[UOM_IN])</f>
        <v>KG</v>
      </c>
    </row>
    <row r="441" spans="2:6" x14ac:dyDescent="0.2">
      <c r="B441" s="3"/>
      <c r="C441" t="s">
        <v>11</v>
      </c>
      <c r="D441" t="s">
        <v>2</v>
      </c>
      <c r="E441">
        <v>62</v>
      </c>
      <c r="F441" t="str">
        <f>_xlfn.XLOOKUP(RAW_DATA_COL[[#This Row],[MATERIAL_ID]],DIM_MATERIAL[MATERIAL_ID],DIM_MATERIAL[UOM_IN])</f>
        <v>PCS</v>
      </c>
    </row>
    <row r="442" spans="2:6" x14ac:dyDescent="0.2">
      <c r="B442" s="3">
        <v>45908</v>
      </c>
      <c r="C442" t="s">
        <v>11</v>
      </c>
      <c r="D442" t="s">
        <v>1</v>
      </c>
      <c r="E442">
        <v>367</v>
      </c>
      <c r="F442" t="str">
        <f>_xlfn.XLOOKUP(RAW_DATA_COL[[#This Row],[MATERIAL_ID]],DIM_MATERIAL[MATERIAL_ID],DIM_MATERIAL[UOM_IN])</f>
        <v>KG</v>
      </c>
    </row>
    <row r="443" spans="2:6" x14ac:dyDescent="0.2">
      <c r="B443" s="3"/>
      <c r="C443" t="s">
        <v>11</v>
      </c>
      <c r="D443" t="s">
        <v>2</v>
      </c>
      <c r="E443">
        <v>32</v>
      </c>
      <c r="F443" t="str">
        <f>_xlfn.XLOOKUP(RAW_DATA_COL[[#This Row],[MATERIAL_ID]],DIM_MATERIAL[MATERIAL_ID],DIM_MATERIAL[UOM_IN])</f>
        <v>PCS</v>
      </c>
    </row>
    <row r="444" spans="2:6" x14ac:dyDescent="0.2">
      <c r="B444" s="3">
        <v>45910</v>
      </c>
      <c r="C444" t="s">
        <v>11</v>
      </c>
      <c r="D444" t="s">
        <v>1</v>
      </c>
      <c r="E444">
        <v>209.4</v>
      </c>
      <c r="F444" t="str">
        <f>_xlfn.XLOOKUP(RAW_DATA_COL[[#This Row],[MATERIAL_ID]],DIM_MATERIAL[MATERIAL_ID],DIM_MATERIAL[UOM_IN])</f>
        <v>KG</v>
      </c>
    </row>
    <row r="445" spans="2:6" x14ac:dyDescent="0.2">
      <c r="B445" s="3"/>
      <c r="C445" t="s">
        <v>11</v>
      </c>
      <c r="D445" t="s">
        <v>2</v>
      </c>
      <c r="E445">
        <v>248</v>
      </c>
      <c r="F445" t="str">
        <f>_xlfn.XLOOKUP(RAW_DATA_COL[[#This Row],[MATERIAL_ID]],DIM_MATERIAL[MATERIAL_ID],DIM_MATERIAL[UOM_IN])</f>
        <v>PCS</v>
      </c>
    </row>
    <row r="446" spans="2:6" x14ac:dyDescent="0.2">
      <c r="B446" s="3">
        <v>45912</v>
      </c>
      <c r="C446" t="s">
        <v>11</v>
      </c>
      <c r="D446" t="s">
        <v>1</v>
      </c>
      <c r="E446">
        <v>688.6</v>
      </c>
      <c r="F446" t="str">
        <f>_xlfn.XLOOKUP(RAW_DATA_COL[[#This Row],[MATERIAL_ID]],DIM_MATERIAL[MATERIAL_ID],DIM_MATERIAL[UOM_IN])</f>
        <v>KG</v>
      </c>
    </row>
    <row r="447" spans="2:6" x14ac:dyDescent="0.2">
      <c r="B447" s="3">
        <v>45913</v>
      </c>
      <c r="C447" t="s">
        <v>11</v>
      </c>
      <c r="D447" t="s">
        <v>1</v>
      </c>
      <c r="E447">
        <v>623.5</v>
      </c>
      <c r="F447" t="str">
        <f>_xlfn.XLOOKUP(RAW_DATA_COL[[#This Row],[MATERIAL_ID]],DIM_MATERIAL[MATERIAL_ID],DIM_MATERIAL[UOM_IN])</f>
        <v>KG</v>
      </c>
    </row>
    <row r="448" spans="2:6" x14ac:dyDescent="0.2">
      <c r="B448" s="3">
        <v>45916</v>
      </c>
      <c r="C448" t="s">
        <v>11</v>
      </c>
      <c r="D448" t="s">
        <v>1</v>
      </c>
      <c r="E448">
        <v>659</v>
      </c>
      <c r="F448" t="str">
        <f>_xlfn.XLOOKUP(RAW_DATA_COL[[#This Row],[MATERIAL_ID]],DIM_MATERIAL[MATERIAL_ID],DIM_MATERIAL[UOM_IN])</f>
        <v>KG</v>
      </c>
    </row>
    <row r="449" spans="2:6" x14ac:dyDescent="0.2">
      <c r="B449" s="3">
        <v>45917</v>
      </c>
      <c r="C449" t="s">
        <v>11</v>
      </c>
      <c r="D449" t="s">
        <v>1</v>
      </c>
      <c r="E449">
        <v>611</v>
      </c>
      <c r="F449" t="str">
        <f>_xlfn.XLOOKUP(RAW_DATA_COL[[#This Row],[MATERIAL_ID]],DIM_MATERIAL[MATERIAL_ID],DIM_MATERIAL[UOM_IN])</f>
        <v>KG</v>
      </c>
    </row>
    <row r="450" spans="2:6" x14ac:dyDescent="0.2">
      <c r="B450" s="3">
        <v>45918</v>
      </c>
      <c r="C450" t="s">
        <v>11</v>
      </c>
      <c r="D450" t="s">
        <v>1</v>
      </c>
      <c r="E450">
        <v>440</v>
      </c>
      <c r="F450" t="str">
        <f>_xlfn.XLOOKUP(RAW_DATA_COL[[#This Row],[MATERIAL_ID]],DIM_MATERIAL[MATERIAL_ID],DIM_MATERIAL[UOM_IN])</f>
        <v>KG</v>
      </c>
    </row>
    <row r="451" spans="2:6" x14ac:dyDescent="0.2">
      <c r="B451" s="3"/>
      <c r="C451" t="s">
        <v>11</v>
      </c>
      <c r="D451" t="s">
        <v>2</v>
      </c>
      <c r="E451">
        <v>72</v>
      </c>
      <c r="F451" t="str">
        <f>_xlfn.XLOOKUP(RAW_DATA_COL[[#This Row],[MATERIAL_ID]],DIM_MATERIAL[MATERIAL_ID],DIM_MATERIAL[UOM_IN])</f>
        <v>PCS</v>
      </c>
    </row>
    <row r="452" spans="2:6" x14ac:dyDescent="0.2">
      <c r="B452" s="3">
        <v>45920</v>
      </c>
      <c r="C452" t="s">
        <v>11</v>
      </c>
      <c r="D452" t="s">
        <v>1</v>
      </c>
      <c r="E452">
        <v>890</v>
      </c>
      <c r="F452" t="str">
        <f>_xlfn.XLOOKUP(RAW_DATA_COL[[#This Row],[MATERIAL_ID]],DIM_MATERIAL[MATERIAL_ID],DIM_MATERIAL[UOM_IN])</f>
        <v>KG</v>
      </c>
    </row>
    <row r="453" spans="2:6" x14ac:dyDescent="0.2">
      <c r="B453" s="3"/>
      <c r="C453" t="s">
        <v>11</v>
      </c>
      <c r="D453" t="s">
        <v>2</v>
      </c>
      <c r="E453">
        <v>49</v>
      </c>
      <c r="F453" t="str">
        <f>_xlfn.XLOOKUP(RAW_DATA_COL[[#This Row],[MATERIAL_ID]],DIM_MATERIAL[MATERIAL_ID],DIM_MATERIAL[UOM_IN])</f>
        <v>PCS</v>
      </c>
    </row>
    <row r="454" spans="2:6" x14ac:dyDescent="0.2">
      <c r="B454" s="3">
        <v>45922</v>
      </c>
      <c r="C454" t="s">
        <v>11</v>
      </c>
      <c r="D454" t="s">
        <v>1</v>
      </c>
      <c r="E454">
        <v>308.5</v>
      </c>
      <c r="F454" t="str">
        <f>_xlfn.XLOOKUP(RAW_DATA_COL[[#This Row],[MATERIAL_ID]],DIM_MATERIAL[MATERIAL_ID],DIM_MATERIAL[UOM_IN])</f>
        <v>KG</v>
      </c>
    </row>
    <row r="455" spans="2:6" x14ac:dyDescent="0.2">
      <c r="B455" s="3">
        <v>45923</v>
      </c>
      <c r="C455" t="s">
        <v>11</v>
      </c>
      <c r="D455" t="s">
        <v>1</v>
      </c>
      <c r="E455">
        <v>530.6</v>
      </c>
      <c r="F455" t="str">
        <f>_xlfn.XLOOKUP(RAW_DATA_COL[[#This Row],[MATERIAL_ID]],DIM_MATERIAL[MATERIAL_ID],DIM_MATERIAL[UOM_IN])</f>
        <v>KG</v>
      </c>
    </row>
    <row r="456" spans="2:6" x14ac:dyDescent="0.2">
      <c r="B456" s="3"/>
      <c r="C456" t="s">
        <v>11</v>
      </c>
      <c r="D456" t="s">
        <v>2</v>
      </c>
      <c r="E456">
        <v>90</v>
      </c>
      <c r="F456" t="str">
        <f>_xlfn.XLOOKUP(RAW_DATA_COL[[#This Row],[MATERIAL_ID]],DIM_MATERIAL[MATERIAL_ID],DIM_MATERIAL[UOM_IN])</f>
        <v>PCS</v>
      </c>
    </row>
    <row r="457" spans="2:6" x14ac:dyDescent="0.2">
      <c r="B457" s="3">
        <v>45925</v>
      </c>
      <c r="C457" t="s">
        <v>11</v>
      </c>
      <c r="D457" t="s">
        <v>1</v>
      </c>
      <c r="E457">
        <v>487.3</v>
      </c>
      <c r="F457" t="str">
        <f>_xlfn.XLOOKUP(RAW_DATA_COL[[#This Row],[MATERIAL_ID]],DIM_MATERIAL[MATERIAL_ID],DIM_MATERIAL[UOM_IN])</f>
        <v>KG</v>
      </c>
    </row>
    <row r="458" spans="2:6" x14ac:dyDescent="0.2">
      <c r="B458" s="3"/>
      <c r="C458" t="s">
        <v>11</v>
      </c>
      <c r="D458" t="s">
        <v>2</v>
      </c>
      <c r="E458">
        <v>20</v>
      </c>
      <c r="F458" t="str">
        <f>_xlfn.XLOOKUP(RAW_DATA_COL[[#This Row],[MATERIAL_ID]],DIM_MATERIAL[MATERIAL_ID],DIM_MATERIAL[UOM_IN])</f>
        <v>PCS</v>
      </c>
    </row>
    <row r="459" spans="2:6" x14ac:dyDescent="0.2">
      <c r="B459" s="3">
        <v>45926</v>
      </c>
      <c r="C459" t="s">
        <v>11</v>
      </c>
      <c r="D459" t="s">
        <v>1</v>
      </c>
      <c r="E459">
        <v>290.3</v>
      </c>
      <c r="F459" t="str">
        <f>_xlfn.XLOOKUP(RAW_DATA_COL[[#This Row],[MATERIAL_ID]],DIM_MATERIAL[MATERIAL_ID],DIM_MATERIAL[UOM_IN])</f>
        <v>KG</v>
      </c>
    </row>
    <row r="460" spans="2:6" x14ac:dyDescent="0.2">
      <c r="B460" s="3">
        <v>45932</v>
      </c>
      <c r="C460" t="s">
        <v>11</v>
      </c>
      <c r="D460" t="s">
        <v>1</v>
      </c>
      <c r="E460">
        <v>509</v>
      </c>
      <c r="F460" t="str">
        <f>_xlfn.XLOOKUP(RAW_DATA_COL[[#This Row],[MATERIAL_ID]],DIM_MATERIAL[MATERIAL_ID],DIM_MATERIAL[UOM_IN])</f>
        <v>KG</v>
      </c>
    </row>
    <row r="461" spans="2:6" x14ac:dyDescent="0.2">
      <c r="B461" s="6"/>
      <c r="C461" t="s">
        <v>584</v>
      </c>
      <c r="D461" t="s">
        <v>580</v>
      </c>
      <c r="E461">
        <v>15</v>
      </c>
      <c r="F461" t="str">
        <f>_xlfn.XLOOKUP(RAW_DATA_COL[[#This Row],[MATERIAL_ID]],DIM_MATERIAL[MATERIAL_ID],DIM_MATERIAL[UOM_IN])</f>
        <v>BAG</v>
      </c>
    </row>
    <row r="462" spans="2:6" x14ac:dyDescent="0.2">
      <c r="B462" s="3">
        <v>45933</v>
      </c>
      <c r="C462" t="s">
        <v>11</v>
      </c>
      <c r="D462" t="s">
        <v>1</v>
      </c>
      <c r="E462">
        <v>106.1</v>
      </c>
      <c r="F462" t="str">
        <f>_xlfn.XLOOKUP(RAW_DATA_COL[[#This Row],[MATERIAL_ID]],DIM_MATERIAL[MATERIAL_ID],DIM_MATERIAL[UOM_IN])</f>
        <v>KG</v>
      </c>
    </row>
    <row r="463" spans="2:6" x14ac:dyDescent="0.2">
      <c r="B463" s="3">
        <v>45936</v>
      </c>
      <c r="C463" t="s">
        <v>11</v>
      </c>
      <c r="D463" t="s">
        <v>1</v>
      </c>
      <c r="E463">
        <v>819.5</v>
      </c>
      <c r="F463" t="str">
        <f>_xlfn.XLOOKUP(RAW_DATA_COL[[#This Row],[MATERIAL_ID]],DIM_MATERIAL[MATERIAL_ID],DIM_MATERIAL[UOM_IN])</f>
        <v>KG</v>
      </c>
    </row>
    <row r="464" spans="2:6" x14ac:dyDescent="0.2">
      <c r="B464" s="3"/>
      <c r="C464" t="s">
        <v>11</v>
      </c>
      <c r="D464" t="s">
        <v>2</v>
      </c>
      <c r="E464">
        <v>58</v>
      </c>
      <c r="F464" t="str">
        <f>_xlfn.XLOOKUP(RAW_DATA_COL[[#This Row],[MATERIAL_ID]],DIM_MATERIAL[MATERIAL_ID],DIM_MATERIAL[UOM_IN])</f>
        <v>PCS</v>
      </c>
    </row>
    <row r="465" spans="2:6" x14ac:dyDescent="0.2">
      <c r="B465" s="3">
        <v>45937</v>
      </c>
      <c r="C465" t="s">
        <v>11</v>
      </c>
      <c r="D465" t="s">
        <v>1</v>
      </c>
      <c r="E465">
        <v>500</v>
      </c>
      <c r="F465" t="str">
        <f>_xlfn.XLOOKUP(RAW_DATA_COL[[#This Row],[MATERIAL_ID]],DIM_MATERIAL[MATERIAL_ID],DIM_MATERIAL[UOM_IN])</f>
        <v>KG</v>
      </c>
    </row>
    <row r="466" spans="2:6" x14ac:dyDescent="0.2">
      <c r="B466" s="3">
        <v>45938</v>
      </c>
      <c r="C466" t="s">
        <v>11</v>
      </c>
      <c r="D466" t="s">
        <v>1</v>
      </c>
      <c r="E466">
        <v>455</v>
      </c>
      <c r="F466" t="str">
        <f>_xlfn.XLOOKUP(RAW_DATA_COL[[#This Row],[MATERIAL_ID]],DIM_MATERIAL[MATERIAL_ID],DIM_MATERIAL[UOM_IN])</f>
        <v>KG</v>
      </c>
    </row>
    <row r="467" spans="2:6" x14ac:dyDescent="0.2">
      <c r="B467" s="3"/>
      <c r="C467" t="s">
        <v>11</v>
      </c>
      <c r="D467" t="s">
        <v>2</v>
      </c>
      <c r="E467">
        <v>99</v>
      </c>
      <c r="F467" t="str">
        <f>_xlfn.XLOOKUP(RAW_DATA_COL[[#This Row],[MATERIAL_ID]],DIM_MATERIAL[MATERIAL_ID],DIM_MATERIAL[UOM_IN])</f>
        <v>PCS</v>
      </c>
    </row>
    <row r="468" spans="2:6" x14ac:dyDescent="0.2">
      <c r="B468" s="3">
        <v>45939</v>
      </c>
      <c r="C468" t="s">
        <v>11</v>
      </c>
      <c r="D468" t="s">
        <v>1</v>
      </c>
      <c r="E468">
        <v>786.9</v>
      </c>
      <c r="F468" t="str">
        <f>_xlfn.XLOOKUP(RAW_DATA_COL[[#This Row],[MATERIAL_ID]],DIM_MATERIAL[MATERIAL_ID],DIM_MATERIAL[UOM_IN])</f>
        <v>KG</v>
      </c>
    </row>
    <row r="469" spans="2:6" x14ac:dyDescent="0.2">
      <c r="B469" s="3">
        <v>45940</v>
      </c>
      <c r="C469" t="s">
        <v>11</v>
      </c>
      <c r="D469" t="s">
        <v>1</v>
      </c>
      <c r="E469">
        <v>1435.8</v>
      </c>
      <c r="F469" t="str">
        <f>_xlfn.XLOOKUP(RAW_DATA_COL[[#This Row],[MATERIAL_ID]],DIM_MATERIAL[MATERIAL_ID],DIM_MATERIAL[UOM_IN])</f>
        <v>KG</v>
      </c>
    </row>
    <row r="470" spans="2:6" x14ac:dyDescent="0.2">
      <c r="B470" s="3"/>
      <c r="C470" t="s">
        <v>11</v>
      </c>
      <c r="D470" t="s">
        <v>2</v>
      </c>
      <c r="E470">
        <v>121</v>
      </c>
      <c r="F470" t="str">
        <f>_xlfn.XLOOKUP(RAW_DATA_COL[[#This Row],[MATERIAL_ID]],DIM_MATERIAL[MATERIAL_ID],DIM_MATERIAL[UOM_IN])</f>
        <v>PCS</v>
      </c>
    </row>
    <row r="471" spans="2:6" x14ac:dyDescent="0.2">
      <c r="B471" s="3">
        <v>45943</v>
      </c>
      <c r="C471" t="s">
        <v>11</v>
      </c>
      <c r="D471" t="s">
        <v>1</v>
      </c>
      <c r="E471">
        <v>886.6</v>
      </c>
      <c r="F471" t="str">
        <f>_xlfn.XLOOKUP(RAW_DATA_COL[[#This Row],[MATERIAL_ID]],DIM_MATERIAL[MATERIAL_ID],DIM_MATERIAL[UOM_IN])</f>
        <v>KG</v>
      </c>
    </row>
    <row r="472" spans="2:6" x14ac:dyDescent="0.2">
      <c r="B472" s="3">
        <v>45944</v>
      </c>
      <c r="C472" t="s">
        <v>11</v>
      </c>
      <c r="D472" t="s">
        <v>1</v>
      </c>
      <c r="E472">
        <v>1257.2</v>
      </c>
      <c r="F472" t="str">
        <f>_xlfn.XLOOKUP(RAW_DATA_COL[[#This Row],[MATERIAL_ID]],DIM_MATERIAL[MATERIAL_ID],DIM_MATERIAL[UOM_IN])</f>
        <v>KG</v>
      </c>
    </row>
    <row r="473" spans="2:6" x14ac:dyDescent="0.2">
      <c r="B473" s="3"/>
      <c r="C473" t="s">
        <v>11</v>
      </c>
      <c r="D473" t="s">
        <v>2</v>
      </c>
      <c r="E473">
        <v>55</v>
      </c>
      <c r="F473" t="str">
        <f>_xlfn.XLOOKUP(RAW_DATA_COL[[#This Row],[MATERIAL_ID]],DIM_MATERIAL[MATERIAL_ID],DIM_MATERIAL[UOM_IN])</f>
        <v>PCS</v>
      </c>
    </row>
    <row r="474" spans="2:6" x14ac:dyDescent="0.2">
      <c r="B474" s="3">
        <v>45945</v>
      </c>
      <c r="C474" t="s">
        <v>12</v>
      </c>
      <c r="D474" t="s">
        <v>1</v>
      </c>
      <c r="E474">
        <v>489.7</v>
      </c>
      <c r="F474" t="str">
        <f>_xlfn.XLOOKUP(RAW_DATA_COL[[#This Row],[MATERIAL_ID]],DIM_MATERIAL[MATERIAL_ID],DIM_MATERIAL[UOM_IN])</f>
        <v>KG</v>
      </c>
    </row>
    <row r="475" spans="2:6" x14ac:dyDescent="0.2">
      <c r="B475" s="3">
        <v>45946</v>
      </c>
      <c r="C475" t="s">
        <v>11</v>
      </c>
      <c r="D475" t="s">
        <v>1</v>
      </c>
      <c r="E475">
        <v>989.8</v>
      </c>
      <c r="F475" t="str">
        <f>_xlfn.XLOOKUP(RAW_DATA_COL[[#This Row],[MATERIAL_ID]],DIM_MATERIAL[MATERIAL_ID],DIM_MATERIAL[UOM_IN])</f>
        <v>KG</v>
      </c>
    </row>
    <row r="476" spans="2:6" x14ac:dyDescent="0.2">
      <c r="B476" s="3">
        <v>45947</v>
      </c>
      <c r="C476" t="s">
        <v>11</v>
      </c>
      <c r="D476" t="s">
        <v>1</v>
      </c>
      <c r="E476">
        <v>1332.1</v>
      </c>
      <c r="F476" t="str">
        <f>_xlfn.XLOOKUP(RAW_DATA_COL[[#This Row],[MATERIAL_ID]],DIM_MATERIAL[MATERIAL_ID],DIM_MATERIAL[UOM_IN])</f>
        <v>KG</v>
      </c>
    </row>
    <row r="477" spans="2:6" x14ac:dyDescent="0.2">
      <c r="B477" s="3"/>
      <c r="C477" t="s">
        <v>11</v>
      </c>
      <c r="D477" t="s">
        <v>2</v>
      </c>
      <c r="E477">
        <v>33</v>
      </c>
      <c r="F477" t="str">
        <f>_xlfn.XLOOKUP(RAW_DATA_COL[[#This Row],[MATERIAL_ID]],DIM_MATERIAL[MATERIAL_ID],DIM_MATERIAL[UOM_IN])</f>
        <v>PCS</v>
      </c>
    </row>
    <row r="478" spans="2:6" x14ac:dyDescent="0.2">
      <c r="B478" s="3">
        <v>45950</v>
      </c>
      <c r="C478" t="s">
        <v>11</v>
      </c>
      <c r="D478" t="s">
        <v>1</v>
      </c>
      <c r="E478">
        <v>1089</v>
      </c>
      <c r="F478" t="str">
        <f>_xlfn.XLOOKUP(RAW_DATA_COL[[#This Row],[MATERIAL_ID]],DIM_MATERIAL[MATERIAL_ID],DIM_MATERIAL[UOM_IN])</f>
        <v>KG</v>
      </c>
    </row>
    <row r="479" spans="2:6" x14ac:dyDescent="0.2">
      <c r="B479" s="3">
        <v>45951</v>
      </c>
      <c r="C479" t="s">
        <v>11</v>
      </c>
      <c r="D479" t="s">
        <v>1</v>
      </c>
      <c r="E479">
        <v>215</v>
      </c>
      <c r="F479" t="str">
        <f>_xlfn.XLOOKUP(RAW_DATA_COL[[#This Row],[MATERIAL_ID]],DIM_MATERIAL[MATERIAL_ID],DIM_MATERIAL[UOM_IN])</f>
        <v>KG</v>
      </c>
    </row>
    <row r="480" spans="2:6" x14ac:dyDescent="0.2">
      <c r="B480" s="3">
        <v>45952</v>
      </c>
      <c r="C480" t="s">
        <v>11</v>
      </c>
      <c r="D480" t="s">
        <v>1</v>
      </c>
      <c r="E480">
        <v>445.8</v>
      </c>
      <c r="F480" t="str">
        <f>_xlfn.XLOOKUP(RAW_DATA_COL[[#This Row],[MATERIAL_ID]],DIM_MATERIAL[MATERIAL_ID],DIM_MATERIAL[UOM_IN])</f>
        <v>KG</v>
      </c>
    </row>
    <row r="481" spans="2:6" x14ac:dyDescent="0.2">
      <c r="B481" s="3">
        <v>45953</v>
      </c>
      <c r="C481" t="s">
        <v>11</v>
      </c>
      <c r="D481" t="s">
        <v>1</v>
      </c>
      <c r="E481">
        <v>1456.7</v>
      </c>
      <c r="F481" t="str">
        <f>_xlfn.XLOOKUP(RAW_DATA_COL[[#This Row],[MATERIAL_ID]],DIM_MATERIAL[MATERIAL_ID],DIM_MATERIAL[UOM_IN])</f>
        <v>KG</v>
      </c>
    </row>
    <row r="482" spans="2:6" x14ac:dyDescent="0.2">
      <c r="B482" s="3"/>
      <c r="C482" t="s">
        <v>12</v>
      </c>
      <c r="D482" t="s">
        <v>1</v>
      </c>
      <c r="E482">
        <v>355</v>
      </c>
      <c r="F482" t="str">
        <f>_xlfn.XLOOKUP(RAW_DATA_COL[[#This Row],[MATERIAL_ID]],DIM_MATERIAL[MATERIAL_ID],DIM_MATERIAL[UOM_IN])</f>
        <v>KG</v>
      </c>
    </row>
    <row r="483" spans="2:6" x14ac:dyDescent="0.2">
      <c r="B483" s="3">
        <v>45954</v>
      </c>
      <c r="C483" t="s">
        <v>11</v>
      </c>
      <c r="D483" t="s">
        <v>1</v>
      </c>
      <c r="E483">
        <v>818.8</v>
      </c>
      <c r="F483" t="str">
        <f>_xlfn.XLOOKUP(RAW_DATA_COL[[#This Row],[MATERIAL_ID]],DIM_MATERIAL[MATERIAL_ID],DIM_MATERIAL[UOM_IN])</f>
        <v>KG</v>
      </c>
    </row>
    <row r="484" spans="2:6" x14ac:dyDescent="0.2">
      <c r="B484" s="3"/>
      <c r="C484" t="s">
        <v>11</v>
      </c>
      <c r="D484" t="s">
        <v>2</v>
      </c>
      <c r="E484">
        <v>190</v>
      </c>
      <c r="F484" t="str">
        <f>_xlfn.XLOOKUP(RAW_DATA_COL[[#This Row],[MATERIAL_ID]],DIM_MATERIAL[MATERIAL_ID],DIM_MATERIAL[UOM_IN])</f>
        <v>PCS</v>
      </c>
    </row>
    <row r="485" spans="2:6" x14ac:dyDescent="0.2">
      <c r="B485" s="3">
        <v>45957</v>
      </c>
      <c r="C485" t="s">
        <v>11</v>
      </c>
      <c r="D485" t="s">
        <v>1</v>
      </c>
      <c r="E485" t="s">
        <v>402</v>
      </c>
      <c r="F485" t="str">
        <f>_xlfn.XLOOKUP(RAW_DATA_COL[[#This Row],[MATERIAL_ID]],DIM_MATERIAL[MATERIAL_ID],DIM_MATERIAL[UOM_IN])</f>
        <v>KG</v>
      </c>
    </row>
    <row r="486" spans="2:6" x14ac:dyDescent="0.2">
      <c r="B486" s="3"/>
      <c r="C486" t="s">
        <v>12</v>
      </c>
      <c r="D486" t="s">
        <v>1</v>
      </c>
      <c r="E486">
        <v>766.9</v>
      </c>
      <c r="F486" t="str">
        <f>_xlfn.XLOOKUP(RAW_DATA_COL[[#This Row],[MATERIAL_ID]],DIM_MATERIAL[MATERIAL_ID],DIM_MATERIAL[UOM_IN])</f>
        <v>KG</v>
      </c>
    </row>
    <row r="487" spans="2:6" x14ac:dyDescent="0.2">
      <c r="B487" s="3">
        <v>45958</v>
      </c>
      <c r="C487" t="s">
        <v>11</v>
      </c>
      <c r="D487" t="s">
        <v>1</v>
      </c>
      <c r="E487">
        <v>909</v>
      </c>
      <c r="F487" t="str">
        <f>_xlfn.XLOOKUP(RAW_DATA_COL[[#This Row],[MATERIAL_ID]],DIM_MATERIAL[MATERIAL_ID],DIM_MATERIAL[UOM_IN])</f>
        <v>KG</v>
      </c>
    </row>
    <row r="488" spans="2:6" x14ac:dyDescent="0.2">
      <c r="B488" s="3">
        <v>45959</v>
      </c>
      <c r="C488" t="s">
        <v>11</v>
      </c>
      <c r="D488" t="s">
        <v>1</v>
      </c>
      <c r="E488">
        <v>788</v>
      </c>
      <c r="F488" t="str">
        <f>_xlfn.XLOOKUP(RAW_DATA_COL[[#This Row],[MATERIAL_ID]],DIM_MATERIAL[MATERIAL_ID],DIM_MATERIAL[UOM_IN])</f>
        <v>KG</v>
      </c>
    </row>
    <row r="489" spans="2:6" x14ac:dyDescent="0.2">
      <c r="B489" s="3">
        <v>45960</v>
      </c>
      <c r="C489" t="s">
        <v>11</v>
      </c>
      <c r="D489" t="s">
        <v>1</v>
      </c>
      <c r="E489">
        <v>297.8</v>
      </c>
      <c r="F489" t="str">
        <f>_xlfn.XLOOKUP(RAW_DATA_COL[[#This Row],[MATERIAL_ID]],DIM_MATERIAL[MATERIAL_ID],DIM_MATERIAL[UOM_IN])</f>
        <v>KG</v>
      </c>
    </row>
    <row r="490" spans="2:6" x14ac:dyDescent="0.2">
      <c r="B490" s="3">
        <v>45961</v>
      </c>
      <c r="C490" t="s">
        <v>11</v>
      </c>
      <c r="D490" t="s">
        <v>1</v>
      </c>
      <c r="E490">
        <v>1102.9000000000001</v>
      </c>
      <c r="F490" t="str">
        <f>_xlfn.XLOOKUP(RAW_DATA_COL[[#This Row],[MATERIAL_ID]],DIM_MATERIAL[MATERIAL_ID],DIM_MATERIAL[UOM_IN])</f>
        <v>KG</v>
      </c>
    </row>
    <row r="491" spans="2:6" x14ac:dyDescent="0.2">
      <c r="B491" s="3"/>
      <c r="C491" t="s">
        <v>11</v>
      </c>
      <c r="D491" t="s">
        <v>2</v>
      </c>
      <c r="E491">
        <v>93</v>
      </c>
      <c r="F491" t="str">
        <f>_xlfn.XLOOKUP(RAW_DATA_COL[[#This Row],[MATERIAL_ID]],DIM_MATERIAL[MATERIAL_ID],DIM_MATERIAL[UOM_IN])</f>
        <v>PCS</v>
      </c>
    </row>
    <row r="492" spans="2:6" x14ac:dyDescent="0.2">
      <c r="B492" s="3">
        <v>45965</v>
      </c>
      <c r="C492" t="s">
        <v>11</v>
      </c>
      <c r="D492" t="s">
        <v>1</v>
      </c>
      <c r="E492">
        <v>1207</v>
      </c>
      <c r="F492" t="str">
        <f>_xlfn.XLOOKUP(RAW_DATA_COL[[#This Row],[MATERIAL_ID]],DIM_MATERIAL[MATERIAL_ID],DIM_MATERIAL[UOM_IN])</f>
        <v>KG</v>
      </c>
    </row>
    <row r="493" spans="2:6" x14ac:dyDescent="0.2">
      <c r="B493" s="3"/>
      <c r="C493" t="s">
        <v>11</v>
      </c>
      <c r="D493" t="s">
        <v>2</v>
      </c>
      <c r="E493">
        <v>82</v>
      </c>
      <c r="F493" t="str">
        <f>_xlfn.XLOOKUP(RAW_DATA_COL[[#This Row],[MATERIAL_ID]],DIM_MATERIAL[MATERIAL_ID],DIM_MATERIAL[UOM_IN])</f>
        <v>PCS</v>
      </c>
    </row>
    <row r="494" spans="2:6" x14ac:dyDescent="0.2">
      <c r="B494" s="3">
        <v>45966</v>
      </c>
      <c r="C494" t="s">
        <v>11</v>
      </c>
      <c r="D494" t="s">
        <v>1</v>
      </c>
      <c r="E494">
        <v>809.3</v>
      </c>
      <c r="F494" t="str">
        <f>_xlfn.XLOOKUP(RAW_DATA_COL[[#This Row],[MATERIAL_ID]],DIM_MATERIAL[MATERIAL_ID],DIM_MATERIAL[UOM_IN])</f>
        <v>KG</v>
      </c>
    </row>
    <row r="495" spans="2:6" x14ac:dyDescent="0.2">
      <c r="B495" s="3"/>
      <c r="C495" t="s">
        <v>12</v>
      </c>
      <c r="D495" t="s">
        <v>1</v>
      </c>
      <c r="E495">
        <v>600</v>
      </c>
      <c r="F495" t="str">
        <f>_xlfn.XLOOKUP(RAW_DATA_COL[[#This Row],[MATERIAL_ID]],DIM_MATERIAL[MATERIAL_ID],DIM_MATERIAL[UOM_IN])</f>
        <v>KG</v>
      </c>
    </row>
    <row r="496" spans="2:6" x14ac:dyDescent="0.2">
      <c r="B496" s="3">
        <v>45967</v>
      </c>
      <c r="C496" t="s">
        <v>11</v>
      </c>
      <c r="D496" t="s">
        <v>1</v>
      </c>
      <c r="E496">
        <v>306.8</v>
      </c>
      <c r="F496" t="str">
        <f>_xlfn.XLOOKUP(RAW_DATA_COL[[#This Row],[MATERIAL_ID]],DIM_MATERIAL[MATERIAL_ID],DIM_MATERIAL[UOM_IN])</f>
        <v>KG</v>
      </c>
    </row>
    <row r="497" spans="2:6" x14ac:dyDescent="0.2">
      <c r="B497" s="3"/>
      <c r="C497" t="s">
        <v>12</v>
      </c>
      <c r="D497" t="s">
        <v>1</v>
      </c>
      <c r="E497">
        <v>298</v>
      </c>
      <c r="F497" t="str">
        <f>_xlfn.XLOOKUP(RAW_DATA_COL[[#This Row],[MATERIAL_ID]],DIM_MATERIAL[MATERIAL_ID],DIM_MATERIAL[UOM_IN])</f>
        <v>KG</v>
      </c>
    </row>
    <row r="498" spans="2:6" x14ac:dyDescent="0.2">
      <c r="B498" s="3">
        <v>45968</v>
      </c>
      <c r="C498" t="s">
        <v>11</v>
      </c>
      <c r="D498" t="s">
        <v>1</v>
      </c>
      <c r="E498">
        <v>677.9</v>
      </c>
      <c r="F498" t="str">
        <f>_xlfn.XLOOKUP(RAW_DATA_COL[[#This Row],[MATERIAL_ID]],DIM_MATERIAL[MATERIAL_ID],DIM_MATERIAL[UOM_IN])</f>
        <v>KG</v>
      </c>
    </row>
    <row r="499" spans="2:6" x14ac:dyDescent="0.2">
      <c r="B499" s="3"/>
      <c r="C499" t="s">
        <v>12</v>
      </c>
      <c r="D499" t="s">
        <v>1</v>
      </c>
      <c r="E499">
        <v>422</v>
      </c>
      <c r="F499" t="str">
        <f>_xlfn.XLOOKUP(RAW_DATA_COL[[#This Row],[MATERIAL_ID]],DIM_MATERIAL[MATERIAL_ID],DIM_MATERIAL[UOM_IN])</f>
        <v>KG</v>
      </c>
    </row>
    <row r="500" spans="2:6" x14ac:dyDescent="0.2">
      <c r="B500" s="3">
        <v>45971</v>
      </c>
      <c r="C500" t="s">
        <v>11</v>
      </c>
      <c r="D500" t="s">
        <v>1</v>
      </c>
      <c r="E500">
        <v>567.9</v>
      </c>
      <c r="F500" t="str">
        <f>_xlfn.XLOOKUP(RAW_DATA_COL[[#This Row],[MATERIAL_ID]],DIM_MATERIAL[MATERIAL_ID],DIM_MATERIAL[UOM_IN])</f>
        <v>KG</v>
      </c>
    </row>
    <row r="501" spans="2:6" x14ac:dyDescent="0.2">
      <c r="B501" s="3"/>
      <c r="C501" t="s">
        <v>11</v>
      </c>
      <c r="D501" t="s">
        <v>2</v>
      </c>
      <c r="E501">
        <v>110</v>
      </c>
      <c r="F501" t="str">
        <f>_xlfn.XLOOKUP(RAW_DATA_COL[[#This Row],[MATERIAL_ID]],DIM_MATERIAL[MATERIAL_ID],DIM_MATERIAL[UOM_IN])</f>
        <v>PCS</v>
      </c>
    </row>
    <row r="502" spans="2:6" x14ac:dyDescent="0.2">
      <c r="B502" s="3">
        <v>45972</v>
      </c>
      <c r="C502" t="s">
        <v>11</v>
      </c>
      <c r="D502" t="s">
        <v>1</v>
      </c>
      <c r="E502">
        <v>889</v>
      </c>
      <c r="F502" t="str">
        <f>_xlfn.XLOOKUP(RAW_DATA_COL[[#This Row],[MATERIAL_ID]],DIM_MATERIAL[MATERIAL_ID],DIM_MATERIAL[UOM_IN])</f>
        <v>KG</v>
      </c>
    </row>
    <row r="503" spans="2:6" x14ac:dyDescent="0.2">
      <c r="B503" s="3"/>
      <c r="C503" t="s">
        <v>11</v>
      </c>
      <c r="D503" t="s">
        <v>2</v>
      </c>
      <c r="E503">
        <v>18</v>
      </c>
      <c r="F503" t="str">
        <f>_xlfn.XLOOKUP(RAW_DATA_COL[[#This Row],[MATERIAL_ID]],DIM_MATERIAL[MATERIAL_ID],DIM_MATERIAL[UOM_IN])</f>
        <v>PCS</v>
      </c>
    </row>
    <row r="504" spans="2:6" x14ac:dyDescent="0.2">
      <c r="B504" s="3"/>
      <c r="C504" t="s">
        <v>12</v>
      </c>
      <c r="D504" t="s">
        <v>1</v>
      </c>
      <c r="E504">
        <v>300</v>
      </c>
      <c r="F504" t="str">
        <f>_xlfn.XLOOKUP(RAW_DATA_COL[[#This Row],[MATERIAL_ID]],DIM_MATERIAL[MATERIAL_ID],DIM_MATERIAL[UOM_IN])</f>
        <v>KG</v>
      </c>
    </row>
    <row r="505" spans="2:6" x14ac:dyDescent="0.2">
      <c r="B505" s="3">
        <v>45973</v>
      </c>
      <c r="C505" t="s">
        <v>11</v>
      </c>
      <c r="D505" t="s">
        <v>1</v>
      </c>
      <c r="E505">
        <v>446.6</v>
      </c>
      <c r="F505" t="str">
        <f>_xlfn.XLOOKUP(RAW_DATA_COL[[#This Row],[MATERIAL_ID]],DIM_MATERIAL[MATERIAL_ID],DIM_MATERIAL[UOM_IN])</f>
        <v>KG</v>
      </c>
    </row>
    <row r="506" spans="2:6" x14ac:dyDescent="0.2">
      <c r="B506" s="3"/>
      <c r="C506" t="s">
        <v>11</v>
      </c>
      <c r="D506" t="s">
        <v>2</v>
      </c>
      <c r="E506">
        <v>71</v>
      </c>
      <c r="F506" t="str">
        <f>_xlfn.XLOOKUP(RAW_DATA_COL[[#This Row],[MATERIAL_ID]],DIM_MATERIAL[MATERIAL_ID],DIM_MATERIAL[UOM_IN])</f>
        <v>PCS</v>
      </c>
    </row>
    <row r="507" spans="2:6" x14ac:dyDescent="0.2">
      <c r="B507" s="3"/>
      <c r="C507" t="s">
        <v>12</v>
      </c>
      <c r="D507" t="s">
        <v>1</v>
      </c>
      <c r="E507">
        <v>120</v>
      </c>
      <c r="F507" t="str">
        <f>_xlfn.XLOOKUP(RAW_DATA_COL[[#This Row],[MATERIAL_ID]],DIM_MATERIAL[MATERIAL_ID],DIM_MATERIAL[UOM_IN])</f>
        <v>KG</v>
      </c>
    </row>
    <row r="508" spans="2:6" x14ac:dyDescent="0.2">
      <c r="B508" s="3">
        <v>45975</v>
      </c>
      <c r="C508" t="s">
        <v>11</v>
      </c>
      <c r="D508" t="s">
        <v>1</v>
      </c>
      <c r="E508">
        <v>423.2</v>
      </c>
      <c r="F508" t="str">
        <f>_xlfn.XLOOKUP(RAW_DATA_COL[[#This Row],[MATERIAL_ID]],DIM_MATERIAL[MATERIAL_ID],DIM_MATERIAL[UOM_IN])</f>
        <v>KG</v>
      </c>
    </row>
    <row r="509" spans="2:6" x14ac:dyDescent="0.2">
      <c r="B509" s="3"/>
      <c r="C509" t="s">
        <v>12</v>
      </c>
      <c r="D509" t="s">
        <v>1</v>
      </c>
      <c r="E509">
        <v>528</v>
      </c>
      <c r="F509" t="str">
        <f>_xlfn.XLOOKUP(RAW_DATA_COL[[#This Row],[MATERIAL_ID]],DIM_MATERIAL[MATERIAL_ID],DIM_MATERIAL[UOM_IN])</f>
        <v>KG</v>
      </c>
    </row>
    <row r="510" spans="2:6" x14ac:dyDescent="0.2">
      <c r="B510" s="3">
        <v>45978</v>
      </c>
      <c r="C510" t="s">
        <v>11</v>
      </c>
      <c r="D510" t="s">
        <v>1</v>
      </c>
      <c r="E510">
        <v>200.1</v>
      </c>
      <c r="F510" t="str">
        <f>_xlfn.XLOOKUP(RAW_DATA_COL[[#This Row],[MATERIAL_ID]],DIM_MATERIAL[MATERIAL_ID],DIM_MATERIAL[UOM_IN])</f>
        <v>KG</v>
      </c>
    </row>
    <row r="511" spans="2:6" x14ac:dyDescent="0.2">
      <c r="B511" s="3"/>
      <c r="C511" t="s">
        <v>11</v>
      </c>
      <c r="D511" t="s">
        <v>2</v>
      </c>
      <c r="E511">
        <v>80</v>
      </c>
      <c r="F511" t="str">
        <f>_xlfn.XLOOKUP(RAW_DATA_COL[[#This Row],[MATERIAL_ID]],DIM_MATERIAL[MATERIAL_ID],DIM_MATERIAL[UOM_IN])</f>
        <v>PCS</v>
      </c>
    </row>
    <row r="512" spans="2:6" x14ac:dyDescent="0.2">
      <c r="B512" s="3">
        <v>45979</v>
      </c>
      <c r="C512" t="s">
        <v>11</v>
      </c>
      <c r="D512" t="s">
        <v>1</v>
      </c>
      <c r="E512" t="s">
        <v>487</v>
      </c>
      <c r="F512" t="str">
        <f>_xlfn.XLOOKUP(RAW_DATA_COL[[#This Row],[MATERIAL_ID]],DIM_MATERIAL[MATERIAL_ID],DIM_MATERIAL[UOM_IN])</f>
        <v>KG</v>
      </c>
    </row>
    <row r="513" spans="2:6" x14ac:dyDescent="0.2">
      <c r="B513" s="3"/>
      <c r="C513" t="s">
        <v>12</v>
      </c>
      <c r="D513" t="s">
        <v>1</v>
      </c>
      <c r="E513">
        <v>421</v>
      </c>
      <c r="F513" t="str">
        <f>_xlfn.XLOOKUP(RAW_DATA_COL[[#This Row],[MATERIAL_ID]],DIM_MATERIAL[MATERIAL_ID],DIM_MATERIAL[UOM_IN])</f>
        <v>KG</v>
      </c>
    </row>
    <row r="514" spans="2:6" x14ac:dyDescent="0.2">
      <c r="B514" s="3">
        <v>45980</v>
      </c>
      <c r="C514" t="s">
        <v>11</v>
      </c>
      <c r="D514" t="s">
        <v>1</v>
      </c>
      <c r="E514">
        <v>189.1</v>
      </c>
      <c r="F514" t="str">
        <f>_xlfn.XLOOKUP(RAW_DATA_COL[[#This Row],[MATERIAL_ID]],DIM_MATERIAL[MATERIAL_ID],DIM_MATERIAL[UOM_IN])</f>
        <v>KG</v>
      </c>
    </row>
    <row r="515" spans="2:6" x14ac:dyDescent="0.2">
      <c r="B515" s="3"/>
      <c r="C515" t="s">
        <v>11</v>
      </c>
      <c r="D515" t="s">
        <v>2</v>
      </c>
      <c r="E515">
        <v>150</v>
      </c>
      <c r="F515" t="str">
        <f>_xlfn.XLOOKUP(RAW_DATA_COL[[#This Row],[MATERIAL_ID]],DIM_MATERIAL[MATERIAL_ID],DIM_MATERIAL[UOM_IN])</f>
        <v>PCS</v>
      </c>
    </row>
    <row r="516" spans="2:6" x14ac:dyDescent="0.2">
      <c r="B516" s="3"/>
      <c r="C516" t="s">
        <v>12</v>
      </c>
      <c r="D516" t="s">
        <v>1</v>
      </c>
      <c r="E516">
        <v>259</v>
      </c>
      <c r="F516" t="str">
        <f>_xlfn.XLOOKUP(RAW_DATA_COL[[#This Row],[MATERIAL_ID]],DIM_MATERIAL[MATERIAL_ID],DIM_MATERIAL[UOM_IN])</f>
        <v>KG</v>
      </c>
    </row>
    <row r="517" spans="2:6" x14ac:dyDescent="0.2">
      <c r="B517" s="6"/>
      <c r="C517" t="s">
        <v>584</v>
      </c>
      <c r="D517" t="s">
        <v>580</v>
      </c>
      <c r="E517">
        <v>10</v>
      </c>
      <c r="F517" t="str">
        <f>_xlfn.XLOOKUP(RAW_DATA_COL[[#This Row],[MATERIAL_ID]],DIM_MATERIAL[MATERIAL_ID],DIM_MATERIAL[UOM_IN])</f>
        <v>BAG</v>
      </c>
    </row>
    <row r="518" spans="2:6" x14ac:dyDescent="0.2">
      <c r="B518" s="3">
        <v>45981</v>
      </c>
      <c r="C518" t="s">
        <v>11</v>
      </c>
      <c r="D518" t="s">
        <v>1</v>
      </c>
      <c r="E518">
        <v>442.2</v>
      </c>
      <c r="F518" t="str">
        <f>_xlfn.XLOOKUP(RAW_DATA_COL[[#This Row],[MATERIAL_ID]],DIM_MATERIAL[MATERIAL_ID],DIM_MATERIAL[UOM_IN])</f>
        <v>KG</v>
      </c>
    </row>
    <row r="519" spans="2:6" x14ac:dyDescent="0.2">
      <c r="B519" s="3"/>
      <c r="C519" t="s">
        <v>12</v>
      </c>
      <c r="D519" t="s">
        <v>1</v>
      </c>
      <c r="E519">
        <v>297</v>
      </c>
      <c r="F519" t="str">
        <f>_xlfn.XLOOKUP(RAW_DATA_COL[[#This Row],[MATERIAL_ID]],DIM_MATERIAL[MATERIAL_ID],DIM_MATERIAL[UOM_IN])</f>
        <v>KG</v>
      </c>
    </row>
    <row r="520" spans="2:6" x14ac:dyDescent="0.2">
      <c r="B520" s="3">
        <v>45982</v>
      </c>
      <c r="C520" t="s">
        <v>11</v>
      </c>
      <c r="D520" t="s">
        <v>1</v>
      </c>
      <c r="E520">
        <v>223</v>
      </c>
      <c r="F520" t="str">
        <f>_xlfn.XLOOKUP(RAW_DATA_COL[[#This Row],[MATERIAL_ID]],DIM_MATERIAL[MATERIAL_ID],DIM_MATERIAL[UOM_IN])</f>
        <v>KG</v>
      </c>
    </row>
    <row r="521" spans="2:6" x14ac:dyDescent="0.2">
      <c r="B521" s="3">
        <v>45985</v>
      </c>
      <c r="C521" t="s">
        <v>11</v>
      </c>
      <c r="D521" t="s">
        <v>1</v>
      </c>
      <c r="E521">
        <v>530.20000000000005</v>
      </c>
      <c r="F521" t="str">
        <f>_xlfn.XLOOKUP(RAW_DATA_COL[[#This Row],[MATERIAL_ID]],DIM_MATERIAL[MATERIAL_ID],DIM_MATERIAL[UOM_IN])</f>
        <v>KG</v>
      </c>
    </row>
    <row r="522" spans="2:6" x14ac:dyDescent="0.2">
      <c r="B522" s="3"/>
      <c r="C522" t="s">
        <v>12</v>
      </c>
      <c r="D522" t="s">
        <v>1</v>
      </c>
      <c r="E522">
        <v>300</v>
      </c>
      <c r="F522" t="str">
        <f>_xlfn.XLOOKUP(RAW_DATA_COL[[#This Row],[MATERIAL_ID]],DIM_MATERIAL[MATERIAL_ID],DIM_MATERIAL[UOM_IN])</f>
        <v>KG</v>
      </c>
    </row>
    <row r="523" spans="2:6" x14ac:dyDescent="0.2">
      <c r="B523" s="3">
        <v>45986</v>
      </c>
      <c r="C523" t="s">
        <v>11</v>
      </c>
      <c r="D523" t="s">
        <v>1</v>
      </c>
      <c r="E523">
        <v>739.2</v>
      </c>
      <c r="F523" t="str">
        <f>_xlfn.XLOOKUP(RAW_DATA_COL[[#This Row],[MATERIAL_ID]],DIM_MATERIAL[MATERIAL_ID],DIM_MATERIAL[UOM_IN])</f>
        <v>KG</v>
      </c>
    </row>
    <row r="524" spans="2:6" x14ac:dyDescent="0.2">
      <c r="B524" s="3"/>
      <c r="C524" t="s">
        <v>12</v>
      </c>
      <c r="D524" t="s">
        <v>1</v>
      </c>
      <c r="E524">
        <v>300</v>
      </c>
      <c r="F524" t="str">
        <f>_xlfn.XLOOKUP(RAW_DATA_COL[[#This Row],[MATERIAL_ID]],DIM_MATERIAL[MATERIAL_ID],DIM_MATERIAL[UOM_IN])</f>
        <v>KG</v>
      </c>
    </row>
    <row r="525" spans="2:6" x14ac:dyDescent="0.2">
      <c r="B525" s="3">
        <v>45987</v>
      </c>
      <c r="C525" t="s">
        <v>11</v>
      </c>
      <c r="D525" t="s">
        <v>1</v>
      </c>
      <c r="E525">
        <v>840.8</v>
      </c>
      <c r="F525" t="str">
        <f>_xlfn.XLOOKUP(RAW_DATA_COL[[#This Row],[MATERIAL_ID]],DIM_MATERIAL[MATERIAL_ID],DIM_MATERIAL[UOM_IN])</f>
        <v>KG</v>
      </c>
    </row>
    <row r="526" spans="2:6" x14ac:dyDescent="0.2">
      <c r="B526" s="3"/>
      <c r="C526" t="s">
        <v>12</v>
      </c>
      <c r="D526" t="s">
        <v>1</v>
      </c>
      <c r="E526">
        <v>253.4</v>
      </c>
      <c r="F526" t="str">
        <f>_xlfn.XLOOKUP(RAW_DATA_COL[[#This Row],[MATERIAL_ID]],DIM_MATERIAL[MATERIAL_ID],DIM_MATERIAL[UOM_IN])</f>
        <v>KG</v>
      </c>
    </row>
    <row r="527" spans="2:6" x14ac:dyDescent="0.2">
      <c r="B527" s="3">
        <v>45988</v>
      </c>
      <c r="C527" t="s">
        <v>11</v>
      </c>
      <c r="D527" t="s">
        <v>1</v>
      </c>
      <c r="E527">
        <v>924</v>
      </c>
      <c r="F527" t="str">
        <f>_xlfn.XLOOKUP(RAW_DATA_COL[[#This Row],[MATERIAL_ID]],DIM_MATERIAL[MATERIAL_ID],DIM_MATERIAL[UOM_IN])</f>
        <v>KG</v>
      </c>
    </row>
    <row r="528" spans="2:6" x14ac:dyDescent="0.2">
      <c r="B528" s="3"/>
      <c r="C528" t="s">
        <v>12</v>
      </c>
      <c r="D528" t="s">
        <v>1</v>
      </c>
      <c r="E528">
        <v>102</v>
      </c>
      <c r="F528" t="str">
        <f>_xlfn.XLOOKUP(RAW_DATA_COL[[#This Row],[MATERIAL_ID]],DIM_MATERIAL[MATERIAL_ID],DIM_MATERIAL[UOM_IN])</f>
        <v>KG</v>
      </c>
    </row>
    <row r="529" spans="2:6" x14ac:dyDescent="0.2">
      <c r="B529" s="3">
        <v>45989</v>
      </c>
      <c r="C529" t="s">
        <v>11</v>
      </c>
      <c r="D529" t="s">
        <v>1</v>
      </c>
      <c r="E529">
        <v>670.2</v>
      </c>
      <c r="F529" t="str">
        <f>_xlfn.XLOOKUP(RAW_DATA_COL[[#This Row],[MATERIAL_ID]],DIM_MATERIAL[MATERIAL_ID],DIM_MATERIAL[UOM_IN])</f>
        <v>KG</v>
      </c>
    </row>
    <row r="530" spans="2:6" x14ac:dyDescent="0.2">
      <c r="B530" s="3"/>
      <c r="C530" t="s">
        <v>12</v>
      </c>
      <c r="D530" t="s">
        <v>1</v>
      </c>
      <c r="E530">
        <v>180</v>
      </c>
      <c r="F530" t="str">
        <f>_xlfn.XLOOKUP(RAW_DATA_COL[[#This Row],[MATERIAL_ID]],DIM_MATERIAL[MATERIAL_ID],DIM_MATERIAL[UOM_IN])</f>
        <v>KG</v>
      </c>
    </row>
    <row r="531" spans="2:6" x14ac:dyDescent="0.2">
      <c r="B531" s="3">
        <v>45990</v>
      </c>
      <c r="C531" t="s">
        <v>11</v>
      </c>
      <c r="D531" t="s">
        <v>1</v>
      </c>
      <c r="E531">
        <v>678</v>
      </c>
      <c r="F531" t="str">
        <f>_xlfn.XLOOKUP(RAW_DATA_COL[[#This Row],[MATERIAL_ID]],DIM_MATERIAL[MATERIAL_ID],DIM_MATERIAL[UOM_IN])</f>
        <v>KG</v>
      </c>
    </row>
    <row r="532" spans="2:6" x14ac:dyDescent="0.2">
      <c r="B532" s="3"/>
      <c r="C532" t="s">
        <v>11</v>
      </c>
      <c r="D532" t="s">
        <v>2</v>
      </c>
      <c r="E532">
        <v>97</v>
      </c>
      <c r="F532" t="str">
        <f>_xlfn.XLOOKUP(RAW_DATA_COL[[#This Row],[MATERIAL_ID]],DIM_MATERIAL[MATERIAL_ID],DIM_MATERIAL[UOM_IN])</f>
        <v>PCS</v>
      </c>
    </row>
    <row r="533" spans="2:6" x14ac:dyDescent="0.2">
      <c r="B533" s="3">
        <v>45992</v>
      </c>
      <c r="C533" t="s">
        <v>11</v>
      </c>
      <c r="D533" t="s">
        <v>1</v>
      </c>
      <c r="E533" t="s">
        <v>488</v>
      </c>
      <c r="F533" t="str">
        <f>_xlfn.XLOOKUP(RAW_DATA_COL[[#This Row],[MATERIAL_ID]],DIM_MATERIAL[MATERIAL_ID],DIM_MATERIAL[UOM_IN])</f>
        <v>KG</v>
      </c>
    </row>
    <row r="534" spans="2:6" x14ac:dyDescent="0.2">
      <c r="B534" s="3">
        <v>45993</v>
      </c>
      <c r="C534" t="s">
        <v>11</v>
      </c>
      <c r="D534" t="s">
        <v>1</v>
      </c>
      <c r="E534" t="s">
        <v>489</v>
      </c>
      <c r="F534" t="str">
        <f>_xlfn.XLOOKUP(RAW_DATA_COL[[#This Row],[MATERIAL_ID]],DIM_MATERIAL[MATERIAL_ID],DIM_MATERIAL[UOM_IN])</f>
        <v>KG</v>
      </c>
    </row>
    <row r="535" spans="2:6" x14ac:dyDescent="0.2">
      <c r="B535" s="3"/>
      <c r="C535" t="s">
        <v>11</v>
      </c>
      <c r="D535" t="s">
        <v>2</v>
      </c>
      <c r="E535">
        <v>140</v>
      </c>
      <c r="F535" t="str">
        <f>_xlfn.XLOOKUP(RAW_DATA_COL[[#This Row],[MATERIAL_ID]],DIM_MATERIAL[MATERIAL_ID],DIM_MATERIAL[UOM_IN])</f>
        <v>PCS</v>
      </c>
    </row>
    <row r="536" spans="2:6" x14ac:dyDescent="0.2">
      <c r="B536" s="3"/>
      <c r="C536" t="s">
        <v>12</v>
      </c>
      <c r="D536" t="s">
        <v>1</v>
      </c>
      <c r="E536">
        <v>315</v>
      </c>
      <c r="F536" t="str">
        <f>_xlfn.XLOOKUP(RAW_DATA_COL[[#This Row],[MATERIAL_ID]],DIM_MATERIAL[MATERIAL_ID],DIM_MATERIAL[UOM_IN])</f>
        <v>KG</v>
      </c>
    </row>
    <row r="537" spans="2:6" x14ac:dyDescent="0.2">
      <c r="B537" s="3">
        <v>45995</v>
      </c>
      <c r="C537" t="s">
        <v>11</v>
      </c>
      <c r="D537" t="s">
        <v>1</v>
      </c>
      <c r="E537" t="s">
        <v>490</v>
      </c>
      <c r="F537" t="str">
        <f>_xlfn.XLOOKUP(RAW_DATA_COL[[#This Row],[MATERIAL_ID]],DIM_MATERIAL[MATERIAL_ID],DIM_MATERIAL[UOM_IN])</f>
        <v>KG</v>
      </c>
    </row>
    <row r="538" spans="2:6" x14ac:dyDescent="0.2">
      <c r="B538" s="3"/>
      <c r="C538" t="s">
        <v>12</v>
      </c>
      <c r="D538" t="s">
        <v>1</v>
      </c>
      <c r="E538">
        <v>320</v>
      </c>
      <c r="F538" t="str">
        <f>_xlfn.XLOOKUP(RAW_DATA_COL[[#This Row],[MATERIAL_ID]],DIM_MATERIAL[MATERIAL_ID],DIM_MATERIAL[UOM_IN])</f>
        <v>KG</v>
      </c>
    </row>
    <row r="539" spans="2:6" x14ac:dyDescent="0.2">
      <c r="B539" s="3">
        <v>45996</v>
      </c>
      <c r="C539" t="s">
        <v>11</v>
      </c>
      <c r="D539" t="s">
        <v>1</v>
      </c>
      <c r="E539" t="s">
        <v>491</v>
      </c>
      <c r="F539" t="str">
        <f>_xlfn.XLOOKUP(RAW_DATA_COL[[#This Row],[MATERIAL_ID]],DIM_MATERIAL[MATERIAL_ID],DIM_MATERIAL[UOM_IN])</f>
        <v>KG</v>
      </c>
    </row>
    <row r="540" spans="2:6" x14ac:dyDescent="0.2">
      <c r="B540" s="3"/>
      <c r="C540" t="s">
        <v>12</v>
      </c>
      <c r="D540" t="s">
        <v>1</v>
      </c>
      <c r="E540">
        <v>238</v>
      </c>
      <c r="F540" t="str">
        <f>_xlfn.XLOOKUP(RAW_DATA_COL[[#This Row],[MATERIAL_ID]],DIM_MATERIAL[MATERIAL_ID],DIM_MATERIAL[UOM_IN])</f>
        <v>KG</v>
      </c>
    </row>
    <row r="541" spans="2:6" x14ac:dyDescent="0.2">
      <c r="B541" s="3">
        <v>45997</v>
      </c>
      <c r="C541" t="s">
        <v>11</v>
      </c>
      <c r="D541" t="s">
        <v>1</v>
      </c>
      <c r="E541" t="s">
        <v>492</v>
      </c>
      <c r="F541" t="str">
        <f>_xlfn.XLOOKUP(RAW_DATA_COL[[#This Row],[MATERIAL_ID]],DIM_MATERIAL[MATERIAL_ID],DIM_MATERIAL[UOM_IN])</f>
        <v>KG</v>
      </c>
    </row>
    <row r="542" spans="2:6" x14ac:dyDescent="0.2">
      <c r="B542" s="3"/>
      <c r="C542" t="s">
        <v>12</v>
      </c>
      <c r="D542" t="s">
        <v>1</v>
      </c>
      <c r="E542">
        <v>313</v>
      </c>
      <c r="F542" t="str">
        <f>_xlfn.XLOOKUP(RAW_DATA_COL[[#This Row],[MATERIAL_ID]],DIM_MATERIAL[MATERIAL_ID],DIM_MATERIAL[UOM_IN])</f>
        <v>KG</v>
      </c>
    </row>
    <row r="543" spans="2:6" x14ac:dyDescent="0.2">
      <c r="B543" s="3">
        <v>45999</v>
      </c>
      <c r="C543" t="s">
        <v>11</v>
      </c>
      <c r="D543" t="s">
        <v>1</v>
      </c>
      <c r="E543">
        <v>1599</v>
      </c>
      <c r="F543" t="str">
        <f>_xlfn.XLOOKUP(RAW_DATA_COL[[#This Row],[MATERIAL_ID]],DIM_MATERIAL[MATERIAL_ID],DIM_MATERIAL[UOM_IN])</f>
        <v>KG</v>
      </c>
    </row>
    <row r="544" spans="2:6" x14ac:dyDescent="0.2">
      <c r="B544" s="3"/>
      <c r="C544" t="s">
        <v>12</v>
      </c>
      <c r="D544" t="s">
        <v>1</v>
      </c>
      <c r="E544">
        <v>253</v>
      </c>
      <c r="F544" t="str">
        <f>_xlfn.XLOOKUP(RAW_DATA_COL[[#This Row],[MATERIAL_ID]],DIM_MATERIAL[MATERIAL_ID],DIM_MATERIAL[UOM_IN])</f>
        <v>KG</v>
      </c>
    </row>
    <row r="545" spans="2:6" x14ac:dyDescent="0.2">
      <c r="B545" s="3">
        <v>46000</v>
      </c>
      <c r="C545" t="s">
        <v>11</v>
      </c>
      <c r="D545" t="s">
        <v>1</v>
      </c>
      <c r="E545" t="s">
        <v>493</v>
      </c>
      <c r="F545" t="str">
        <f>_xlfn.XLOOKUP(RAW_DATA_COL[[#This Row],[MATERIAL_ID]],DIM_MATERIAL[MATERIAL_ID],DIM_MATERIAL[UOM_IN])</f>
        <v>KG</v>
      </c>
    </row>
    <row r="546" spans="2:6" x14ac:dyDescent="0.2">
      <c r="B546" s="3"/>
      <c r="C546" t="s">
        <v>11</v>
      </c>
      <c r="D546" t="s">
        <v>2</v>
      </c>
      <c r="E546">
        <v>67</v>
      </c>
      <c r="F546" t="str">
        <f>_xlfn.XLOOKUP(RAW_DATA_COL[[#This Row],[MATERIAL_ID]],DIM_MATERIAL[MATERIAL_ID],DIM_MATERIAL[UOM_IN])</f>
        <v>PCS</v>
      </c>
    </row>
    <row r="547" spans="2:6" x14ac:dyDescent="0.2">
      <c r="B547" s="3">
        <v>46001</v>
      </c>
      <c r="C547" t="s">
        <v>11</v>
      </c>
      <c r="D547" t="s">
        <v>1</v>
      </c>
      <c r="E547" t="s">
        <v>494</v>
      </c>
      <c r="F547" t="str">
        <f>_xlfn.XLOOKUP(RAW_DATA_COL[[#This Row],[MATERIAL_ID]],DIM_MATERIAL[MATERIAL_ID],DIM_MATERIAL[UOM_IN])</f>
        <v>KG</v>
      </c>
    </row>
    <row r="548" spans="2:6" x14ac:dyDescent="0.2">
      <c r="B548" s="3"/>
      <c r="C548" t="s">
        <v>11</v>
      </c>
      <c r="D548" t="s">
        <v>2</v>
      </c>
      <c r="E548">
        <v>92</v>
      </c>
      <c r="F548" t="str">
        <f>_xlfn.XLOOKUP(RAW_DATA_COL[[#This Row],[MATERIAL_ID]],DIM_MATERIAL[MATERIAL_ID],DIM_MATERIAL[UOM_IN])</f>
        <v>PCS</v>
      </c>
    </row>
    <row r="549" spans="2:6" x14ac:dyDescent="0.2">
      <c r="B549" s="3"/>
      <c r="C549" t="s">
        <v>12</v>
      </c>
      <c r="D549" t="s">
        <v>1</v>
      </c>
      <c r="E549">
        <v>643</v>
      </c>
      <c r="F549" t="str">
        <f>_xlfn.XLOOKUP(RAW_DATA_COL[[#This Row],[MATERIAL_ID]],DIM_MATERIAL[MATERIAL_ID],DIM_MATERIAL[UOM_IN])</f>
        <v>KG</v>
      </c>
    </row>
    <row r="550" spans="2:6" x14ac:dyDescent="0.2">
      <c r="B550" s="3">
        <v>46002</v>
      </c>
      <c r="C550" t="s">
        <v>11</v>
      </c>
      <c r="D550" t="s">
        <v>1</v>
      </c>
      <c r="E550">
        <v>908.3</v>
      </c>
      <c r="F550" t="str">
        <f>_xlfn.XLOOKUP(RAW_DATA_COL[[#This Row],[MATERIAL_ID]],DIM_MATERIAL[MATERIAL_ID],DIM_MATERIAL[UOM_IN])</f>
        <v>KG</v>
      </c>
    </row>
    <row r="551" spans="2:6" x14ac:dyDescent="0.2">
      <c r="B551" s="3"/>
      <c r="C551" t="s">
        <v>11</v>
      </c>
      <c r="D551" t="s">
        <v>2</v>
      </c>
      <c r="E551">
        <v>77</v>
      </c>
      <c r="F551" t="str">
        <f>_xlfn.XLOOKUP(RAW_DATA_COL[[#This Row],[MATERIAL_ID]],DIM_MATERIAL[MATERIAL_ID],DIM_MATERIAL[UOM_IN])</f>
        <v>PCS</v>
      </c>
    </row>
    <row r="552" spans="2:6" x14ac:dyDescent="0.2">
      <c r="B552" s="3"/>
      <c r="C552" t="s">
        <v>12</v>
      </c>
      <c r="D552" t="s">
        <v>1</v>
      </c>
      <c r="E552">
        <v>322</v>
      </c>
      <c r="F552" t="str">
        <f>_xlfn.XLOOKUP(RAW_DATA_COL[[#This Row],[MATERIAL_ID]],DIM_MATERIAL[MATERIAL_ID],DIM_MATERIAL[UOM_IN])</f>
        <v>KG</v>
      </c>
    </row>
    <row r="553" spans="2:6" x14ac:dyDescent="0.2">
      <c r="B553" s="3">
        <v>46003</v>
      </c>
      <c r="C553" t="s">
        <v>11</v>
      </c>
      <c r="D553" t="s">
        <v>1</v>
      </c>
      <c r="E553">
        <v>989.8</v>
      </c>
      <c r="F553" t="str">
        <f>_xlfn.XLOOKUP(RAW_DATA_COL[[#This Row],[MATERIAL_ID]],DIM_MATERIAL[MATERIAL_ID],DIM_MATERIAL[UOM_IN])</f>
        <v>KG</v>
      </c>
    </row>
    <row r="554" spans="2:6" x14ac:dyDescent="0.2">
      <c r="B554" s="3"/>
      <c r="C554" t="s">
        <v>12</v>
      </c>
      <c r="D554" t="s">
        <v>1</v>
      </c>
      <c r="E554">
        <v>170</v>
      </c>
      <c r="F554" t="str">
        <f>_xlfn.XLOOKUP(RAW_DATA_COL[[#This Row],[MATERIAL_ID]],DIM_MATERIAL[MATERIAL_ID],DIM_MATERIAL[UOM_IN])</f>
        <v>KG</v>
      </c>
    </row>
    <row r="555" spans="2:6" x14ac:dyDescent="0.2">
      <c r="B555" s="3">
        <v>46004</v>
      </c>
      <c r="C555" t="s">
        <v>11</v>
      </c>
      <c r="D555" t="s">
        <v>1</v>
      </c>
      <c r="E555">
        <v>335.9</v>
      </c>
      <c r="F555" t="str">
        <f>_xlfn.XLOOKUP(RAW_DATA_COL[[#This Row],[MATERIAL_ID]],DIM_MATERIAL[MATERIAL_ID],DIM_MATERIAL[UOM_IN])</f>
        <v>KG</v>
      </c>
    </row>
    <row r="556" spans="2:6" x14ac:dyDescent="0.2">
      <c r="B556" s="3"/>
      <c r="C556" t="s">
        <v>11</v>
      </c>
      <c r="D556" t="s">
        <v>2</v>
      </c>
      <c r="E556">
        <v>11</v>
      </c>
      <c r="F556" t="str">
        <f>_xlfn.XLOOKUP(RAW_DATA_COL[[#This Row],[MATERIAL_ID]],DIM_MATERIAL[MATERIAL_ID],DIM_MATERIAL[UOM_IN])</f>
        <v>PCS</v>
      </c>
    </row>
    <row r="557" spans="2:6" x14ac:dyDescent="0.2">
      <c r="B557" s="3">
        <v>46006</v>
      </c>
      <c r="C557" t="s">
        <v>11</v>
      </c>
      <c r="D557" t="s">
        <v>1</v>
      </c>
      <c r="E557">
        <v>899.5</v>
      </c>
      <c r="F557" t="str">
        <f>_xlfn.XLOOKUP(RAW_DATA_COL[[#This Row],[MATERIAL_ID]],DIM_MATERIAL[MATERIAL_ID],DIM_MATERIAL[UOM_IN])</f>
        <v>KG</v>
      </c>
    </row>
    <row r="558" spans="2:6" x14ac:dyDescent="0.2">
      <c r="B558" s="3"/>
      <c r="C558" t="s">
        <v>11</v>
      </c>
      <c r="D558" t="s">
        <v>2</v>
      </c>
      <c r="E558">
        <v>33</v>
      </c>
      <c r="F558" t="str">
        <f>_xlfn.XLOOKUP(RAW_DATA_COL[[#This Row],[MATERIAL_ID]],DIM_MATERIAL[MATERIAL_ID],DIM_MATERIAL[UOM_IN])</f>
        <v>PCS</v>
      </c>
    </row>
    <row r="559" spans="2:6" x14ac:dyDescent="0.2">
      <c r="B559" s="3"/>
      <c r="C559" t="s">
        <v>12</v>
      </c>
      <c r="D559" t="s">
        <v>1</v>
      </c>
      <c r="E559">
        <v>607</v>
      </c>
      <c r="F559" t="str">
        <f>_xlfn.XLOOKUP(RAW_DATA_COL[[#This Row],[MATERIAL_ID]],DIM_MATERIAL[MATERIAL_ID],DIM_MATERIAL[UOM_IN])</f>
        <v>KG</v>
      </c>
    </row>
    <row r="560" spans="2:6" x14ac:dyDescent="0.2">
      <c r="B560" s="3">
        <v>46007</v>
      </c>
      <c r="C560" t="s">
        <v>11</v>
      </c>
      <c r="D560" t="s">
        <v>1</v>
      </c>
      <c r="E560">
        <v>337</v>
      </c>
      <c r="F560" t="str">
        <f>_xlfn.XLOOKUP(RAW_DATA_COL[[#This Row],[MATERIAL_ID]],DIM_MATERIAL[MATERIAL_ID],DIM_MATERIAL[UOM_IN])</f>
        <v>KG</v>
      </c>
    </row>
    <row r="561" spans="2:6" x14ac:dyDescent="0.2">
      <c r="B561" s="3"/>
      <c r="C561" t="s">
        <v>11</v>
      </c>
      <c r="D561" t="s">
        <v>2</v>
      </c>
      <c r="E561">
        <v>3</v>
      </c>
      <c r="F561" t="str">
        <f>_xlfn.XLOOKUP(RAW_DATA_COL[[#This Row],[MATERIAL_ID]],DIM_MATERIAL[MATERIAL_ID],DIM_MATERIAL[UOM_IN])</f>
        <v>PCS</v>
      </c>
    </row>
    <row r="562" spans="2:6" x14ac:dyDescent="0.2">
      <c r="B562" s="3"/>
      <c r="C562" t="s">
        <v>12</v>
      </c>
      <c r="D562" t="s">
        <v>1</v>
      </c>
      <c r="E562">
        <v>113</v>
      </c>
      <c r="F562" t="str">
        <f>_xlfn.XLOOKUP(RAW_DATA_COL[[#This Row],[MATERIAL_ID]],DIM_MATERIAL[MATERIAL_ID],DIM_MATERIAL[UOM_IN])</f>
        <v>KG</v>
      </c>
    </row>
    <row r="563" spans="2:6" x14ac:dyDescent="0.2">
      <c r="B563" s="3">
        <v>46008</v>
      </c>
      <c r="C563" t="s">
        <v>11</v>
      </c>
      <c r="D563" t="s">
        <v>1</v>
      </c>
      <c r="E563">
        <v>768.9</v>
      </c>
      <c r="F563" t="str">
        <f>_xlfn.XLOOKUP(RAW_DATA_COL[[#This Row],[MATERIAL_ID]],DIM_MATERIAL[MATERIAL_ID],DIM_MATERIAL[UOM_IN])</f>
        <v>KG</v>
      </c>
    </row>
    <row r="564" spans="2:6" x14ac:dyDescent="0.2">
      <c r="B564" s="3"/>
      <c r="C564" t="s">
        <v>11</v>
      </c>
      <c r="D564" t="s">
        <v>2</v>
      </c>
      <c r="E564">
        <v>45</v>
      </c>
      <c r="F564" t="str">
        <f>_xlfn.XLOOKUP(RAW_DATA_COL[[#This Row],[MATERIAL_ID]],DIM_MATERIAL[MATERIAL_ID],DIM_MATERIAL[UOM_IN])</f>
        <v>PCS</v>
      </c>
    </row>
    <row r="565" spans="2:6" x14ac:dyDescent="0.2">
      <c r="B565" s="3"/>
      <c r="C565" t="s">
        <v>12</v>
      </c>
      <c r="D565" t="s">
        <v>1</v>
      </c>
      <c r="E565">
        <v>417</v>
      </c>
      <c r="F565" t="str">
        <f>_xlfn.XLOOKUP(RAW_DATA_COL[[#This Row],[MATERIAL_ID]],DIM_MATERIAL[MATERIAL_ID],DIM_MATERIAL[UOM_IN])</f>
        <v>KG</v>
      </c>
    </row>
    <row r="566" spans="2:6" x14ac:dyDescent="0.2">
      <c r="B566" s="3">
        <v>46009</v>
      </c>
      <c r="C566" t="s">
        <v>11</v>
      </c>
      <c r="D566" t="s">
        <v>1</v>
      </c>
      <c r="E566">
        <v>675.9</v>
      </c>
      <c r="F566" t="str">
        <f>_xlfn.XLOOKUP(RAW_DATA_COL[[#This Row],[MATERIAL_ID]],DIM_MATERIAL[MATERIAL_ID],DIM_MATERIAL[UOM_IN])</f>
        <v>KG</v>
      </c>
    </row>
    <row r="567" spans="2:6" x14ac:dyDescent="0.2">
      <c r="B567" s="3"/>
      <c r="C567" t="s">
        <v>12</v>
      </c>
      <c r="D567" t="s">
        <v>1</v>
      </c>
      <c r="E567">
        <v>203</v>
      </c>
      <c r="F567" t="str">
        <f>_xlfn.XLOOKUP(RAW_DATA_COL[[#This Row],[MATERIAL_ID]],DIM_MATERIAL[MATERIAL_ID],DIM_MATERIAL[UOM_IN])</f>
        <v>KG</v>
      </c>
    </row>
    <row r="568" spans="2:6" x14ac:dyDescent="0.2">
      <c r="B568" s="3">
        <v>46010</v>
      </c>
      <c r="C568" t="s">
        <v>11</v>
      </c>
      <c r="D568" t="s">
        <v>1</v>
      </c>
      <c r="E568">
        <v>1798.4</v>
      </c>
      <c r="F568" t="str">
        <f>_xlfn.XLOOKUP(RAW_DATA_COL[[#This Row],[MATERIAL_ID]],DIM_MATERIAL[MATERIAL_ID],DIM_MATERIAL[UOM_IN])</f>
        <v>KG</v>
      </c>
    </row>
    <row r="569" spans="2:6" x14ac:dyDescent="0.2">
      <c r="B569" s="3"/>
      <c r="C569" t="s">
        <v>11</v>
      </c>
      <c r="D569" t="s">
        <v>2</v>
      </c>
      <c r="E569">
        <v>40</v>
      </c>
      <c r="F569" t="str">
        <f>_xlfn.XLOOKUP(RAW_DATA_COL[[#This Row],[MATERIAL_ID]],DIM_MATERIAL[MATERIAL_ID],DIM_MATERIAL[UOM_IN])</f>
        <v>PCS</v>
      </c>
    </row>
    <row r="570" spans="2:6" x14ac:dyDescent="0.2">
      <c r="B570" s="3"/>
      <c r="C570" t="s">
        <v>12</v>
      </c>
      <c r="D570" t="s">
        <v>1</v>
      </c>
      <c r="E570">
        <v>527</v>
      </c>
      <c r="F570" t="str">
        <f>_xlfn.XLOOKUP(RAW_DATA_COL[[#This Row],[MATERIAL_ID]],DIM_MATERIAL[MATERIAL_ID],DIM_MATERIAL[UOM_IN])</f>
        <v>KG</v>
      </c>
    </row>
    <row r="571" spans="2:6" x14ac:dyDescent="0.2">
      <c r="B571" s="3">
        <v>46013</v>
      </c>
      <c r="C571" t="s">
        <v>11</v>
      </c>
      <c r="D571" t="s">
        <v>1</v>
      </c>
      <c r="E571">
        <v>1123</v>
      </c>
      <c r="F571" t="str">
        <f>_xlfn.XLOOKUP(RAW_DATA_COL[[#This Row],[MATERIAL_ID]],DIM_MATERIAL[MATERIAL_ID],DIM_MATERIAL[UOM_IN])</f>
        <v>KG</v>
      </c>
    </row>
    <row r="572" spans="2:6" x14ac:dyDescent="0.2">
      <c r="B572" s="3"/>
      <c r="C572" t="s">
        <v>12</v>
      </c>
      <c r="D572" t="s">
        <v>1</v>
      </c>
      <c r="E572">
        <v>689</v>
      </c>
      <c r="F572" t="str">
        <f>_xlfn.XLOOKUP(RAW_DATA_COL[[#This Row],[MATERIAL_ID]],DIM_MATERIAL[MATERIAL_ID],DIM_MATERIAL[UOM_IN])</f>
        <v>KG</v>
      </c>
    </row>
    <row r="573" spans="2:6" x14ac:dyDescent="0.2">
      <c r="B573" s="3">
        <v>46014</v>
      </c>
      <c r="C573" t="s">
        <v>11</v>
      </c>
      <c r="D573" t="s">
        <v>1</v>
      </c>
      <c r="E573">
        <v>987</v>
      </c>
      <c r="F573" t="str">
        <f>_xlfn.XLOOKUP(RAW_DATA_COL[[#This Row],[MATERIAL_ID]],DIM_MATERIAL[MATERIAL_ID],DIM_MATERIAL[UOM_IN])</f>
        <v>KG</v>
      </c>
    </row>
    <row r="574" spans="2:6" x14ac:dyDescent="0.2">
      <c r="B574" s="3">
        <v>46015</v>
      </c>
      <c r="C574" t="s">
        <v>11</v>
      </c>
      <c r="D574" t="s">
        <v>1</v>
      </c>
      <c r="E574">
        <v>877</v>
      </c>
      <c r="F574" t="str">
        <f>_xlfn.XLOOKUP(RAW_DATA_COL[[#This Row],[MATERIAL_ID]],DIM_MATERIAL[MATERIAL_ID],DIM_MATERIAL[UOM_IN])</f>
        <v>KG</v>
      </c>
    </row>
    <row r="575" spans="2:6" x14ac:dyDescent="0.2">
      <c r="B575" s="3"/>
      <c r="C575" t="s">
        <v>11</v>
      </c>
      <c r="D575" t="s">
        <v>2</v>
      </c>
      <c r="E575">
        <v>54</v>
      </c>
      <c r="F575" t="str">
        <f>_xlfn.XLOOKUP(RAW_DATA_COL[[#This Row],[MATERIAL_ID]],DIM_MATERIAL[MATERIAL_ID],DIM_MATERIAL[UOM_IN])</f>
        <v>PCS</v>
      </c>
    </row>
    <row r="576" spans="2:6" x14ac:dyDescent="0.2">
      <c r="B576" s="3">
        <v>46020</v>
      </c>
      <c r="C576" t="s">
        <v>11</v>
      </c>
      <c r="D576" t="s">
        <v>1</v>
      </c>
      <c r="E576">
        <v>656</v>
      </c>
      <c r="F576" t="str">
        <f>_xlfn.XLOOKUP(RAW_DATA_COL[[#This Row],[MATERIAL_ID]],DIM_MATERIAL[MATERIAL_ID],DIM_MATERIAL[UOM_IN])</f>
        <v>KG</v>
      </c>
    </row>
    <row r="577" spans="2:6" x14ac:dyDescent="0.2">
      <c r="B577" s="3">
        <v>46021</v>
      </c>
      <c r="C577" t="s">
        <v>11</v>
      </c>
      <c r="D577" t="s">
        <v>1</v>
      </c>
      <c r="E577">
        <v>788.9</v>
      </c>
      <c r="F577" t="str">
        <f>_xlfn.XLOOKUP(RAW_DATA_COL[[#This Row],[MATERIAL_ID]],DIM_MATERIAL[MATERIAL_ID],DIM_MATERIAL[UOM_IN])</f>
        <v>KG</v>
      </c>
    </row>
    <row r="578" spans="2:6" x14ac:dyDescent="0.2">
      <c r="B578" s="3">
        <v>46022</v>
      </c>
      <c r="C578" t="s">
        <v>11</v>
      </c>
      <c r="D578" t="s">
        <v>1</v>
      </c>
      <c r="E578">
        <v>433.2</v>
      </c>
      <c r="F578" t="str">
        <f>_xlfn.XLOOKUP(RAW_DATA_COL[[#This Row],[MATERIAL_ID]],DIM_MATERIAL[MATERIAL_ID],DIM_MATERIAL[UOM_IN])</f>
        <v>KG</v>
      </c>
    </row>
    <row r="579" spans="2:6" x14ac:dyDescent="0.2">
      <c r="B579" s="3">
        <v>46027</v>
      </c>
      <c r="C579" t="s">
        <v>11</v>
      </c>
      <c r="D579" t="s">
        <v>1</v>
      </c>
      <c r="E579">
        <v>921.9</v>
      </c>
      <c r="F579" t="str">
        <f>_xlfn.XLOOKUP(RAW_DATA_COL[[#This Row],[MATERIAL_ID]],DIM_MATERIAL[MATERIAL_ID],DIM_MATERIAL[UOM_IN])</f>
        <v>KG</v>
      </c>
    </row>
    <row r="580" spans="2:6" x14ac:dyDescent="0.2">
      <c r="B580" s="3"/>
      <c r="C580" t="s">
        <v>11</v>
      </c>
      <c r="D580" t="s">
        <v>2</v>
      </c>
      <c r="E580">
        <v>18</v>
      </c>
      <c r="F580" t="str">
        <f>_xlfn.XLOOKUP(RAW_DATA_COL[[#This Row],[MATERIAL_ID]],DIM_MATERIAL[MATERIAL_ID],DIM_MATERIAL[UOM_IN])</f>
        <v>PCS</v>
      </c>
    </row>
    <row r="581" spans="2:6" x14ac:dyDescent="0.2">
      <c r="B581" s="3"/>
      <c r="C581" t="s">
        <v>12</v>
      </c>
      <c r="D581" t="s">
        <v>1</v>
      </c>
      <c r="E581">
        <v>682</v>
      </c>
      <c r="F581" t="str">
        <f>_xlfn.XLOOKUP(RAW_DATA_COL[[#This Row],[MATERIAL_ID]],DIM_MATERIAL[MATERIAL_ID],DIM_MATERIAL[UOM_IN])</f>
        <v>KG</v>
      </c>
    </row>
    <row r="582" spans="2:6" x14ac:dyDescent="0.2">
      <c r="B582" s="3">
        <v>46028</v>
      </c>
      <c r="C582" t="s">
        <v>11</v>
      </c>
      <c r="D582" t="s">
        <v>1</v>
      </c>
      <c r="E582">
        <v>1421.1</v>
      </c>
      <c r="F582" t="str">
        <f>_xlfn.XLOOKUP(RAW_DATA_COL[[#This Row],[MATERIAL_ID]],DIM_MATERIAL[MATERIAL_ID],DIM_MATERIAL[UOM_IN])</f>
        <v>KG</v>
      </c>
    </row>
    <row r="583" spans="2:6" x14ac:dyDescent="0.2">
      <c r="B583" s="3"/>
      <c r="C583" t="s">
        <v>12</v>
      </c>
      <c r="D583" t="s">
        <v>1</v>
      </c>
      <c r="E583">
        <v>283</v>
      </c>
      <c r="F583" t="str">
        <f>_xlfn.XLOOKUP(RAW_DATA_COL[[#This Row],[MATERIAL_ID]],DIM_MATERIAL[MATERIAL_ID],DIM_MATERIAL[UOM_IN])</f>
        <v>KG</v>
      </c>
    </row>
    <row r="584" spans="2:6" x14ac:dyDescent="0.2">
      <c r="B584" s="3">
        <v>46029</v>
      </c>
      <c r="C584" t="s">
        <v>11</v>
      </c>
      <c r="D584" t="s">
        <v>1</v>
      </c>
      <c r="E584">
        <v>897.2</v>
      </c>
      <c r="F584" t="str">
        <f>_xlfn.XLOOKUP(RAW_DATA_COL[[#This Row],[MATERIAL_ID]],DIM_MATERIAL[MATERIAL_ID],DIM_MATERIAL[UOM_IN])</f>
        <v>KG</v>
      </c>
    </row>
    <row r="585" spans="2:6" x14ac:dyDescent="0.2">
      <c r="B585" s="3"/>
      <c r="C585" t="s">
        <v>11</v>
      </c>
      <c r="D585" t="s">
        <v>2</v>
      </c>
      <c r="E585">
        <v>95</v>
      </c>
      <c r="F585" t="str">
        <f>_xlfn.XLOOKUP(RAW_DATA_COL[[#This Row],[MATERIAL_ID]],DIM_MATERIAL[MATERIAL_ID],DIM_MATERIAL[UOM_IN])</f>
        <v>PCS</v>
      </c>
    </row>
    <row r="586" spans="2:6" x14ac:dyDescent="0.2">
      <c r="B586" s="3">
        <v>46030</v>
      </c>
      <c r="C586" t="s">
        <v>11</v>
      </c>
      <c r="D586" t="s">
        <v>1</v>
      </c>
      <c r="E586">
        <v>633</v>
      </c>
      <c r="F586" t="str">
        <f>_xlfn.XLOOKUP(RAW_DATA_COL[[#This Row],[MATERIAL_ID]],DIM_MATERIAL[MATERIAL_ID],DIM_MATERIAL[UOM_IN])</f>
        <v>KG</v>
      </c>
    </row>
    <row r="587" spans="2:6" x14ac:dyDescent="0.2">
      <c r="B587" s="3"/>
      <c r="C587" t="s">
        <v>12</v>
      </c>
      <c r="D587" t="s">
        <v>1</v>
      </c>
      <c r="E587">
        <v>406</v>
      </c>
      <c r="F587" t="str">
        <f>_xlfn.XLOOKUP(RAW_DATA_COL[[#This Row],[MATERIAL_ID]],DIM_MATERIAL[MATERIAL_ID],DIM_MATERIAL[UOM_IN])</f>
        <v>KG</v>
      </c>
    </row>
    <row r="588" spans="2:6" x14ac:dyDescent="0.2">
      <c r="B588" s="3">
        <v>46031</v>
      </c>
      <c r="C588" t="s">
        <v>11</v>
      </c>
      <c r="D588" t="s">
        <v>1</v>
      </c>
      <c r="E588">
        <v>557</v>
      </c>
      <c r="F588" t="str">
        <f>_xlfn.XLOOKUP(RAW_DATA_COL[[#This Row],[MATERIAL_ID]],DIM_MATERIAL[MATERIAL_ID],DIM_MATERIAL[UOM_IN])</f>
        <v>KG</v>
      </c>
    </row>
    <row r="589" spans="2:6" x14ac:dyDescent="0.2">
      <c r="B589" s="3"/>
      <c r="C589" t="s">
        <v>11</v>
      </c>
      <c r="D589" t="s">
        <v>2</v>
      </c>
      <c r="E589">
        <v>70</v>
      </c>
      <c r="F589" t="str">
        <f>_xlfn.XLOOKUP(RAW_DATA_COL[[#This Row],[MATERIAL_ID]],DIM_MATERIAL[MATERIAL_ID],DIM_MATERIAL[UOM_IN])</f>
        <v>PCS</v>
      </c>
    </row>
    <row r="590" spans="2:6" x14ac:dyDescent="0.2">
      <c r="B590" s="3">
        <v>46034</v>
      </c>
      <c r="C590" t="s">
        <v>11</v>
      </c>
      <c r="D590" t="s">
        <v>1</v>
      </c>
      <c r="E590">
        <v>911.7</v>
      </c>
      <c r="F590" t="str">
        <f>_xlfn.XLOOKUP(RAW_DATA_COL[[#This Row],[MATERIAL_ID]],DIM_MATERIAL[MATERIAL_ID],DIM_MATERIAL[UOM_IN])</f>
        <v>KG</v>
      </c>
    </row>
    <row r="591" spans="2:6" x14ac:dyDescent="0.2">
      <c r="B591" s="3"/>
      <c r="C591" t="s">
        <v>11</v>
      </c>
      <c r="D591" t="s">
        <v>2</v>
      </c>
      <c r="E591">
        <v>38</v>
      </c>
      <c r="F591" t="str">
        <f>_xlfn.XLOOKUP(RAW_DATA_COL[[#This Row],[MATERIAL_ID]],DIM_MATERIAL[MATERIAL_ID],DIM_MATERIAL[UOM_IN])</f>
        <v>PCS</v>
      </c>
    </row>
    <row r="592" spans="2:6" x14ac:dyDescent="0.2">
      <c r="B592" s="3"/>
      <c r="C592" t="s">
        <v>12</v>
      </c>
      <c r="D592" t="s">
        <v>1</v>
      </c>
      <c r="E592">
        <v>351</v>
      </c>
      <c r="F592" t="str">
        <f>_xlfn.XLOOKUP(RAW_DATA_COL[[#This Row],[MATERIAL_ID]],DIM_MATERIAL[MATERIAL_ID],DIM_MATERIAL[UOM_IN])</f>
        <v>KG</v>
      </c>
    </row>
    <row r="593" spans="2:6" x14ac:dyDescent="0.2">
      <c r="B593" s="3">
        <v>46036</v>
      </c>
      <c r="C593" t="s">
        <v>11</v>
      </c>
      <c r="D593" t="s">
        <v>1</v>
      </c>
      <c r="E593">
        <v>421.1</v>
      </c>
      <c r="F593" t="str">
        <f>_xlfn.XLOOKUP(RAW_DATA_COL[[#This Row],[MATERIAL_ID]],DIM_MATERIAL[MATERIAL_ID],DIM_MATERIAL[UOM_IN])</f>
        <v>KG</v>
      </c>
    </row>
    <row r="594" spans="2:6" x14ac:dyDescent="0.2">
      <c r="B594" s="3"/>
      <c r="C594" t="s">
        <v>12</v>
      </c>
      <c r="D594" t="s">
        <v>1</v>
      </c>
      <c r="E594">
        <v>647</v>
      </c>
      <c r="F594" t="str">
        <f>_xlfn.XLOOKUP(RAW_DATA_COL[[#This Row],[MATERIAL_ID]],DIM_MATERIAL[MATERIAL_ID],DIM_MATERIAL[UOM_IN])</f>
        <v>KG</v>
      </c>
    </row>
    <row r="595" spans="2:6" x14ac:dyDescent="0.2">
      <c r="B595" s="3">
        <v>46037</v>
      </c>
      <c r="C595" t="s">
        <v>11</v>
      </c>
      <c r="D595" t="s">
        <v>1</v>
      </c>
      <c r="E595">
        <v>1001</v>
      </c>
      <c r="F595" t="str">
        <f>_xlfn.XLOOKUP(RAW_DATA_COL[[#This Row],[MATERIAL_ID]],DIM_MATERIAL[MATERIAL_ID],DIM_MATERIAL[UOM_IN])</f>
        <v>KG</v>
      </c>
    </row>
    <row r="596" spans="2:6" x14ac:dyDescent="0.2">
      <c r="B596" s="3"/>
      <c r="C596" t="s">
        <v>12</v>
      </c>
      <c r="D596" t="s">
        <v>1</v>
      </c>
      <c r="E596">
        <v>660</v>
      </c>
      <c r="F596" t="str">
        <f>_xlfn.XLOOKUP(RAW_DATA_COL[[#This Row],[MATERIAL_ID]],DIM_MATERIAL[MATERIAL_ID],DIM_MATERIAL[UOM_IN])</f>
        <v>KG</v>
      </c>
    </row>
    <row r="597" spans="2:6" x14ac:dyDescent="0.2">
      <c r="B597" s="3">
        <v>46038</v>
      </c>
      <c r="C597" t="s">
        <v>11</v>
      </c>
      <c r="D597" t="s">
        <v>1</v>
      </c>
      <c r="E597">
        <v>509</v>
      </c>
      <c r="F597" t="str">
        <f>_xlfn.XLOOKUP(RAW_DATA_COL[[#This Row],[MATERIAL_ID]],DIM_MATERIAL[MATERIAL_ID],DIM_MATERIAL[UOM_IN])</f>
        <v>KG</v>
      </c>
    </row>
    <row r="598" spans="2:6" x14ac:dyDescent="0.2">
      <c r="B598" s="3"/>
      <c r="C598" t="s">
        <v>11</v>
      </c>
      <c r="D598" t="s">
        <v>2</v>
      </c>
      <c r="E598">
        <v>118</v>
      </c>
      <c r="F598" t="str">
        <f>_xlfn.XLOOKUP(RAW_DATA_COL[[#This Row],[MATERIAL_ID]],DIM_MATERIAL[MATERIAL_ID],DIM_MATERIAL[UOM_IN])</f>
        <v>PCS</v>
      </c>
    </row>
    <row r="599" spans="2:6" x14ac:dyDescent="0.2">
      <c r="B599" s="3"/>
      <c r="C599" t="s">
        <v>12</v>
      </c>
      <c r="D599" t="s">
        <v>1</v>
      </c>
      <c r="E599">
        <v>295</v>
      </c>
      <c r="F599" t="str">
        <f>_xlfn.XLOOKUP(RAW_DATA_COL[[#This Row],[MATERIAL_ID]],DIM_MATERIAL[MATERIAL_ID],DIM_MATERIAL[UOM_IN])</f>
        <v>KG</v>
      </c>
    </row>
    <row r="600" spans="2:6" x14ac:dyDescent="0.2">
      <c r="B600" s="3">
        <v>46041</v>
      </c>
      <c r="C600" t="s">
        <v>11</v>
      </c>
      <c r="D600" t="s">
        <v>1</v>
      </c>
      <c r="E600">
        <v>768</v>
      </c>
      <c r="F600" t="str">
        <f>_xlfn.XLOOKUP(RAW_DATA_COL[[#This Row],[MATERIAL_ID]],DIM_MATERIAL[MATERIAL_ID],DIM_MATERIAL[UOM_IN])</f>
        <v>KG</v>
      </c>
    </row>
    <row r="601" spans="2:6" x14ac:dyDescent="0.2">
      <c r="B601" s="3"/>
      <c r="C601" t="s">
        <v>11</v>
      </c>
      <c r="D601" t="s">
        <v>2</v>
      </c>
      <c r="E601">
        <v>16</v>
      </c>
      <c r="F601" t="str">
        <f>_xlfn.XLOOKUP(RAW_DATA_COL[[#This Row],[MATERIAL_ID]],DIM_MATERIAL[MATERIAL_ID],DIM_MATERIAL[UOM_IN])</f>
        <v>PCS</v>
      </c>
    </row>
    <row r="602" spans="2:6" x14ac:dyDescent="0.2">
      <c r="B602" s="3"/>
      <c r="C602" t="s">
        <v>12</v>
      </c>
      <c r="D602" t="s">
        <v>1</v>
      </c>
      <c r="E602">
        <v>342</v>
      </c>
      <c r="F602" t="str">
        <f>_xlfn.XLOOKUP(RAW_DATA_COL[[#This Row],[MATERIAL_ID]],DIM_MATERIAL[MATERIAL_ID],DIM_MATERIAL[UOM_IN])</f>
        <v>KG</v>
      </c>
    </row>
    <row r="603" spans="2:6" x14ac:dyDescent="0.2">
      <c r="B603" s="6"/>
      <c r="C603" t="s">
        <v>584</v>
      </c>
      <c r="D603" t="s">
        <v>580</v>
      </c>
      <c r="E603">
        <v>21</v>
      </c>
      <c r="F603" t="str">
        <f>_xlfn.XLOOKUP(RAW_DATA_COL[[#This Row],[MATERIAL_ID]],DIM_MATERIAL[MATERIAL_ID],DIM_MATERIAL[UOM_IN])</f>
        <v>BAG</v>
      </c>
    </row>
    <row r="604" spans="2:6" x14ac:dyDescent="0.2">
      <c r="B604" s="3">
        <v>46042</v>
      </c>
      <c r="C604" t="s">
        <v>11</v>
      </c>
      <c r="D604" t="s">
        <v>1</v>
      </c>
      <c r="E604">
        <v>609.6</v>
      </c>
      <c r="F604" t="str">
        <f>_xlfn.XLOOKUP(RAW_DATA_COL[[#This Row],[MATERIAL_ID]],DIM_MATERIAL[MATERIAL_ID],DIM_MATERIAL[UOM_IN])</f>
        <v>KG</v>
      </c>
    </row>
    <row r="605" spans="2:6" x14ac:dyDescent="0.2">
      <c r="B605" s="3"/>
      <c r="C605" t="s">
        <v>12</v>
      </c>
      <c r="D605" t="s">
        <v>1</v>
      </c>
      <c r="E605">
        <v>345</v>
      </c>
      <c r="F605" t="str">
        <f>_xlfn.XLOOKUP(RAW_DATA_COL[[#This Row],[MATERIAL_ID]],DIM_MATERIAL[MATERIAL_ID],DIM_MATERIAL[UOM_IN])</f>
        <v>KG</v>
      </c>
    </row>
    <row r="606" spans="2:6" x14ac:dyDescent="0.2">
      <c r="B606" s="3">
        <v>46043</v>
      </c>
      <c r="C606" t="s">
        <v>11</v>
      </c>
      <c r="D606" t="s">
        <v>1</v>
      </c>
      <c r="E606">
        <v>442.7</v>
      </c>
      <c r="F606" t="str">
        <f>_xlfn.XLOOKUP(RAW_DATA_COL[[#This Row],[MATERIAL_ID]],DIM_MATERIAL[MATERIAL_ID],DIM_MATERIAL[UOM_IN])</f>
        <v>KG</v>
      </c>
    </row>
    <row r="607" spans="2:6" x14ac:dyDescent="0.2">
      <c r="B607" s="3"/>
      <c r="C607" t="s">
        <v>11</v>
      </c>
      <c r="D607" t="s">
        <v>2</v>
      </c>
      <c r="E607">
        <v>43</v>
      </c>
      <c r="F607" t="str">
        <f>_xlfn.XLOOKUP(RAW_DATA_COL[[#This Row],[MATERIAL_ID]],DIM_MATERIAL[MATERIAL_ID],DIM_MATERIAL[UOM_IN])</f>
        <v>PCS</v>
      </c>
    </row>
    <row r="608" spans="2:6" x14ac:dyDescent="0.2">
      <c r="B608" s="3">
        <v>46044</v>
      </c>
      <c r="C608" t="s">
        <v>11</v>
      </c>
      <c r="D608" t="s">
        <v>1</v>
      </c>
      <c r="E608">
        <v>773.9</v>
      </c>
      <c r="F608" t="str">
        <f>_xlfn.XLOOKUP(RAW_DATA_COL[[#This Row],[MATERIAL_ID]],DIM_MATERIAL[MATERIAL_ID],DIM_MATERIAL[UOM_IN])</f>
        <v>KG</v>
      </c>
    </row>
    <row r="609" spans="2:6" x14ac:dyDescent="0.2">
      <c r="B609" s="3"/>
      <c r="C609" t="s">
        <v>11</v>
      </c>
      <c r="D609" t="s">
        <v>2</v>
      </c>
      <c r="E609">
        <v>17</v>
      </c>
      <c r="F609" t="str">
        <f>_xlfn.XLOOKUP(RAW_DATA_COL[[#This Row],[MATERIAL_ID]],DIM_MATERIAL[MATERIAL_ID],DIM_MATERIAL[UOM_IN])</f>
        <v>PCS</v>
      </c>
    </row>
    <row r="610" spans="2:6" x14ac:dyDescent="0.2">
      <c r="B610" s="3"/>
      <c r="C610" t="s">
        <v>12</v>
      </c>
      <c r="D610" t="s">
        <v>1</v>
      </c>
      <c r="E610">
        <v>626</v>
      </c>
      <c r="F610" t="str">
        <f>_xlfn.XLOOKUP(RAW_DATA_COL[[#This Row],[MATERIAL_ID]],DIM_MATERIAL[MATERIAL_ID],DIM_MATERIAL[UOM_IN])</f>
        <v>KG</v>
      </c>
    </row>
    <row r="611" spans="2:6" x14ac:dyDescent="0.2">
      <c r="B611" s="3">
        <v>46045</v>
      </c>
      <c r="C611" t="s">
        <v>11</v>
      </c>
      <c r="D611" t="s">
        <v>1</v>
      </c>
      <c r="E611">
        <v>456</v>
      </c>
      <c r="F611" t="str">
        <f>_xlfn.XLOOKUP(RAW_DATA_COL[[#This Row],[MATERIAL_ID]],DIM_MATERIAL[MATERIAL_ID],DIM_MATERIAL[UOM_IN])</f>
        <v>KG</v>
      </c>
    </row>
    <row r="612" spans="2:6" x14ac:dyDescent="0.2">
      <c r="B612" s="3"/>
      <c r="C612" t="s">
        <v>12</v>
      </c>
      <c r="D612" t="s">
        <v>1</v>
      </c>
      <c r="E612">
        <v>337</v>
      </c>
      <c r="F612" t="str">
        <f>_xlfn.XLOOKUP(RAW_DATA_COL[[#This Row],[MATERIAL_ID]],DIM_MATERIAL[MATERIAL_ID],DIM_MATERIAL[UOM_IN])</f>
        <v>KG</v>
      </c>
    </row>
    <row r="613" spans="2:6" x14ac:dyDescent="0.2">
      <c r="B613" s="3">
        <v>46048</v>
      </c>
      <c r="C613" t="s">
        <v>11</v>
      </c>
      <c r="D613" t="s">
        <v>1</v>
      </c>
      <c r="E613">
        <v>593</v>
      </c>
      <c r="F613" t="str">
        <f>_xlfn.XLOOKUP(RAW_DATA_COL[[#This Row],[MATERIAL_ID]],DIM_MATERIAL[MATERIAL_ID],DIM_MATERIAL[UOM_IN])</f>
        <v>KG</v>
      </c>
    </row>
    <row r="614" spans="2:6" x14ac:dyDescent="0.2">
      <c r="B614" s="3"/>
      <c r="C614" t="s">
        <v>11</v>
      </c>
      <c r="D614" t="s">
        <v>2</v>
      </c>
      <c r="E614">
        <v>33</v>
      </c>
      <c r="F614" t="str">
        <f>_xlfn.XLOOKUP(RAW_DATA_COL[[#This Row],[MATERIAL_ID]],DIM_MATERIAL[MATERIAL_ID],DIM_MATERIAL[UOM_IN])</f>
        <v>PCS</v>
      </c>
    </row>
    <row r="615" spans="2:6" x14ac:dyDescent="0.2">
      <c r="B615" s="3"/>
      <c r="C615" t="s">
        <v>12</v>
      </c>
      <c r="D615" t="s">
        <v>1</v>
      </c>
      <c r="E615">
        <v>571</v>
      </c>
      <c r="F615" t="str">
        <f>_xlfn.XLOOKUP(RAW_DATA_COL[[#This Row],[MATERIAL_ID]],DIM_MATERIAL[MATERIAL_ID],DIM_MATERIAL[UOM_IN])</f>
        <v>KG</v>
      </c>
    </row>
    <row r="616" spans="2:6" x14ac:dyDescent="0.2">
      <c r="B616" s="3">
        <v>46049</v>
      </c>
      <c r="C616" t="s">
        <v>11</v>
      </c>
      <c r="D616" t="s">
        <v>1</v>
      </c>
      <c r="E616">
        <v>532.5</v>
      </c>
      <c r="F616" t="str">
        <f>_xlfn.XLOOKUP(RAW_DATA_COL[[#This Row],[MATERIAL_ID]],DIM_MATERIAL[MATERIAL_ID],DIM_MATERIAL[UOM_IN])</f>
        <v>KG</v>
      </c>
    </row>
    <row r="617" spans="2:6" x14ac:dyDescent="0.2">
      <c r="B617" s="3"/>
      <c r="C617" t="s">
        <v>11</v>
      </c>
      <c r="D617" t="s">
        <v>2</v>
      </c>
      <c r="E617">
        <v>72</v>
      </c>
      <c r="F617" t="str">
        <f>_xlfn.XLOOKUP(RAW_DATA_COL[[#This Row],[MATERIAL_ID]],DIM_MATERIAL[MATERIAL_ID],DIM_MATERIAL[UOM_IN])</f>
        <v>PCS</v>
      </c>
    </row>
    <row r="618" spans="2:6" x14ac:dyDescent="0.2">
      <c r="B618" s="3"/>
      <c r="C618" t="s">
        <v>12</v>
      </c>
      <c r="D618" t="s">
        <v>1</v>
      </c>
      <c r="E618">
        <v>680</v>
      </c>
      <c r="F618" t="str">
        <f>_xlfn.XLOOKUP(RAW_DATA_COL[[#This Row],[MATERIAL_ID]],DIM_MATERIAL[MATERIAL_ID],DIM_MATERIAL[UOM_IN])</f>
        <v>KG</v>
      </c>
    </row>
    <row r="619" spans="2:6" x14ac:dyDescent="0.2">
      <c r="B619" s="3">
        <v>46050</v>
      </c>
      <c r="C619" t="s">
        <v>11</v>
      </c>
      <c r="D619" t="s">
        <v>1</v>
      </c>
      <c r="E619">
        <v>931</v>
      </c>
      <c r="F619" t="str">
        <f>_xlfn.XLOOKUP(RAW_DATA_COL[[#This Row],[MATERIAL_ID]],DIM_MATERIAL[MATERIAL_ID],DIM_MATERIAL[UOM_IN])</f>
        <v>KG</v>
      </c>
    </row>
    <row r="620" spans="2:6" x14ac:dyDescent="0.2">
      <c r="B620" s="3">
        <v>46051</v>
      </c>
      <c r="C620" t="s">
        <v>11</v>
      </c>
      <c r="D620" t="s">
        <v>1</v>
      </c>
      <c r="E620">
        <v>444</v>
      </c>
      <c r="F620" t="str">
        <f>_xlfn.XLOOKUP(RAW_DATA_COL[[#This Row],[MATERIAL_ID]],DIM_MATERIAL[MATERIAL_ID],DIM_MATERIAL[UOM_IN])</f>
        <v>KG</v>
      </c>
    </row>
    <row r="621" spans="2:6" x14ac:dyDescent="0.2">
      <c r="B621" s="3"/>
      <c r="C621" t="s">
        <v>12</v>
      </c>
      <c r="D621" t="s">
        <v>1</v>
      </c>
      <c r="E621">
        <v>211</v>
      </c>
      <c r="F621" t="str">
        <f>_xlfn.XLOOKUP(RAW_DATA_COL[[#This Row],[MATERIAL_ID]],DIM_MATERIAL[MATERIAL_ID],DIM_MATERIAL[UOM_IN])</f>
        <v>KG</v>
      </c>
    </row>
    <row r="622" spans="2:6" x14ac:dyDescent="0.2">
      <c r="B622" s="3">
        <v>46052</v>
      </c>
      <c r="C622" t="s">
        <v>11</v>
      </c>
      <c r="D622" t="s">
        <v>1</v>
      </c>
      <c r="E622">
        <v>755.3</v>
      </c>
      <c r="F622" t="str">
        <f>_xlfn.XLOOKUP(RAW_DATA_COL[[#This Row],[MATERIAL_ID]],DIM_MATERIAL[MATERIAL_ID],DIM_MATERIAL[UOM_IN])</f>
        <v>KG</v>
      </c>
    </row>
    <row r="623" spans="2:6" x14ac:dyDescent="0.2">
      <c r="B623" s="3">
        <v>46055</v>
      </c>
      <c r="C623" t="s">
        <v>11</v>
      </c>
      <c r="D623" t="s">
        <v>1</v>
      </c>
      <c r="E623">
        <v>945</v>
      </c>
      <c r="F623" t="str">
        <f>_xlfn.XLOOKUP(RAW_DATA_COL[[#This Row],[MATERIAL_ID]],DIM_MATERIAL[MATERIAL_ID],DIM_MATERIAL[UOM_IN])</f>
        <v>KG</v>
      </c>
    </row>
    <row r="624" spans="2:6" x14ac:dyDescent="0.2">
      <c r="B624" s="3"/>
      <c r="C624" t="s">
        <v>11</v>
      </c>
      <c r="D624" t="s">
        <v>2</v>
      </c>
      <c r="E624">
        <v>66</v>
      </c>
      <c r="F624" t="str">
        <f>_xlfn.XLOOKUP(RAW_DATA_COL[[#This Row],[MATERIAL_ID]],DIM_MATERIAL[MATERIAL_ID],DIM_MATERIAL[UOM_IN])</f>
        <v>PCS</v>
      </c>
    </row>
    <row r="625" spans="2:6" x14ac:dyDescent="0.2">
      <c r="B625" s="3">
        <v>46056</v>
      </c>
      <c r="C625" t="s">
        <v>11</v>
      </c>
      <c r="D625" t="s">
        <v>1</v>
      </c>
      <c r="E625">
        <v>637.20000000000005</v>
      </c>
      <c r="F625" t="str">
        <f>_xlfn.XLOOKUP(RAW_DATA_COL[[#This Row],[MATERIAL_ID]],DIM_MATERIAL[MATERIAL_ID],DIM_MATERIAL[UOM_IN])</f>
        <v>KG</v>
      </c>
    </row>
    <row r="626" spans="2:6" x14ac:dyDescent="0.2">
      <c r="B626" s="3"/>
      <c r="C626" t="s">
        <v>11</v>
      </c>
      <c r="D626" t="s">
        <v>2</v>
      </c>
      <c r="E626">
        <v>49</v>
      </c>
      <c r="F626" t="str">
        <f>_xlfn.XLOOKUP(RAW_DATA_COL[[#This Row],[MATERIAL_ID]],DIM_MATERIAL[MATERIAL_ID],DIM_MATERIAL[UOM_IN])</f>
        <v>PCS</v>
      </c>
    </row>
    <row r="627" spans="2:6" x14ac:dyDescent="0.2">
      <c r="B627" s="3">
        <v>46057</v>
      </c>
      <c r="C627" t="s">
        <v>11</v>
      </c>
      <c r="D627" t="s">
        <v>1</v>
      </c>
      <c r="E627">
        <v>507.2</v>
      </c>
      <c r="F627" t="str">
        <f>_xlfn.XLOOKUP(RAW_DATA_COL[[#This Row],[MATERIAL_ID]],DIM_MATERIAL[MATERIAL_ID],DIM_MATERIAL[UOM_IN])</f>
        <v>KG</v>
      </c>
    </row>
    <row r="628" spans="2:6" x14ac:dyDescent="0.2">
      <c r="B628" s="3"/>
      <c r="C628" t="s">
        <v>12</v>
      </c>
      <c r="D628" t="s">
        <v>1</v>
      </c>
      <c r="E628">
        <v>230</v>
      </c>
      <c r="F628" t="str">
        <f>_xlfn.XLOOKUP(RAW_DATA_COL[[#This Row],[MATERIAL_ID]],DIM_MATERIAL[MATERIAL_ID],DIM_MATERIAL[UOM_IN])</f>
        <v>KG</v>
      </c>
    </row>
    <row r="629" spans="2:6" x14ac:dyDescent="0.2">
      <c r="B629" s="3">
        <v>46058</v>
      </c>
      <c r="C629" t="s">
        <v>11</v>
      </c>
      <c r="D629" t="s">
        <v>1</v>
      </c>
      <c r="E629">
        <v>337.6</v>
      </c>
      <c r="F629" t="str">
        <f>_xlfn.XLOOKUP(RAW_DATA_COL[[#This Row],[MATERIAL_ID]],DIM_MATERIAL[MATERIAL_ID],DIM_MATERIAL[UOM_IN])</f>
        <v>KG</v>
      </c>
    </row>
    <row r="630" spans="2:6" x14ac:dyDescent="0.2">
      <c r="B630" s="3"/>
      <c r="C630" t="s">
        <v>11</v>
      </c>
      <c r="D630" t="s">
        <v>2</v>
      </c>
      <c r="E630">
        <v>25</v>
      </c>
      <c r="F630" t="str">
        <f>_xlfn.XLOOKUP(RAW_DATA_COL[[#This Row],[MATERIAL_ID]],DIM_MATERIAL[MATERIAL_ID],DIM_MATERIAL[UOM_IN])</f>
        <v>PCS</v>
      </c>
    </row>
    <row r="631" spans="2:6" x14ac:dyDescent="0.2">
      <c r="B631" s="3"/>
      <c r="C631" t="s">
        <v>12</v>
      </c>
      <c r="D631" t="s">
        <v>1</v>
      </c>
      <c r="E631">
        <v>315</v>
      </c>
      <c r="F631" t="str">
        <f>_xlfn.XLOOKUP(RAW_DATA_COL[[#This Row],[MATERIAL_ID]],DIM_MATERIAL[MATERIAL_ID],DIM_MATERIAL[UOM_IN])</f>
        <v>KG</v>
      </c>
    </row>
    <row r="632" spans="2:6" x14ac:dyDescent="0.2">
      <c r="B632" s="3">
        <v>46059</v>
      </c>
      <c r="C632" t="s">
        <v>12</v>
      </c>
      <c r="D632" t="s">
        <v>1</v>
      </c>
      <c r="E632">
        <v>579</v>
      </c>
      <c r="F632" t="str">
        <f>_xlfn.XLOOKUP(RAW_DATA_COL[[#This Row],[MATERIAL_ID]],DIM_MATERIAL[MATERIAL_ID],DIM_MATERIAL[UOM_IN])</f>
        <v>KG</v>
      </c>
    </row>
    <row r="633" spans="2:6" x14ac:dyDescent="0.2">
      <c r="B633" s="3">
        <v>46062</v>
      </c>
      <c r="C633" t="s">
        <v>11</v>
      </c>
      <c r="D633" t="s">
        <v>1</v>
      </c>
      <c r="E633">
        <v>372</v>
      </c>
      <c r="F633" t="str">
        <f>_xlfn.XLOOKUP(RAW_DATA_COL[[#This Row],[MATERIAL_ID]],DIM_MATERIAL[MATERIAL_ID],DIM_MATERIAL[UOM_IN])</f>
        <v>KG</v>
      </c>
    </row>
    <row r="634" spans="2:6" x14ac:dyDescent="0.2">
      <c r="B634" s="3"/>
      <c r="C634" t="s">
        <v>12</v>
      </c>
      <c r="D634" t="s">
        <v>1</v>
      </c>
      <c r="E634">
        <v>681</v>
      </c>
      <c r="F634" t="str">
        <f>_xlfn.XLOOKUP(RAW_DATA_COL[[#This Row],[MATERIAL_ID]],DIM_MATERIAL[MATERIAL_ID],DIM_MATERIAL[UOM_IN])</f>
        <v>KG</v>
      </c>
    </row>
    <row r="635" spans="2:6" x14ac:dyDescent="0.2">
      <c r="B635" s="3">
        <v>46063</v>
      </c>
      <c r="C635" t="s">
        <v>11</v>
      </c>
      <c r="D635" t="s">
        <v>1</v>
      </c>
      <c r="E635">
        <v>999.6</v>
      </c>
      <c r="F635" t="str">
        <f>_xlfn.XLOOKUP(RAW_DATA_COL[[#This Row],[MATERIAL_ID]],DIM_MATERIAL[MATERIAL_ID],DIM_MATERIAL[UOM_IN])</f>
        <v>KG</v>
      </c>
    </row>
    <row r="636" spans="2:6" x14ac:dyDescent="0.2">
      <c r="B636" s="3"/>
      <c r="C636" t="s">
        <v>11</v>
      </c>
      <c r="D636" t="s">
        <v>2</v>
      </c>
      <c r="E636">
        <v>140</v>
      </c>
      <c r="F636" t="str">
        <f>_xlfn.XLOOKUP(RAW_DATA_COL[[#This Row],[MATERIAL_ID]],DIM_MATERIAL[MATERIAL_ID],DIM_MATERIAL[UOM_IN])</f>
        <v>PCS</v>
      </c>
    </row>
    <row r="637" spans="2:6" x14ac:dyDescent="0.2">
      <c r="B637" s="3">
        <v>46064</v>
      </c>
      <c r="C637" t="s">
        <v>11</v>
      </c>
      <c r="D637" t="s">
        <v>1</v>
      </c>
      <c r="E637">
        <v>408</v>
      </c>
      <c r="F637" t="str">
        <f>_xlfn.XLOOKUP(RAW_DATA_COL[[#This Row],[MATERIAL_ID]],DIM_MATERIAL[MATERIAL_ID],DIM_MATERIAL[UOM_IN])</f>
        <v>KG</v>
      </c>
    </row>
    <row r="638" spans="2:6" x14ac:dyDescent="0.2">
      <c r="B638" s="3"/>
      <c r="C638" t="s">
        <v>12</v>
      </c>
      <c r="D638" t="s">
        <v>1</v>
      </c>
      <c r="E638">
        <v>704</v>
      </c>
      <c r="F638" t="str">
        <f>_xlfn.XLOOKUP(RAW_DATA_COL[[#This Row],[MATERIAL_ID]],DIM_MATERIAL[MATERIAL_ID],DIM_MATERIAL[UOM_IN])</f>
        <v>KG</v>
      </c>
    </row>
    <row r="639" spans="2:6" x14ac:dyDescent="0.2">
      <c r="B639" s="3">
        <v>46066</v>
      </c>
      <c r="C639" t="s">
        <v>11</v>
      </c>
      <c r="D639" t="s">
        <v>1</v>
      </c>
      <c r="E639">
        <v>215.8</v>
      </c>
      <c r="F639" t="str">
        <f>_xlfn.XLOOKUP(RAW_DATA_COL[[#This Row],[MATERIAL_ID]],DIM_MATERIAL[MATERIAL_ID],DIM_MATERIAL[UOM_IN])</f>
        <v>KG</v>
      </c>
    </row>
    <row r="640" spans="2:6" x14ac:dyDescent="0.2">
      <c r="B640" s="3">
        <v>46067</v>
      </c>
      <c r="C640" t="s">
        <v>12</v>
      </c>
      <c r="D640" t="s">
        <v>1</v>
      </c>
      <c r="E640">
        <v>430</v>
      </c>
      <c r="F640" t="str">
        <f>_xlfn.XLOOKUP(RAW_DATA_COL[[#This Row],[MATERIAL_ID]],DIM_MATERIAL[MATERIAL_ID],DIM_MATERIAL[UOM_IN])</f>
        <v>KG</v>
      </c>
    </row>
    <row r="641" spans="2:6" x14ac:dyDescent="0.2">
      <c r="B641" s="3">
        <v>46069</v>
      </c>
      <c r="C641" t="s">
        <v>11</v>
      </c>
      <c r="D641" t="s">
        <v>1</v>
      </c>
      <c r="E641">
        <v>659</v>
      </c>
      <c r="F641" t="str">
        <f>_xlfn.XLOOKUP(RAW_DATA_COL[[#This Row],[MATERIAL_ID]],DIM_MATERIAL[MATERIAL_ID],DIM_MATERIAL[UOM_IN])</f>
        <v>KG</v>
      </c>
    </row>
    <row r="642" spans="2:6" x14ac:dyDescent="0.2">
      <c r="B642" s="3"/>
      <c r="C642" t="s">
        <v>12</v>
      </c>
      <c r="D642" t="s">
        <v>1</v>
      </c>
      <c r="E642">
        <v>208</v>
      </c>
      <c r="F642" t="str">
        <f>_xlfn.XLOOKUP(RAW_DATA_COL[[#This Row],[MATERIAL_ID]],DIM_MATERIAL[MATERIAL_ID],DIM_MATERIAL[UOM_IN])</f>
        <v>KG</v>
      </c>
    </row>
    <row r="643" spans="2:6" x14ac:dyDescent="0.2">
      <c r="B643" s="3">
        <v>46070</v>
      </c>
      <c r="C643" t="s">
        <v>12</v>
      </c>
      <c r="D643" t="s">
        <v>1</v>
      </c>
      <c r="E643">
        <v>312</v>
      </c>
      <c r="F643" t="str">
        <f>_xlfn.XLOOKUP(RAW_DATA_COL[[#This Row],[MATERIAL_ID]],DIM_MATERIAL[MATERIAL_ID],DIM_MATERIAL[UOM_IN])</f>
        <v>KG</v>
      </c>
    </row>
    <row r="644" spans="2:6" x14ac:dyDescent="0.2">
      <c r="B644" s="3">
        <v>46071</v>
      </c>
      <c r="C644" t="s">
        <v>11</v>
      </c>
      <c r="D644" t="s">
        <v>1</v>
      </c>
      <c r="E644">
        <v>1102.9000000000001</v>
      </c>
      <c r="F644" t="str">
        <f>_xlfn.XLOOKUP(RAW_DATA_COL[[#This Row],[MATERIAL_ID]],DIM_MATERIAL[MATERIAL_ID],DIM_MATERIAL[UOM_IN])</f>
        <v>KG</v>
      </c>
    </row>
    <row r="645" spans="2:6" x14ac:dyDescent="0.2">
      <c r="B645" s="3">
        <v>46072</v>
      </c>
      <c r="C645" t="s">
        <v>12</v>
      </c>
      <c r="D645" t="s">
        <v>1</v>
      </c>
      <c r="E645">
        <v>401</v>
      </c>
      <c r="F645" t="str">
        <f>_xlfn.XLOOKUP(RAW_DATA_COL[[#This Row],[MATERIAL_ID]],DIM_MATERIAL[MATERIAL_ID],DIM_MATERIAL[UOM_IN])</f>
        <v>KG</v>
      </c>
    </row>
    <row r="646" spans="2:6" x14ac:dyDescent="0.2">
      <c r="B646" s="3">
        <v>46073</v>
      </c>
      <c r="C646" t="s">
        <v>11</v>
      </c>
      <c r="D646" t="s">
        <v>1</v>
      </c>
      <c r="E646">
        <v>432</v>
      </c>
      <c r="F646" t="str">
        <f>_xlfn.XLOOKUP(RAW_DATA_COL[[#This Row],[MATERIAL_ID]],DIM_MATERIAL[MATERIAL_ID],DIM_MATERIAL[UOM_IN])</f>
        <v>KG</v>
      </c>
    </row>
    <row r="647" spans="2:6" x14ac:dyDescent="0.2">
      <c r="B647" s="3"/>
      <c r="C647" t="s">
        <v>11</v>
      </c>
      <c r="D647" t="s">
        <v>2</v>
      </c>
      <c r="E647">
        <v>116</v>
      </c>
      <c r="F647" t="str">
        <f>_xlfn.XLOOKUP(RAW_DATA_COL[[#This Row],[MATERIAL_ID]],DIM_MATERIAL[MATERIAL_ID],DIM_MATERIAL[UOM_IN])</f>
        <v>PCS</v>
      </c>
    </row>
    <row r="648" spans="2:6" x14ac:dyDescent="0.2">
      <c r="B648" s="3"/>
      <c r="C648" t="s">
        <v>12</v>
      </c>
      <c r="D648" t="s">
        <v>1</v>
      </c>
      <c r="E648">
        <v>382</v>
      </c>
      <c r="F648" t="str">
        <f>_xlfn.XLOOKUP(RAW_DATA_COL[[#This Row],[MATERIAL_ID]],DIM_MATERIAL[MATERIAL_ID],DIM_MATERIAL[UOM_IN])</f>
        <v>KG</v>
      </c>
    </row>
    <row r="649" spans="2:6" x14ac:dyDescent="0.2">
      <c r="B649" s="6"/>
      <c r="C649" t="s">
        <v>584</v>
      </c>
      <c r="D649" t="s">
        <v>580</v>
      </c>
      <c r="E649">
        <v>15</v>
      </c>
      <c r="F649" t="str">
        <f>_xlfn.XLOOKUP(RAW_DATA_COL[[#This Row],[MATERIAL_ID]],DIM_MATERIAL[MATERIAL_ID],DIM_MATERIAL[UOM_IN])</f>
        <v>BAG</v>
      </c>
    </row>
    <row r="650" spans="2:6" x14ac:dyDescent="0.2">
      <c r="B650" s="3">
        <v>46074</v>
      </c>
      <c r="C650" t="s">
        <v>12</v>
      </c>
      <c r="D650" t="s">
        <v>1</v>
      </c>
      <c r="E650">
        <v>395</v>
      </c>
      <c r="F650" t="str">
        <f>_xlfn.XLOOKUP(RAW_DATA_COL[[#This Row],[MATERIAL_ID]],DIM_MATERIAL[MATERIAL_ID],DIM_MATERIAL[UOM_IN])</f>
        <v>KG</v>
      </c>
    </row>
    <row r="651" spans="2:6" x14ac:dyDescent="0.2">
      <c r="B651" s="3">
        <v>46076</v>
      </c>
      <c r="C651" t="s">
        <v>11</v>
      </c>
      <c r="D651" t="s">
        <v>1</v>
      </c>
      <c r="E651">
        <v>554</v>
      </c>
      <c r="F651" t="str">
        <f>_xlfn.XLOOKUP(RAW_DATA_COL[[#This Row],[MATERIAL_ID]],DIM_MATERIAL[MATERIAL_ID],DIM_MATERIAL[UOM_IN])</f>
        <v>KG</v>
      </c>
    </row>
    <row r="652" spans="2:6" x14ac:dyDescent="0.2">
      <c r="B652" s="3">
        <v>46077</v>
      </c>
      <c r="C652" t="s">
        <v>11</v>
      </c>
      <c r="D652" t="s">
        <v>1</v>
      </c>
      <c r="E652">
        <v>611</v>
      </c>
      <c r="F652" t="str">
        <f>_xlfn.XLOOKUP(RAW_DATA_COL[[#This Row],[MATERIAL_ID]],DIM_MATERIAL[MATERIAL_ID],DIM_MATERIAL[UOM_IN])</f>
        <v>KG</v>
      </c>
    </row>
    <row r="653" spans="2:6" x14ac:dyDescent="0.2">
      <c r="B653" s="3"/>
      <c r="C653" t="s">
        <v>12</v>
      </c>
      <c r="D653" t="s">
        <v>1</v>
      </c>
      <c r="E653">
        <v>411</v>
      </c>
      <c r="F653" t="str">
        <f>_xlfn.XLOOKUP(RAW_DATA_COL[[#This Row],[MATERIAL_ID]],DIM_MATERIAL[MATERIAL_ID],DIM_MATERIAL[UOM_IN])</f>
        <v>KG</v>
      </c>
    </row>
    <row r="654" spans="2:6" x14ac:dyDescent="0.2">
      <c r="B654" s="3">
        <v>46079</v>
      </c>
      <c r="C654" t="s">
        <v>12</v>
      </c>
      <c r="D654" t="s">
        <v>1</v>
      </c>
      <c r="E654">
        <v>391</v>
      </c>
      <c r="F654" t="str">
        <f>_xlfn.XLOOKUP(RAW_DATA_COL[[#This Row],[MATERIAL_ID]],DIM_MATERIAL[MATERIAL_ID],DIM_MATERIAL[UOM_IN])</f>
        <v>KG</v>
      </c>
    </row>
    <row r="655" spans="2:6" x14ac:dyDescent="0.2">
      <c r="B655" s="3">
        <v>46080</v>
      </c>
      <c r="C655" t="s">
        <v>11</v>
      </c>
      <c r="D655" t="s">
        <v>1</v>
      </c>
      <c r="E655">
        <v>642.20000000000005</v>
      </c>
      <c r="F655" t="str">
        <f>_xlfn.XLOOKUP(RAW_DATA_COL[[#This Row],[MATERIAL_ID]],DIM_MATERIAL[MATERIAL_ID],DIM_MATERIAL[UOM_IN])</f>
        <v>KG</v>
      </c>
    </row>
    <row r="656" spans="2:6" x14ac:dyDescent="0.2">
      <c r="B656" s="3"/>
      <c r="C656" t="s">
        <v>11</v>
      </c>
      <c r="D656" t="s">
        <v>2</v>
      </c>
      <c r="E656">
        <v>100</v>
      </c>
      <c r="F656" t="str">
        <f>_xlfn.XLOOKUP(RAW_DATA_COL[[#This Row],[MATERIAL_ID]],DIM_MATERIAL[MATERIAL_ID],DIM_MATERIAL[UOM_IN])</f>
        <v>PCS</v>
      </c>
    </row>
    <row r="657" spans="2:6" x14ac:dyDescent="0.2">
      <c r="B657" s="3">
        <v>46083</v>
      </c>
      <c r="C657" t="s">
        <v>12</v>
      </c>
      <c r="D657" t="s">
        <v>1</v>
      </c>
      <c r="E657">
        <v>477</v>
      </c>
      <c r="F657" t="str">
        <f>_xlfn.XLOOKUP(RAW_DATA_COL[[#This Row],[MATERIAL_ID]],DIM_MATERIAL[MATERIAL_ID],DIM_MATERIAL[UOM_IN])</f>
        <v>KG</v>
      </c>
    </row>
    <row r="658" spans="2:6" x14ac:dyDescent="0.2">
      <c r="B658" s="3">
        <v>46084</v>
      </c>
      <c r="C658" t="s">
        <v>12</v>
      </c>
      <c r="D658" t="s">
        <v>1</v>
      </c>
      <c r="E658">
        <v>690</v>
      </c>
      <c r="F658" t="str">
        <f>_xlfn.XLOOKUP(RAW_DATA_COL[[#This Row],[MATERIAL_ID]],DIM_MATERIAL[MATERIAL_ID],DIM_MATERIAL[UOM_IN])</f>
        <v>KG</v>
      </c>
    </row>
    <row r="828" spans="2:2" x14ac:dyDescent="0.2">
      <c r="B828" s="1">
        <v>45810</v>
      </c>
    </row>
  </sheetData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18B95B3-D226-4E78-A069-36C3B1EC9268}">
          <x14:formula1>
            <xm:f>DIM_SOURCE!$A$2:$A$4</xm:f>
          </x14:formula1>
          <xm:sqref>C2:C658</xm:sqref>
        </x14:dataValidation>
        <x14:dataValidation type="list" allowBlank="1" showInputMessage="1" showErrorMessage="1" xr:uid="{E549695A-E0EC-40A2-B7D1-CE274EAA77AF}">
          <x14:formula1>
            <xm:f>DIM_MATERIAL!$A$2:$A$6</xm:f>
          </x14:formula1>
          <xm:sqref>D2:D658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0D53-C84F-4709-BBE7-6800A554C020}">
  <sheetPr>
    <tabColor rgb="FF0070C0"/>
  </sheetPr>
  <dimension ref="A1:E3102"/>
  <sheetViews>
    <sheetView zoomScale="86" workbookViewId="0">
      <selection activeCell="E30" sqref="E30"/>
    </sheetView>
  </sheetViews>
  <sheetFormatPr defaultColWidth="10" defaultRowHeight="14.25" x14ac:dyDescent="0.2"/>
  <cols>
    <col min="1" max="1" width="18.625" bestFit="1" customWidth="1"/>
    <col min="2" max="2" width="16" bestFit="1" customWidth="1"/>
    <col min="3" max="3" width="7.25" bestFit="1" customWidth="1"/>
    <col min="4" max="4" width="8.25" bestFit="1" customWidth="1"/>
    <col min="5" max="5" width="15.25" customWidth="1"/>
  </cols>
  <sheetData>
    <row r="1" spans="1:5" x14ac:dyDescent="0.2">
      <c r="A1" s="1" t="s">
        <v>585</v>
      </c>
      <c r="B1" t="s">
        <v>0</v>
      </c>
      <c r="C1" t="s">
        <v>3716</v>
      </c>
      <c r="D1" t="s">
        <v>588</v>
      </c>
      <c r="E1" t="s">
        <v>583</v>
      </c>
    </row>
    <row r="2" spans="1:5" x14ac:dyDescent="0.2">
      <c r="A2" s="1">
        <v>45566</v>
      </c>
      <c r="B2" t="s">
        <v>1</v>
      </c>
      <c r="C2">
        <v>1</v>
      </c>
      <c r="D2" t="str">
        <f>_xlfn.XLOOKUP(RW_DT_PRODUCTION[[#This Row],[MATERIAL_ID]],DIM_MATERIAL[MATERIAL_ID],DIM_MATERIAL[UOM_AFTER_PROCESS])</f>
        <v>BALE</v>
      </c>
      <c r="E2">
        <v>77</v>
      </c>
    </row>
    <row r="3" spans="1:5" x14ac:dyDescent="0.2">
      <c r="A3" s="1">
        <v>45566</v>
      </c>
      <c r="B3" t="s">
        <v>1</v>
      </c>
      <c r="C3">
        <v>1</v>
      </c>
      <c r="D3" t="str">
        <f>_xlfn.XLOOKUP(RW_DT_PRODUCTION[[#This Row],[MATERIAL_ID]],DIM_MATERIAL[MATERIAL_ID],DIM_MATERIAL[UOM_AFTER_PROCESS])</f>
        <v>BALE</v>
      </c>
      <c r="E3">
        <v>89</v>
      </c>
    </row>
    <row r="4" spans="1:5" x14ac:dyDescent="0.2">
      <c r="A4" s="1">
        <v>45566</v>
      </c>
      <c r="B4" t="s">
        <v>1</v>
      </c>
      <c r="C4">
        <v>1</v>
      </c>
      <c r="D4" t="str">
        <f>_xlfn.XLOOKUP(RW_DT_PRODUCTION[[#This Row],[MATERIAL_ID]],DIM_MATERIAL[MATERIAL_ID],DIM_MATERIAL[UOM_AFTER_PROCESS])</f>
        <v>BALE</v>
      </c>
      <c r="E4">
        <v>72</v>
      </c>
    </row>
    <row r="5" spans="1:5" x14ac:dyDescent="0.2">
      <c r="A5" s="1">
        <v>45566</v>
      </c>
      <c r="B5" t="s">
        <v>1</v>
      </c>
      <c r="C5">
        <v>1</v>
      </c>
      <c r="D5" t="str">
        <f>_xlfn.XLOOKUP(RW_DT_PRODUCTION[[#This Row],[MATERIAL_ID]],DIM_MATERIAL[MATERIAL_ID],DIM_MATERIAL[UOM_AFTER_PROCESS])</f>
        <v>BALE</v>
      </c>
      <c r="E5">
        <v>83</v>
      </c>
    </row>
    <row r="6" spans="1:5" x14ac:dyDescent="0.2">
      <c r="A6" s="1">
        <v>45566</v>
      </c>
      <c r="B6" t="s">
        <v>1</v>
      </c>
      <c r="C6">
        <v>1</v>
      </c>
      <c r="D6" t="str">
        <f>_xlfn.XLOOKUP(RW_DT_PRODUCTION[[#This Row],[MATERIAL_ID]],DIM_MATERIAL[MATERIAL_ID],DIM_MATERIAL[UOM_AFTER_PROCESS])</f>
        <v>BALE</v>
      </c>
      <c r="E6">
        <v>75</v>
      </c>
    </row>
    <row r="7" spans="1:5" x14ac:dyDescent="0.2">
      <c r="A7" s="1">
        <v>45566</v>
      </c>
      <c r="B7" t="s">
        <v>1</v>
      </c>
      <c r="C7">
        <v>1</v>
      </c>
      <c r="D7" t="str">
        <f>_xlfn.XLOOKUP(RW_DT_PRODUCTION[[#This Row],[MATERIAL_ID]],DIM_MATERIAL[MATERIAL_ID],DIM_MATERIAL[UOM_AFTER_PROCESS])</f>
        <v>BALE</v>
      </c>
      <c r="E7">
        <v>80</v>
      </c>
    </row>
    <row r="8" spans="1:5" x14ac:dyDescent="0.2">
      <c r="A8" s="1">
        <v>45567</v>
      </c>
      <c r="B8" t="s">
        <v>1</v>
      </c>
      <c r="C8">
        <v>1</v>
      </c>
      <c r="D8" t="str">
        <f>_xlfn.XLOOKUP(RW_DT_PRODUCTION[[#This Row],[MATERIAL_ID]],DIM_MATERIAL[MATERIAL_ID],DIM_MATERIAL[UOM_AFTER_PROCESS])</f>
        <v>BALE</v>
      </c>
      <c r="E8">
        <v>74</v>
      </c>
    </row>
    <row r="9" spans="1:5" x14ac:dyDescent="0.2">
      <c r="A9" s="1">
        <v>45567</v>
      </c>
      <c r="B9" t="s">
        <v>1</v>
      </c>
      <c r="C9">
        <v>1</v>
      </c>
      <c r="D9" t="str">
        <f>_xlfn.XLOOKUP(RW_DT_PRODUCTION[[#This Row],[MATERIAL_ID]],DIM_MATERIAL[MATERIAL_ID],DIM_MATERIAL[UOM_AFTER_PROCESS])</f>
        <v>BALE</v>
      </c>
      <c r="E9">
        <v>86</v>
      </c>
    </row>
    <row r="10" spans="1:5" x14ac:dyDescent="0.2">
      <c r="A10" s="1">
        <v>45567</v>
      </c>
      <c r="B10" t="s">
        <v>1</v>
      </c>
      <c r="C10">
        <v>1</v>
      </c>
      <c r="D10" t="str">
        <f>_xlfn.XLOOKUP(RW_DT_PRODUCTION[[#This Row],[MATERIAL_ID]],DIM_MATERIAL[MATERIAL_ID],DIM_MATERIAL[UOM_AFTER_PROCESS])</f>
        <v>BALE</v>
      </c>
      <c r="E10">
        <v>60</v>
      </c>
    </row>
    <row r="11" spans="1:5" x14ac:dyDescent="0.2">
      <c r="A11" s="1">
        <v>45567</v>
      </c>
      <c r="B11" t="s">
        <v>1</v>
      </c>
      <c r="C11">
        <v>1</v>
      </c>
      <c r="D11" t="str">
        <f>_xlfn.XLOOKUP(RW_DT_PRODUCTION[[#This Row],[MATERIAL_ID]],DIM_MATERIAL[MATERIAL_ID],DIM_MATERIAL[UOM_AFTER_PROCESS])</f>
        <v>BALE</v>
      </c>
      <c r="E11">
        <v>71</v>
      </c>
    </row>
    <row r="12" spans="1:5" x14ac:dyDescent="0.2">
      <c r="A12" s="1">
        <v>45569</v>
      </c>
      <c r="B12" t="s">
        <v>1</v>
      </c>
      <c r="C12">
        <v>1</v>
      </c>
      <c r="D12" t="str">
        <f>_xlfn.XLOOKUP(RW_DT_PRODUCTION[[#This Row],[MATERIAL_ID]],DIM_MATERIAL[MATERIAL_ID],DIM_MATERIAL[UOM_AFTER_PROCESS])</f>
        <v>BALE</v>
      </c>
      <c r="E12">
        <v>62</v>
      </c>
    </row>
    <row r="13" spans="1:5" x14ac:dyDescent="0.2">
      <c r="A13" s="1">
        <v>45569</v>
      </c>
      <c r="B13" t="s">
        <v>1</v>
      </c>
      <c r="C13">
        <v>1</v>
      </c>
      <c r="D13" t="str">
        <f>_xlfn.XLOOKUP(RW_DT_PRODUCTION[[#This Row],[MATERIAL_ID]],DIM_MATERIAL[MATERIAL_ID],DIM_MATERIAL[UOM_AFTER_PROCESS])</f>
        <v>BALE</v>
      </c>
      <c r="E13">
        <v>61</v>
      </c>
    </row>
    <row r="14" spans="1:5" x14ac:dyDescent="0.2">
      <c r="A14" s="1">
        <v>45569</v>
      </c>
      <c r="B14" t="s">
        <v>1</v>
      </c>
      <c r="C14">
        <v>1</v>
      </c>
      <c r="D14" t="str">
        <f>_xlfn.XLOOKUP(RW_DT_PRODUCTION[[#This Row],[MATERIAL_ID]],DIM_MATERIAL[MATERIAL_ID],DIM_MATERIAL[UOM_AFTER_PROCESS])</f>
        <v>BALE</v>
      </c>
      <c r="E14">
        <v>73</v>
      </c>
    </row>
    <row r="15" spans="1:5" x14ac:dyDescent="0.2">
      <c r="A15" s="1">
        <v>45569</v>
      </c>
      <c r="B15" t="s">
        <v>1</v>
      </c>
      <c r="C15">
        <v>1</v>
      </c>
      <c r="D15" t="str">
        <f>_xlfn.XLOOKUP(RW_DT_PRODUCTION[[#This Row],[MATERIAL_ID]],DIM_MATERIAL[MATERIAL_ID],DIM_MATERIAL[UOM_AFTER_PROCESS])</f>
        <v>BALE</v>
      </c>
      <c r="E15">
        <v>83</v>
      </c>
    </row>
    <row r="16" spans="1:5" x14ac:dyDescent="0.2">
      <c r="A16" s="1">
        <v>45574</v>
      </c>
      <c r="B16" t="s">
        <v>1</v>
      </c>
      <c r="C16">
        <v>1</v>
      </c>
      <c r="D16" t="str">
        <f>_xlfn.XLOOKUP(RW_DT_PRODUCTION[[#This Row],[MATERIAL_ID]],DIM_MATERIAL[MATERIAL_ID],DIM_MATERIAL[UOM_AFTER_PROCESS])</f>
        <v>BALE</v>
      </c>
      <c r="E16">
        <v>82</v>
      </c>
    </row>
    <row r="17" spans="1:5" x14ac:dyDescent="0.2">
      <c r="A17" s="1">
        <v>45574</v>
      </c>
      <c r="B17" t="s">
        <v>1</v>
      </c>
      <c r="C17">
        <v>1</v>
      </c>
      <c r="D17" t="str">
        <f>_xlfn.XLOOKUP(RW_DT_PRODUCTION[[#This Row],[MATERIAL_ID]],DIM_MATERIAL[MATERIAL_ID],DIM_MATERIAL[UOM_AFTER_PROCESS])</f>
        <v>BALE</v>
      </c>
      <c r="E17">
        <v>75</v>
      </c>
    </row>
    <row r="18" spans="1:5" x14ac:dyDescent="0.2">
      <c r="A18" s="1">
        <v>45574</v>
      </c>
      <c r="B18" t="s">
        <v>1</v>
      </c>
      <c r="C18">
        <v>1</v>
      </c>
      <c r="D18" t="str">
        <f>_xlfn.XLOOKUP(RW_DT_PRODUCTION[[#This Row],[MATERIAL_ID]],DIM_MATERIAL[MATERIAL_ID],DIM_MATERIAL[UOM_AFTER_PROCESS])</f>
        <v>BALE</v>
      </c>
      <c r="E18">
        <v>66</v>
      </c>
    </row>
    <row r="19" spans="1:5" x14ac:dyDescent="0.2">
      <c r="A19" s="1">
        <v>45574</v>
      </c>
      <c r="B19" t="s">
        <v>1</v>
      </c>
      <c r="C19">
        <v>1</v>
      </c>
      <c r="D19" t="str">
        <f>_xlfn.XLOOKUP(RW_DT_PRODUCTION[[#This Row],[MATERIAL_ID]],DIM_MATERIAL[MATERIAL_ID],DIM_MATERIAL[UOM_AFTER_PROCESS])</f>
        <v>BALE</v>
      </c>
      <c r="E19">
        <v>71</v>
      </c>
    </row>
    <row r="20" spans="1:5" x14ac:dyDescent="0.2">
      <c r="A20" s="1">
        <v>45581</v>
      </c>
      <c r="B20" t="s">
        <v>1</v>
      </c>
      <c r="C20">
        <v>1</v>
      </c>
      <c r="D20" t="str">
        <f>_xlfn.XLOOKUP(RW_DT_PRODUCTION[[#This Row],[MATERIAL_ID]],DIM_MATERIAL[MATERIAL_ID],DIM_MATERIAL[UOM_AFTER_PROCESS])</f>
        <v>BALE</v>
      </c>
      <c r="E20">
        <v>79</v>
      </c>
    </row>
    <row r="21" spans="1:5" x14ac:dyDescent="0.2">
      <c r="A21" s="1">
        <v>45581</v>
      </c>
      <c r="B21" t="s">
        <v>1</v>
      </c>
      <c r="C21">
        <v>1</v>
      </c>
      <c r="D21" t="str">
        <f>_xlfn.XLOOKUP(RW_DT_PRODUCTION[[#This Row],[MATERIAL_ID]],DIM_MATERIAL[MATERIAL_ID],DIM_MATERIAL[UOM_AFTER_PROCESS])</f>
        <v>BALE</v>
      </c>
      <c r="E21">
        <v>77</v>
      </c>
    </row>
    <row r="22" spans="1:5" x14ac:dyDescent="0.2">
      <c r="A22" s="1">
        <v>45581</v>
      </c>
      <c r="B22" t="s">
        <v>1</v>
      </c>
      <c r="C22">
        <v>1</v>
      </c>
      <c r="D22" t="str">
        <f>_xlfn.XLOOKUP(RW_DT_PRODUCTION[[#This Row],[MATERIAL_ID]],DIM_MATERIAL[MATERIAL_ID],DIM_MATERIAL[UOM_AFTER_PROCESS])</f>
        <v>BALE</v>
      </c>
      <c r="E22">
        <v>87</v>
      </c>
    </row>
    <row r="23" spans="1:5" x14ac:dyDescent="0.2">
      <c r="A23" s="1">
        <v>45581</v>
      </c>
      <c r="B23" t="s">
        <v>1</v>
      </c>
      <c r="C23">
        <v>1</v>
      </c>
      <c r="D23" t="str">
        <f>_xlfn.XLOOKUP(RW_DT_PRODUCTION[[#This Row],[MATERIAL_ID]],DIM_MATERIAL[MATERIAL_ID],DIM_MATERIAL[UOM_AFTER_PROCESS])</f>
        <v>BALE</v>
      </c>
      <c r="E23">
        <v>61</v>
      </c>
    </row>
    <row r="24" spans="1:5" x14ac:dyDescent="0.2">
      <c r="A24" s="1">
        <v>45581</v>
      </c>
      <c r="B24" t="s">
        <v>1</v>
      </c>
      <c r="C24">
        <v>1</v>
      </c>
      <c r="D24" t="str">
        <f>_xlfn.XLOOKUP(RW_DT_PRODUCTION[[#This Row],[MATERIAL_ID]],DIM_MATERIAL[MATERIAL_ID],DIM_MATERIAL[UOM_AFTER_PROCESS])</f>
        <v>BALE</v>
      </c>
      <c r="E24">
        <v>73</v>
      </c>
    </row>
    <row r="25" spans="1:5" x14ac:dyDescent="0.2">
      <c r="A25" s="1">
        <v>45581</v>
      </c>
      <c r="B25" t="s">
        <v>1</v>
      </c>
      <c r="C25">
        <v>1</v>
      </c>
      <c r="D25" t="str">
        <f>_xlfn.XLOOKUP(RW_DT_PRODUCTION[[#This Row],[MATERIAL_ID]],DIM_MATERIAL[MATERIAL_ID],DIM_MATERIAL[UOM_AFTER_PROCESS])</f>
        <v>BALE</v>
      </c>
      <c r="E25">
        <v>69</v>
      </c>
    </row>
    <row r="26" spans="1:5" x14ac:dyDescent="0.2">
      <c r="A26" s="3">
        <v>45581</v>
      </c>
      <c r="B26" t="s">
        <v>2</v>
      </c>
      <c r="C26">
        <v>1</v>
      </c>
      <c r="D26" t="str">
        <f>_xlfn.XLOOKUP(RW_DT_PRODUCTION[[#This Row],[MATERIAL_ID]],DIM_MATERIAL[MATERIAL_ID],DIM_MATERIAL[UOM_AFTER_PROCESS])</f>
        <v>BAG</v>
      </c>
      <c r="E26">
        <v>22</v>
      </c>
    </row>
    <row r="27" spans="1:5" x14ac:dyDescent="0.2">
      <c r="A27" s="1">
        <v>45582</v>
      </c>
      <c r="B27" t="s">
        <v>1</v>
      </c>
      <c r="C27">
        <v>1</v>
      </c>
      <c r="D27" t="str">
        <f>_xlfn.XLOOKUP(RW_DT_PRODUCTION[[#This Row],[MATERIAL_ID]],DIM_MATERIAL[MATERIAL_ID],DIM_MATERIAL[UOM_AFTER_PROCESS])</f>
        <v>BALE</v>
      </c>
      <c r="E27">
        <v>61</v>
      </c>
    </row>
    <row r="28" spans="1:5" x14ac:dyDescent="0.2">
      <c r="A28" s="1">
        <v>45582</v>
      </c>
      <c r="B28" t="s">
        <v>1</v>
      </c>
      <c r="C28">
        <v>1</v>
      </c>
      <c r="D28" t="str">
        <f>_xlfn.XLOOKUP(RW_DT_PRODUCTION[[#This Row],[MATERIAL_ID]],DIM_MATERIAL[MATERIAL_ID],DIM_MATERIAL[UOM_AFTER_PROCESS])</f>
        <v>BALE</v>
      </c>
      <c r="E28">
        <v>80</v>
      </c>
    </row>
    <row r="29" spans="1:5" x14ac:dyDescent="0.2">
      <c r="A29" s="1">
        <v>45582</v>
      </c>
      <c r="B29" t="s">
        <v>1</v>
      </c>
      <c r="C29">
        <v>1</v>
      </c>
      <c r="D29" t="str">
        <f>_xlfn.XLOOKUP(RW_DT_PRODUCTION[[#This Row],[MATERIAL_ID]],DIM_MATERIAL[MATERIAL_ID],DIM_MATERIAL[UOM_AFTER_PROCESS])</f>
        <v>BALE</v>
      </c>
      <c r="E29">
        <v>78</v>
      </c>
    </row>
    <row r="30" spans="1:5" x14ac:dyDescent="0.2">
      <c r="A30" s="1">
        <v>45582</v>
      </c>
      <c r="B30" t="s">
        <v>1</v>
      </c>
      <c r="C30">
        <v>1</v>
      </c>
      <c r="D30" t="str">
        <f>_xlfn.XLOOKUP(RW_DT_PRODUCTION[[#This Row],[MATERIAL_ID]],DIM_MATERIAL[MATERIAL_ID],DIM_MATERIAL[UOM_AFTER_PROCESS])</f>
        <v>BALE</v>
      </c>
      <c r="E30">
        <v>62</v>
      </c>
    </row>
    <row r="31" spans="1:5" x14ac:dyDescent="0.2">
      <c r="A31" s="1">
        <v>45582</v>
      </c>
      <c r="B31" t="s">
        <v>1</v>
      </c>
      <c r="C31">
        <v>1</v>
      </c>
      <c r="D31" t="str">
        <f>_xlfn.XLOOKUP(RW_DT_PRODUCTION[[#This Row],[MATERIAL_ID]],DIM_MATERIAL[MATERIAL_ID],DIM_MATERIAL[UOM_AFTER_PROCESS])</f>
        <v>BALE</v>
      </c>
      <c r="E31">
        <v>79</v>
      </c>
    </row>
    <row r="32" spans="1:5" x14ac:dyDescent="0.2">
      <c r="A32" s="1">
        <v>45582</v>
      </c>
      <c r="B32" t="s">
        <v>1</v>
      </c>
      <c r="C32">
        <v>1</v>
      </c>
      <c r="D32" t="str">
        <f>_xlfn.XLOOKUP(RW_DT_PRODUCTION[[#This Row],[MATERIAL_ID]],DIM_MATERIAL[MATERIAL_ID],DIM_MATERIAL[UOM_AFTER_PROCESS])</f>
        <v>BALE</v>
      </c>
      <c r="E32">
        <v>87</v>
      </c>
    </row>
    <row r="33" spans="1:5" x14ac:dyDescent="0.2">
      <c r="A33" s="1">
        <v>45582</v>
      </c>
      <c r="B33" t="s">
        <v>1</v>
      </c>
      <c r="C33">
        <v>1</v>
      </c>
      <c r="D33" t="str">
        <f>_xlfn.XLOOKUP(RW_DT_PRODUCTION[[#This Row],[MATERIAL_ID]],DIM_MATERIAL[MATERIAL_ID],DIM_MATERIAL[UOM_AFTER_PROCESS])</f>
        <v>BALE</v>
      </c>
      <c r="E33">
        <v>65</v>
      </c>
    </row>
    <row r="34" spans="1:5" x14ac:dyDescent="0.2">
      <c r="A34" s="1">
        <v>45582</v>
      </c>
      <c r="B34" t="s">
        <v>1</v>
      </c>
      <c r="C34">
        <v>1</v>
      </c>
      <c r="D34" t="str">
        <f>_xlfn.XLOOKUP(RW_DT_PRODUCTION[[#This Row],[MATERIAL_ID]],DIM_MATERIAL[MATERIAL_ID],DIM_MATERIAL[UOM_AFTER_PROCESS])</f>
        <v>BALE</v>
      </c>
      <c r="E34">
        <v>69</v>
      </c>
    </row>
    <row r="35" spans="1:5" x14ac:dyDescent="0.2">
      <c r="A35" s="1">
        <v>45582</v>
      </c>
      <c r="B35" t="s">
        <v>1</v>
      </c>
      <c r="C35">
        <v>1</v>
      </c>
      <c r="D35" t="str">
        <f>_xlfn.XLOOKUP(RW_DT_PRODUCTION[[#This Row],[MATERIAL_ID]],DIM_MATERIAL[MATERIAL_ID],DIM_MATERIAL[UOM_AFTER_PROCESS])</f>
        <v>BALE</v>
      </c>
      <c r="E35">
        <v>76</v>
      </c>
    </row>
    <row r="36" spans="1:5" x14ac:dyDescent="0.2">
      <c r="A36" s="1">
        <v>45582</v>
      </c>
      <c r="B36" t="s">
        <v>1</v>
      </c>
      <c r="C36">
        <v>1</v>
      </c>
      <c r="D36" t="str">
        <f>_xlfn.XLOOKUP(RW_DT_PRODUCTION[[#This Row],[MATERIAL_ID]],DIM_MATERIAL[MATERIAL_ID],DIM_MATERIAL[UOM_AFTER_PROCESS])</f>
        <v>BALE</v>
      </c>
      <c r="E36">
        <v>85</v>
      </c>
    </row>
    <row r="37" spans="1:5" x14ac:dyDescent="0.2">
      <c r="A37" s="1">
        <v>45582</v>
      </c>
      <c r="B37" t="s">
        <v>1</v>
      </c>
      <c r="C37">
        <v>1</v>
      </c>
      <c r="D37" t="str">
        <f>_xlfn.XLOOKUP(RW_DT_PRODUCTION[[#This Row],[MATERIAL_ID]],DIM_MATERIAL[MATERIAL_ID],DIM_MATERIAL[UOM_AFTER_PROCESS])</f>
        <v>BALE</v>
      </c>
      <c r="E37">
        <v>75</v>
      </c>
    </row>
    <row r="38" spans="1:5" x14ac:dyDescent="0.2">
      <c r="A38" s="1">
        <v>45582</v>
      </c>
      <c r="B38" t="s">
        <v>1</v>
      </c>
      <c r="C38">
        <v>1</v>
      </c>
      <c r="D38" t="str">
        <f>_xlfn.XLOOKUP(RW_DT_PRODUCTION[[#This Row],[MATERIAL_ID]],DIM_MATERIAL[MATERIAL_ID],DIM_MATERIAL[UOM_AFTER_PROCESS])</f>
        <v>BALE</v>
      </c>
      <c r="E38">
        <v>68</v>
      </c>
    </row>
    <row r="39" spans="1:5" x14ac:dyDescent="0.2">
      <c r="A39" s="1">
        <v>45582</v>
      </c>
      <c r="B39" t="s">
        <v>1</v>
      </c>
      <c r="C39">
        <v>1</v>
      </c>
      <c r="D39" t="str">
        <f>_xlfn.XLOOKUP(RW_DT_PRODUCTION[[#This Row],[MATERIAL_ID]],DIM_MATERIAL[MATERIAL_ID],DIM_MATERIAL[UOM_AFTER_PROCESS])</f>
        <v>BALE</v>
      </c>
      <c r="E39">
        <v>67</v>
      </c>
    </row>
    <row r="40" spans="1:5" x14ac:dyDescent="0.2">
      <c r="A40" s="1">
        <v>45582</v>
      </c>
      <c r="B40" t="s">
        <v>1</v>
      </c>
      <c r="C40">
        <v>1</v>
      </c>
      <c r="D40" t="str">
        <f>_xlfn.XLOOKUP(RW_DT_PRODUCTION[[#This Row],[MATERIAL_ID]],DIM_MATERIAL[MATERIAL_ID],DIM_MATERIAL[UOM_AFTER_PROCESS])</f>
        <v>BALE</v>
      </c>
      <c r="E40">
        <v>82</v>
      </c>
    </row>
    <row r="41" spans="1:5" x14ac:dyDescent="0.2">
      <c r="A41" s="1">
        <v>45582</v>
      </c>
      <c r="B41" t="s">
        <v>1</v>
      </c>
      <c r="C41">
        <v>1</v>
      </c>
      <c r="D41" t="str">
        <f>_xlfn.XLOOKUP(RW_DT_PRODUCTION[[#This Row],[MATERIAL_ID]],DIM_MATERIAL[MATERIAL_ID],DIM_MATERIAL[UOM_AFTER_PROCESS])</f>
        <v>BALE</v>
      </c>
      <c r="E41">
        <v>77</v>
      </c>
    </row>
    <row r="42" spans="1:5" x14ac:dyDescent="0.2">
      <c r="A42" s="1">
        <v>45582</v>
      </c>
      <c r="B42" t="s">
        <v>1</v>
      </c>
      <c r="C42">
        <v>1</v>
      </c>
      <c r="D42" t="str">
        <f>_xlfn.XLOOKUP(RW_DT_PRODUCTION[[#This Row],[MATERIAL_ID]],DIM_MATERIAL[MATERIAL_ID],DIM_MATERIAL[UOM_AFTER_PROCESS])</f>
        <v>BALE</v>
      </c>
      <c r="E42">
        <v>85</v>
      </c>
    </row>
    <row r="43" spans="1:5" x14ac:dyDescent="0.2">
      <c r="A43" s="1">
        <v>45582</v>
      </c>
      <c r="B43" t="s">
        <v>1</v>
      </c>
      <c r="C43">
        <v>1</v>
      </c>
      <c r="D43" t="str">
        <f>_xlfn.XLOOKUP(RW_DT_PRODUCTION[[#This Row],[MATERIAL_ID]],DIM_MATERIAL[MATERIAL_ID],DIM_MATERIAL[UOM_AFTER_PROCESS])</f>
        <v>BALE</v>
      </c>
      <c r="E43">
        <v>75</v>
      </c>
    </row>
    <row r="44" spans="1:5" x14ac:dyDescent="0.2">
      <c r="A44" s="1">
        <v>45582</v>
      </c>
      <c r="B44" t="s">
        <v>1</v>
      </c>
      <c r="C44">
        <v>1</v>
      </c>
      <c r="D44" t="str">
        <f>_xlfn.XLOOKUP(RW_DT_PRODUCTION[[#This Row],[MATERIAL_ID]],DIM_MATERIAL[MATERIAL_ID],DIM_MATERIAL[UOM_AFTER_PROCESS])</f>
        <v>BALE</v>
      </c>
      <c r="E44">
        <v>70</v>
      </c>
    </row>
    <row r="45" spans="1:5" x14ac:dyDescent="0.2">
      <c r="A45" s="1">
        <v>45582</v>
      </c>
      <c r="B45" t="s">
        <v>1</v>
      </c>
      <c r="C45">
        <v>1</v>
      </c>
      <c r="D45" t="str">
        <f>_xlfn.XLOOKUP(RW_DT_PRODUCTION[[#This Row],[MATERIAL_ID]],DIM_MATERIAL[MATERIAL_ID],DIM_MATERIAL[UOM_AFTER_PROCESS])</f>
        <v>BALE</v>
      </c>
      <c r="E45">
        <v>82</v>
      </c>
    </row>
    <row r="46" spans="1:5" x14ac:dyDescent="0.2">
      <c r="A46" s="1">
        <v>45583</v>
      </c>
      <c r="B46" t="s">
        <v>1</v>
      </c>
      <c r="C46">
        <v>1</v>
      </c>
      <c r="D46" t="str">
        <f>_xlfn.XLOOKUP(RW_DT_PRODUCTION[[#This Row],[MATERIAL_ID]],DIM_MATERIAL[MATERIAL_ID],DIM_MATERIAL[UOM_AFTER_PROCESS])</f>
        <v>BALE</v>
      </c>
      <c r="E46">
        <v>78</v>
      </c>
    </row>
    <row r="47" spans="1:5" x14ac:dyDescent="0.2">
      <c r="A47" s="1">
        <v>45583</v>
      </c>
      <c r="B47" t="s">
        <v>1</v>
      </c>
      <c r="C47">
        <v>1</v>
      </c>
      <c r="D47" t="str">
        <f>_xlfn.XLOOKUP(RW_DT_PRODUCTION[[#This Row],[MATERIAL_ID]],DIM_MATERIAL[MATERIAL_ID],DIM_MATERIAL[UOM_AFTER_PROCESS])</f>
        <v>BALE</v>
      </c>
      <c r="E47">
        <v>69</v>
      </c>
    </row>
    <row r="48" spans="1:5" x14ac:dyDescent="0.2">
      <c r="A48" s="1">
        <v>45583</v>
      </c>
      <c r="B48" t="s">
        <v>1</v>
      </c>
      <c r="C48">
        <v>1</v>
      </c>
      <c r="D48" t="str">
        <f>_xlfn.XLOOKUP(RW_DT_PRODUCTION[[#This Row],[MATERIAL_ID]],DIM_MATERIAL[MATERIAL_ID],DIM_MATERIAL[UOM_AFTER_PROCESS])</f>
        <v>BALE</v>
      </c>
      <c r="E48">
        <v>80</v>
      </c>
    </row>
    <row r="49" spans="1:5" x14ac:dyDescent="0.2">
      <c r="A49" s="1">
        <v>45583</v>
      </c>
      <c r="B49" t="s">
        <v>1</v>
      </c>
      <c r="C49">
        <v>1</v>
      </c>
      <c r="D49" t="str">
        <f>_xlfn.XLOOKUP(RW_DT_PRODUCTION[[#This Row],[MATERIAL_ID]],DIM_MATERIAL[MATERIAL_ID],DIM_MATERIAL[UOM_AFTER_PROCESS])</f>
        <v>BALE</v>
      </c>
      <c r="E49">
        <v>87</v>
      </c>
    </row>
    <row r="50" spans="1:5" x14ac:dyDescent="0.2">
      <c r="A50" s="1">
        <v>45583</v>
      </c>
      <c r="B50" t="s">
        <v>1</v>
      </c>
      <c r="C50">
        <v>1</v>
      </c>
      <c r="D50" t="str">
        <f>_xlfn.XLOOKUP(RW_DT_PRODUCTION[[#This Row],[MATERIAL_ID]],DIM_MATERIAL[MATERIAL_ID],DIM_MATERIAL[UOM_AFTER_PROCESS])</f>
        <v>BALE</v>
      </c>
      <c r="E50">
        <v>64</v>
      </c>
    </row>
    <row r="51" spans="1:5" x14ac:dyDescent="0.2">
      <c r="A51" s="1">
        <v>45583</v>
      </c>
      <c r="B51" t="s">
        <v>1</v>
      </c>
      <c r="C51">
        <v>1</v>
      </c>
      <c r="D51" t="str">
        <f>_xlfn.XLOOKUP(RW_DT_PRODUCTION[[#This Row],[MATERIAL_ID]],DIM_MATERIAL[MATERIAL_ID],DIM_MATERIAL[UOM_AFTER_PROCESS])</f>
        <v>BALE</v>
      </c>
      <c r="E51">
        <v>83</v>
      </c>
    </row>
    <row r="52" spans="1:5" x14ac:dyDescent="0.2">
      <c r="A52" s="1">
        <v>45583</v>
      </c>
      <c r="B52" t="s">
        <v>1</v>
      </c>
      <c r="C52">
        <v>1</v>
      </c>
      <c r="D52" t="str">
        <f>_xlfn.XLOOKUP(RW_DT_PRODUCTION[[#This Row],[MATERIAL_ID]],DIM_MATERIAL[MATERIAL_ID],DIM_MATERIAL[UOM_AFTER_PROCESS])</f>
        <v>BALE</v>
      </c>
      <c r="E52">
        <v>71</v>
      </c>
    </row>
    <row r="53" spans="1:5" x14ac:dyDescent="0.2">
      <c r="A53" s="1">
        <v>45583</v>
      </c>
      <c r="B53" t="s">
        <v>1</v>
      </c>
      <c r="C53">
        <v>1</v>
      </c>
      <c r="D53" t="str">
        <f>_xlfn.XLOOKUP(RW_DT_PRODUCTION[[#This Row],[MATERIAL_ID]],DIM_MATERIAL[MATERIAL_ID],DIM_MATERIAL[UOM_AFTER_PROCESS])</f>
        <v>BALE</v>
      </c>
      <c r="E53">
        <v>87</v>
      </c>
    </row>
    <row r="54" spans="1:5" x14ac:dyDescent="0.2">
      <c r="A54" s="1">
        <v>45583</v>
      </c>
      <c r="B54" t="s">
        <v>1</v>
      </c>
      <c r="C54">
        <v>1</v>
      </c>
      <c r="D54" t="str">
        <f>_xlfn.XLOOKUP(RW_DT_PRODUCTION[[#This Row],[MATERIAL_ID]],DIM_MATERIAL[MATERIAL_ID],DIM_MATERIAL[UOM_AFTER_PROCESS])</f>
        <v>BALE</v>
      </c>
      <c r="E54">
        <v>70</v>
      </c>
    </row>
    <row r="55" spans="1:5" x14ac:dyDescent="0.2">
      <c r="A55" s="1">
        <v>45583</v>
      </c>
      <c r="B55" t="s">
        <v>1</v>
      </c>
      <c r="C55">
        <v>1</v>
      </c>
      <c r="D55" t="str">
        <f>_xlfn.XLOOKUP(RW_DT_PRODUCTION[[#This Row],[MATERIAL_ID]],DIM_MATERIAL[MATERIAL_ID],DIM_MATERIAL[UOM_AFTER_PROCESS])</f>
        <v>BALE</v>
      </c>
      <c r="E55">
        <v>62</v>
      </c>
    </row>
    <row r="56" spans="1:5" x14ac:dyDescent="0.2">
      <c r="A56" s="1">
        <v>45584</v>
      </c>
      <c r="B56" t="s">
        <v>1</v>
      </c>
      <c r="C56">
        <v>1</v>
      </c>
      <c r="D56" t="str">
        <f>_xlfn.XLOOKUP(RW_DT_PRODUCTION[[#This Row],[MATERIAL_ID]],DIM_MATERIAL[MATERIAL_ID],DIM_MATERIAL[UOM_AFTER_PROCESS])</f>
        <v>BALE</v>
      </c>
      <c r="E56">
        <v>65</v>
      </c>
    </row>
    <row r="57" spans="1:5" x14ac:dyDescent="0.2">
      <c r="A57" s="1">
        <v>45584</v>
      </c>
      <c r="B57" t="s">
        <v>1</v>
      </c>
      <c r="C57">
        <v>1</v>
      </c>
      <c r="D57" t="str">
        <f>_xlfn.XLOOKUP(RW_DT_PRODUCTION[[#This Row],[MATERIAL_ID]],DIM_MATERIAL[MATERIAL_ID],DIM_MATERIAL[UOM_AFTER_PROCESS])</f>
        <v>BALE</v>
      </c>
      <c r="E57">
        <v>87</v>
      </c>
    </row>
    <row r="58" spans="1:5" x14ac:dyDescent="0.2">
      <c r="A58" s="1">
        <v>45584</v>
      </c>
      <c r="B58" t="s">
        <v>1</v>
      </c>
      <c r="C58">
        <v>1</v>
      </c>
      <c r="D58" t="str">
        <f>_xlfn.XLOOKUP(RW_DT_PRODUCTION[[#This Row],[MATERIAL_ID]],DIM_MATERIAL[MATERIAL_ID],DIM_MATERIAL[UOM_AFTER_PROCESS])</f>
        <v>BALE</v>
      </c>
      <c r="E58">
        <v>67</v>
      </c>
    </row>
    <row r="59" spans="1:5" x14ac:dyDescent="0.2">
      <c r="A59" s="1">
        <v>45586</v>
      </c>
      <c r="B59" t="s">
        <v>1</v>
      </c>
      <c r="C59">
        <v>1</v>
      </c>
      <c r="D59" t="str">
        <f>_xlfn.XLOOKUP(RW_DT_PRODUCTION[[#This Row],[MATERIAL_ID]],DIM_MATERIAL[MATERIAL_ID],DIM_MATERIAL[UOM_AFTER_PROCESS])</f>
        <v>BALE</v>
      </c>
      <c r="E59">
        <v>89</v>
      </c>
    </row>
    <row r="60" spans="1:5" x14ac:dyDescent="0.2">
      <c r="A60" s="1">
        <v>45586</v>
      </c>
      <c r="B60" t="s">
        <v>1</v>
      </c>
      <c r="C60">
        <v>1</v>
      </c>
      <c r="D60" t="str">
        <f>_xlfn.XLOOKUP(RW_DT_PRODUCTION[[#This Row],[MATERIAL_ID]],DIM_MATERIAL[MATERIAL_ID],DIM_MATERIAL[UOM_AFTER_PROCESS])</f>
        <v>BALE</v>
      </c>
      <c r="E60">
        <v>81</v>
      </c>
    </row>
    <row r="61" spans="1:5" x14ac:dyDescent="0.2">
      <c r="A61" s="1">
        <v>45586</v>
      </c>
      <c r="B61" t="s">
        <v>1</v>
      </c>
      <c r="C61">
        <v>1</v>
      </c>
      <c r="D61" t="str">
        <f>_xlfn.XLOOKUP(RW_DT_PRODUCTION[[#This Row],[MATERIAL_ID]],DIM_MATERIAL[MATERIAL_ID],DIM_MATERIAL[UOM_AFTER_PROCESS])</f>
        <v>BALE</v>
      </c>
      <c r="E61">
        <v>67</v>
      </c>
    </row>
    <row r="62" spans="1:5" x14ac:dyDescent="0.2">
      <c r="A62" s="1">
        <v>45586</v>
      </c>
      <c r="B62" t="s">
        <v>1</v>
      </c>
      <c r="C62">
        <v>1</v>
      </c>
      <c r="D62" t="str">
        <f>_xlfn.XLOOKUP(RW_DT_PRODUCTION[[#This Row],[MATERIAL_ID]],DIM_MATERIAL[MATERIAL_ID],DIM_MATERIAL[UOM_AFTER_PROCESS])</f>
        <v>BALE</v>
      </c>
      <c r="E62">
        <v>65</v>
      </c>
    </row>
    <row r="63" spans="1:5" x14ac:dyDescent="0.2">
      <c r="A63" s="1">
        <v>45586</v>
      </c>
      <c r="B63" t="s">
        <v>1</v>
      </c>
      <c r="C63">
        <v>1</v>
      </c>
      <c r="D63" t="str">
        <f>_xlfn.XLOOKUP(RW_DT_PRODUCTION[[#This Row],[MATERIAL_ID]],DIM_MATERIAL[MATERIAL_ID],DIM_MATERIAL[UOM_AFTER_PROCESS])</f>
        <v>BALE</v>
      </c>
      <c r="E63">
        <v>80</v>
      </c>
    </row>
    <row r="64" spans="1:5" x14ac:dyDescent="0.2">
      <c r="A64" s="1">
        <v>45586</v>
      </c>
      <c r="B64" t="s">
        <v>1</v>
      </c>
      <c r="C64">
        <v>1</v>
      </c>
      <c r="D64" t="str">
        <f>_xlfn.XLOOKUP(RW_DT_PRODUCTION[[#This Row],[MATERIAL_ID]],DIM_MATERIAL[MATERIAL_ID],DIM_MATERIAL[UOM_AFTER_PROCESS])</f>
        <v>BALE</v>
      </c>
      <c r="E64">
        <v>82</v>
      </c>
    </row>
    <row r="65" spans="1:5" x14ac:dyDescent="0.2">
      <c r="A65" s="1">
        <v>45586</v>
      </c>
      <c r="B65" t="s">
        <v>1</v>
      </c>
      <c r="C65">
        <v>1</v>
      </c>
      <c r="D65" t="str">
        <f>_xlfn.XLOOKUP(RW_DT_PRODUCTION[[#This Row],[MATERIAL_ID]],DIM_MATERIAL[MATERIAL_ID],DIM_MATERIAL[UOM_AFTER_PROCESS])</f>
        <v>BALE</v>
      </c>
      <c r="E65">
        <v>78</v>
      </c>
    </row>
    <row r="66" spans="1:5" x14ac:dyDescent="0.2">
      <c r="A66" s="3">
        <v>45586</v>
      </c>
      <c r="B66" t="s">
        <v>2</v>
      </c>
      <c r="C66">
        <v>1</v>
      </c>
      <c r="D66" t="str">
        <f>_xlfn.XLOOKUP(RW_DT_PRODUCTION[[#This Row],[MATERIAL_ID]],DIM_MATERIAL[MATERIAL_ID],DIM_MATERIAL[UOM_AFTER_PROCESS])</f>
        <v>BAG</v>
      </c>
      <c r="E66">
        <v>22</v>
      </c>
    </row>
    <row r="67" spans="1:5" x14ac:dyDescent="0.2">
      <c r="A67" s="3">
        <v>45586</v>
      </c>
      <c r="B67" t="s">
        <v>2</v>
      </c>
      <c r="C67">
        <v>1</v>
      </c>
      <c r="D67" t="str">
        <f>_xlfn.XLOOKUP(RW_DT_PRODUCTION[[#This Row],[MATERIAL_ID]],DIM_MATERIAL[MATERIAL_ID],DIM_MATERIAL[UOM_AFTER_PROCESS])</f>
        <v>BAG</v>
      </c>
      <c r="E67">
        <v>22</v>
      </c>
    </row>
    <row r="68" spans="1:5" x14ac:dyDescent="0.2">
      <c r="A68" s="3">
        <v>45586</v>
      </c>
      <c r="B68" t="s">
        <v>2</v>
      </c>
      <c r="C68">
        <v>1</v>
      </c>
      <c r="D68" t="str">
        <f>_xlfn.XLOOKUP(RW_DT_PRODUCTION[[#This Row],[MATERIAL_ID]],DIM_MATERIAL[MATERIAL_ID],DIM_MATERIAL[UOM_AFTER_PROCESS])</f>
        <v>BAG</v>
      </c>
      <c r="E68">
        <v>22</v>
      </c>
    </row>
    <row r="69" spans="1:5" x14ac:dyDescent="0.2">
      <c r="A69" s="3">
        <v>45586</v>
      </c>
      <c r="B69" t="s">
        <v>2</v>
      </c>
      <c r="C69">
        <v>1</v>
      </c>
      <c r="D69" t="str">
        <f>_xlfn.XLOOKUP(RW_DT_PRODUCTION[[#This Row],[MATERIAL_ID]],DIM_MATERIAL[MATERIAL_ID],DIM_MATERIAL[UOM_AFTER_PROCESS])</f>
        <v>BAG</v>
      </c>
      <c r="E69">
        <v>22</v>
      </c>
    </row>
    <row r="70" spans="1:5" x14ac:dyDescent="0.2">
      <c r="A70" s="3">
        <v>45586</v>
      </c>
      <c r="B70" t="s">
        <v>2</v>
      </c>
      <c r="C70">
        <v>1</v>
      </c>
      <c r="D70" t="str">
        <f>_xlfn.XLOOKUP(RW_DT_PRODUCTION[[#This Row],[MATERIAL_ID]],DIM_MATERIAL[MATERIAL_ID],DIM_MATERIAL[UOM_AFTER_PROCESS])</f>
        <v>BAG</v>
      </c>
      <c r="E70">
        <v>22</v>
      </c>
    </row>
    <row r="71" spans="1:5" x14ac:dyDescent="0.2">
      <c r="A71" s="1">
        <v>45587</v>
      </c>
      <c r="B71" t="s">
        <v>1</v>
      </c>
      <c r="C71">
        <v>1</v>
      </c>
      <c r="D71" t="str">
        <f>_xlfn.XLOOKUP(RW_DT_PRODUCTION[[#This Row],[MATERIAL_ID]],DIM_MATERIAL[MATERIAL_ID],DIM_MATERIAL[UOM_AFTER_PROCESS])</f>
        <v>BALE</v>
      </c>
      <c r="E71">
        <v>81</v>
      </c>
    </row>
    <row r="72" spans="1:5" x14ac:dyDescent="0.2">
      <c r="A72" s="1">
        <v>45587</v>
      </c>
      <c r="B72" t="s">
        <v>1</v>
      </c>
      <c r="C72">
        <v>1</v>
      </c>
      <c r="D72" t="str">
        <f>_xlfn.XLOOKUP(RW_DT_PRODUCTION[[#This Row],[MATERIAL_ID]],DIM_MATERIAL[MATERIAL_ID],DIM_MATERIAL[UOM_AFTER_PROCESS])</f>
        <v>BALE</v>
      </c>
      <c r="E72">
        <v>71</v>
      </c>
    </row>
    <row r="73" spans="1:5" x14ac:dyDescent="0.2">
      <c r="A73" s="1">
        <v>45587</v>
      </c>
      <c r="B73" t="s">
        <v>1</v>
      </c>
      <c r="C73">
        <v>1</v>
      </c>
      <c r="D73" t="str">
        <f>_xlfn.XLOOKUP(RW_DT_PRODUCTION[[#This Row],[MATERIAL_ID]],DIM_MATERIAL[MATERIAL_ID],DIM_MATERIAL[UOM_AFTER_PROCESS])</f>
        <v>BALE</v>
      </c>
      <c r="E73">
        <v>79</v>
      </c>
    </row>
    <row r="74" spans="1:5" x14ac:dyDescent="0.2">
      <c r="A74" s="1">
        <v>45587</v>
      </c>
      <c r="B74" t="s">
        <v>1</v>
      </c>
      <c r="C74">
        <v>1</v>
      </c>
      <c r="D74" t="str">
        <f>_xlfn.XLOOKUP(RW_DT_PRODUCTION[[#This Row],[MATERIAL_ID]],DIM_MATERIAL[MATERIAL_ID],DIM_MATERIAL[UOM_AFTER_PROCESS])</f>
        <v>BALE</v>
      </c>
      <c r="E74">
        <v>73</v>
      </c>
    </row>
    <row r="75" spans="1:5" x14ac:dyDescent="0.2">
      <c r="A75" s="1">
        <v>45587</v>
      </c>
      <c r="B75" t="s">
        <v>1</v>
      </c>
      <c r="C75">
        <v>1</v>
      </c>
      <c r="D75" t="str">
        <f>_xlfn.XLOOKUP(RW_DT_PRODUCTION[[#This Row],[MATERIAL_ID]],DIM_MATERIAL[MATERIAL_ID],DIM_MATERIAL[UOM_AFTER_PROCESS])</f>
        <v>BALE</v>
      </c>
      <c r="E75">
        <v>63</v>
      </c>
    </row>
    <row r="76" spans="1:5" x14ac:dyDescent="0.2">
      <c r="A76" s="1">
        <v>45587</v>
      </c>
      <c r="B76" t="s">
        <v>1</v>
      </c>
      <c r="C76">
        <v>1</v>
      </c>
      <c r="D76" t="str">
        <f>_xlfn.XLOOKUP(RW_DT_PRODUCTION[[#This Row],[MATERIAL_ID]],DIM_MATERIAL[MATERIAL_ID],DIM_MATERIAL[UOM_AFTER_PROCESS])</f>
        <v>BALE</v>
      </c>
      <c r="E76">
        <v>76</v>
      </c>
    </row>
    <row r="77" spans="1:5" x14ac:dyDescent="0.2">
      <c r="A77" s="1">
        <v>45587</v>
      </c>
      <c r="B77" t="s">
        <v>1</v>
      </c>
      <c r="C77">
        <v>1</v>
      </c>
      <c r="D77" t="str">
        <f>_xlfn.XLOOKUP(RW_DT_PRODUCTION[[#This Row],[MATERIAL_ID]],DIM_MATERIAL[MATERIAL_ID],DIM_MATERIAL[UOM_AFTER_PROCESS])</f>
        <v>BALE</v>
      </c>
      <c r="E77">
        <v>63</v>
      </c>
    </row>
    <row r="78" spans="1:5" x14ac:dyDescent="0.2">
      <c r="A78" s="1">
        <v>45587</v>
      </c>
      <c r="B78" t="s">
        <v>1</v>
      </c>
      <c r="C78">
        <v>1</v>
      </c>
      <c r="D78" t="str">
        <f>_xlfn.XLOOKUP(RW_DT_PRODUCTION[[#This Row],[MATERIAL_ID]],DIM_MATERIAL[MATERIAL_ID],DIM_MATERIAL[UOM_AFTER_PROCESS])</f>
        <v>BALE</v>
      </c>
      <c r="E78">
        <v>73</v>
      </c>
    </row>
    <row r="79" spans="1:5" x14ac:dyDescent="0.2">
      <c r="A79" s="1">
        <v>45587</v>
      </c>
      <c r="B79" t="s">
        <v>1</v>
      </c>
      <c r="C79">
        <v>1</v>
      </c>
      <c r="D79" t="str">
        <f>_xlfn.XLOOKUP(RW_DT_PRODUCTION[[#This Row],[MATERIAL_ID]],DIM_MATERIAL[MATERIAL_ID],DIM_MATERIAL[UOM_AFTER_PROCESS])</f>
        <v>BALE</v>
      </c>
      <c r="E79">
        <v>77</v>
      </c>
    </row>
    <row r="80" spans="1:5" x14ac:dyDescent="0.2">
      <c r="A80" s="1">
        <v>45587</v>
      </c>
      <c r="B80" t="s">
        <v>1</v>
      </c>
      <c r="C80">
        <v>1</v>
      </c>
      <c r="D80" t="str">
        <f>_xlfn.XLOOKUP(RW_DT_PRODUCTION[[#This Row],[MATERIAL_ID]],DIM_MATERIAL[MATERIAL_ID],DIM_MATERIAL[UOM_AFTER_PROCESS])</f>
        <v>BALE</v>
      </c>
      <c r="E80">
        <v>73</v>
      </c>
    </row>
    <row r="81" spans="1:5" x14ac:dyDescent="0.2">
      <c r="A81" s="1">
        <v>45587</v>
      </c>
      <c r="B81" t="s">
        <v>1</v>
      </c>
      <c r="C81">
        <v>1</v>
      </c>
      <c r="D81" t="str">
        <f>_xlfn.XLOOKUP(RW_DT_PRODUCTION[[#This Row],[MATERIAL_ID]],DIM_MATERIAL[MATERIAL_ID],DIM_MATERIAL[UOM_AFTER_PROCESS])</f>
        <v>BALE</v>
      </c>
      <c r="E81">
        <v>75</v>
      </c>
    </row>
    <row r="82" spans="1:5" x14ac:dyDescent="0.2">
      <c r="A82" s="1">
        <v>45587</v>
      </c>
      <c r="B82" t="s">
        <v>1</v>
      </c>
      <c r="C82">
        <v>1</v>
      </c>
      <c r="D82" t="str">
        <f>_xlfn.XLOOKUP(RW_DT_PRODUCTION[[#This Row],[MATERIAL_ID]],DIM_MATERIAL[MATERIAL_ID],DIM_MATERIAL[UOM_AFTER_PROCESS])</f>
        <v>BALE</v>
      </c>
      <c r="E82">
        <v>83</v>
      </c>
    </row>
    <row r="83" spans="1:5" x14ac:dyDescent="0.2">
      <c r="A83" s="1">
        <v>45587</v>
      </c>
      <c r="B83" t="s">
        <v>1</v>
      </c>
      <c r="C83">
        <v>1</v>
      </c>
      <c r="D83" t="str">
        <f>_xlfn.XLOOKUP(RW_DT_PRODUCTION[[#This Row],[MATERIAL_ID]],DIM_MATERIAL[MATERIAL_ID],DIM_MATERIAL[UOM_AFTER_PROCESS])</f>
        <v>BALE</v>
      </c>
      <c r="E83">
        <v>75</v>
      </c>
    </row>
    <row r="84" spans="1:5" x14ac:dyDescent="0.2">
      <c r="A84" s="3">
        <v>45587</v>
      </c>
      <c r="B84" t="s">
        <v>2</v>
      </c>
      <c r="C84">
        <v>1</v>
      </c>
      <c r="D84" t="str">
        <f>_xlfn.XLOOKUP(RW_DT_PRODUCTION[[#This Row],[MATERIAL_ID]],DIM_MATERIAL[MATERIAL_ID],DIM_MATERIAL[UOM_AFTER_PROCESS])</f>
        <v>BAG</v>
      </c>
      <c r="E84">
        <v>22</v>
      </c>
    </row>
    <row r="85" spans="1:5" x14ac:dyDescent="0.2">
      <c r="A85" s="1">
        <v>45588</v>
      </c>
      <c r="B85" t="s">
        <v>1</v>
      </c>
      <c r="C85">
        <v>1</v>
      </c>
      <c r="D85" t="str">
        <f>_xlfn.XLOOKUP(RW_DT_PRODUCTION[[#This Row],[MATERIAL_ID]],DIM_MATERIAL[MATERIAL_ID],DIM_MATERIAL[UOM_AFTER_PROCESS])</f>
        <v>BALE</v>
      </c>
      <c r="E85">
        <v>64</v>
      </c>
    </row>
    <row r="86" spans="1:5" x14ac:dyDescent="0.2">
      <c r="A86" s="1">
        <v>45588</v>
      </c>
      <c r="B86" t="s">
        <v>1</v>
      </c>
      <c r="C86">
        <v>1</v>
      </c>
      <c r="D86" t="str">
        <f>_xlfn.XLOOKUP(RW_DT_PRODUCTION[[#This Row],[MATERIAL_ID]],DIM_MATERIAL[MATERIAL_ID],DIM_MATERIAL[UOM_AFTER_PROCESS])</f>
        <v>BALE</v>
      </c>
      <c r="E86">
        <v>75</v>
      </c>
    </row>
    <row r="87" spans="1:5" x14ac:dyDescent="0.2">
      <c r="A87" s="1">
        <v>45588</v>
      </c>
      <c r="B87" t="s">
        <v>1</v>
      </c>
      <c r="C87">
        <v>1</v>
      </c>
      <c r="D87" t="str">
        <f>_xlfn.XLOOKUP(RW_DT_PRODUCTION[[#This Row],[MATERIAL_ID]],DIM_MATERIAL[MATERIAL_ID],DIM_MATERIAL[UOM_AFTER_PROCESS])</f>
        <v>BALE</v>
      </c>
      <c r="E87">
        <v>64</v>
      </c>
    </row>
    <row r="88" spans="1:5" x14ac:dyDescent="0.2">
      <c r="A88" s="1">
        <v>45588</v>
      </c>
      <c r="B88" t="s">
        <v>1</v>
      </c>
      <c r="C88">
        <v>1</v>
      </c>
      <c r="D88" t="str">
        <f>_xlfn.XLOOKUP(RW_DT_PRODUCTION[[#This Row],[MATERIAL_ID]],DIM_MATERIAL[MATERIAL_ID],DIM_MATERIAL[UOM_AFTER_PROCESS])</f>
        <v>BALE</v>
      </c>
      <c r="E88">
        <v>81</v>
      </c>
    </row>
    <row r="89" spans="1:5" x14ac:dyDescent="0.2">
      <c r="A89" s="1">
        <v>45588</v>
      </c>
      <c r="B89" t="s">
        <v>1</v>
      </c>
      <c r="C89">
        <v>1</v>
      </c>
      <c r="D89" t="str">
        <f>_xlfn.XLOOKUP(RW_DT_PRODUCTION[[#This Row],[MATERIAL_ID]],DIM_MATERIAL[MATERIAL_ID],DIM_MATERIAL[UOM_AFTER_PROCESS])</f>
        <v>BALE</v>
      </c>
      <c r="E89">
        <v>61</v>
      </c>
    </row>
    <row r="90" spans="1:5" x14ac:dyDescent="0.2">
      <c r="A90" s="1">
        <v>45588</v>
      </c>
      <c r="B90" t="s">
        <v>1</v>
      </c>
      <c r="C90">
        <v>1</v>
      </c>
      <c r="D90" t="str">
        <f>_xlfn.XLOOKUP(RW_DT_PRODUCTION[[#This Row],[MATERIAL_ID]],DIM_MATERIAL[MATERIAL_ID],DIM_MATERIAL[UOM_AFTER_PROCESS])</f>
        <v>BALE</v>
      </c>
      <c r="E90">
        <v>89</v>
      </c>
    </row>
    <row r="91" spans="1:5" x14ac:dyDescent="0.2">
      <c r="A91" s="1">
        <v>45588</v>
      </c>
      <c r="B91" t="s">
        <v>1</v>
      </c>
      <c r="C91">
        <v>1</v>
      </c>
      <c r="D91" t="str">
        <f>_xlfn.XLOOKUP(RW_DT_PRODUCTION[[#This Row],[MATERIAL_ID]],DIM_MATERIAL[MATERIAL_ID],DIM_MATERIAL[UOM_AFTER_PROCESS])</f>
        <v>BALE</v>
      </c>
      <c r="E91">
        <v>83</v>
      </c>
    </row>
    <row r="92" spans="1:5" x14ac:dyDescent="0.2">
      <c r="A92" s="1">
        <v>45588</v>
      </c>
      <c r="B92" t="s">
        <v>1</v>
      </c>
      <c r="C92">
        <v>1</v>
      </c>
      <c r="D92" t="str">
        <f>_xlfn.XLOOKUP(RW_DT_PRODUCTION[[#This Row],[MATERIAL_ID]],DIM_MATERIAL[MATERIAL_ID],DIM_MATERIAL[UOM_AFTER_PROCESS])</f>
        <v>BALE</v>
      </c>
      <c r="E92">
        <v>74</v>
      </c>
    </row>
    <row r="93" spans="1:5" x14ac:dyDescent="0.2">
      <c r="A93" s="1">
        <v>45588</v>
      </c>
      <c r="B93" t="s">
        <v>1</v>
      </c>
      <c r="C93">
        <v>1</v>
      </c>
      <c r="D93" t="str">
        <f>_xlfn.XLOOKUP(RW_DT_PRODUCTION[[#This Row],[MATERIAL_ID]],DIM_MATERIAL[MATERIAL_ID],DIM_MATERIAL[UOM_AFTER_PROCESS])</f>
        <v>BALE</v>
      </c>
      <c r="E93">
        <v>88</v>
      </c>
    </row>
    <row r="94" spans="1:5" x14ac:dyDescent="0.2">
      <c r="A94" s="1">
        <v>45588</v>
      </c>
      <c r="B94" t="s">
        <v>1</v>
      </c>
      <c r="C94">
        <v>1</v>
      </c>
      <c r="D94" t="str">
        <f>_xlfn.XLOOKUP(RW_DT_PRODUCTION[[#This Row],[MATERIAL_ID]],DIM_MATERIAL[MATERIAL_ID],DIM_MATERIAL[UOM_AFTER_PROCESS])</f>
        <v>BALE</v>
      </c>
      <c r="E94">
        <v>72</v>
      </c>
    </row>
    <row r="95" spans="1:5" x14ac:dyDescent="0.2">
      <c r="A95" s="1">
        <v>45588</v>
      </c>
      <c r="B95" t="s">
        <v>1</v>
      </c>
      <c r="C95">
        <v>1</v>
      </c>
      <c r="D95" t="str">
        <f>_xlfn.XLOOKUP(RW_DT_PRODUCTION[[#This Row],[MATERIAL_ID]],DIM_MATERIAL[MATERIAL_ID],DIM_MATERIAL[UOM_AFTER_PROCESS])</f>
        <v>BALE</v>
      </c>
      <c r="E95">
        <v>73</v>
      </c>
    </row>
    <row r="96" spans="1:5" x14ac:dyDescent="0.2">
      <c r="A96" s="1">
        <v>45588</v>
      </c>
      <c r="B96" t="s">
        <v>1</v>
      </c>
      <c r="C96">
        <v>1</v>
      </c>
      <c r="D96" t="str">
        <f>_xlfn.XLOOKUP(RW_DT_PRODUCTION[[#This Row],[MATERIAL_ID]],DIM_MATERIAL[MATERIAL_ID],DIM_MATERIAL[UOM_AFTER_PROCESS])</f>
        <v>BALE</v>
      </c>
      <c r="E96">
        <v>79</v>
      </c>
    </row>
    <row r="97" spans="1:5" x14ac:dyDescent="0.2">
      <c r="A97" s="1">
        <v>45588</v>
      </c>
      <c r="B97" t="s">
        <v>1</v>
      </c>
      <c r="C97">
        <v>1</v>
      </c>
      <c r="D97" t="str">
        <f>_xlfn.XLOOKUP(RW_DT_PRODUCTION[[#This Row],[MATERIAL_ID]],DIM_MATERIAL[MATERIAL_ID],DIM_MATERIAL[UOM_AFTER_PROCESS])</f>
        <v>BALE</v>
      </c>
      <c r="E97">
        <v>88</v>
      </c>
    </row>
    <row r="98" spans="1:5" x14ac:dyDescent="0.2">
      <c r="A98" s="1">
        <v>45588</v>
      </c>
      <c r="B98" t="s">
        <v>1</v>
      </c>
      <c r="C98">
        <v>1</v>
      </c>
      <c r="D98" t="str">
        <f>_xlfn.XLOOKUP(RW_DT_PRODUCTION[[#This Row],[MATERIAL_ID]],DIM_MATERIAL[MATERIAL_ID],DIM_MATERIAL[UOM_AFTER_PROCESS])</f>
        <v>BALE</v>
      </c>
      <c r="E98">
        <v>83</v>
      </c>
    </row>
    <row r="99" spans="1:5" x14ac:dyDescent="0.2">
      <c r="A99" s="1">
        <v>45588</v>
      </c>
      <c r="B99" t="s">
        <v>1</v>
      </c>
      <c r="C99">
        <v>1</v>
      </c>
      <c r="D99" t="str">
        <f>_xlfn.XLOOKUP(RW_DT_PRODUCTION[[#This Row],[MATERIAL_ID]],DIM_MATERIAL[MATERIAL_ID],DIM_MATERIAL[UOM_AFTER_PROCESS])</f>
        <v>BALE</v>
      </c>
      <c r="E99">
        <v>81</v>
      </c>
    </row>
    <row r="100" spans="1:5" x14ac:dyDescent="0.2">
      <c r="A100" s="1">
        <v>45588</v>
      </c>
      <c r="B100" t="s">
        <v>1</v>
      </c>
      <c r="C100">
        <v>1</v>
      </c>
      <c r="D100" t="str">
        <f>_xlfn.XLOOKUP(RW_DT_PRODUCTION[[#This Row],[MATERIAL_ID]],DIM_MATERIAL[MATERIAL_ID],DIM_MATERIAL[UOM_AFTER_PROCESS])</f>
        <v>BALE</v>
      </c>
      <c r="E100">
        <v>63</v>
      </c>
    </row>
    <row r="101" spans="1:5" x14ac:dyDescent="0.2">
      <c r="A101" s="1">
        <v>45588</v>
      </c>
      <c r="B101" t="s">
        <v>1</v>
      </c>
      <c r="C101">
        <v>1</v>
      </c>
      <c r="D101" t="str">
        <f>_xlfn.XLOOKUP(RW_DT_PRODUCTION[[#This Row],[MATERIAL_ID]],DIM_MATERIAL[MATERIAL_ID],DIM_MATERIAL[UOM_AFTER_PROCESS])</f>
        <v>BALE</v>
      </c>
      <c r="E101">
        <v>89</v>
      </c>
    </row>
    <row r="102" spans="1:5" x14ac:dyDescent="0.2">
      <c r="A102" s="1">
        <v>45589</v>
      </c>
      <c r="B102" t="s">
        <v>1</v>
      </c>
      <c r="C102">
        <v>1</v>
      </c>
      <c r="D102" t="str">
        <f>_xlfn.XLOOKUP(RW_DT_PRODUCTION[[#This Row],[MATERIAL_ID]],DIM_MATERIAL[MATERIAL_ID],DIM_MATERIAL[UOM_AFTER_PROCESS])</f>
        <v>BALE</v>
      </c>
      <c r="E102">
        <v>80</v>
      </c>
    </row>
    <row r="103" spans="1:5" x14ac:dyDescent="0.2">
      <c r="A103" s="1">
        <v>45589</v>
      </c>
      <c r="B103" t="s">
        <v>1</v>
      </c>
      <c r="C103">
        <v>1</v>
      </c>
      <c r="D103" t="str">
        <f>_xlfn.XLOOKUP(RW_DT_PRODUCTION[[#This Row],[MATERIAL_ID]],DIM_MATERIAL[MATERIAL_ID],DIM_MATERIAL[UOM_AFTER_PROCESS])</f>
        <v>BALE</v>
      </c>
      <c r="E103">
        <v>76</v>
      </c>
    </row>
    <row r="104" spans="1:5" x14ac:dyDescent="0.2">
      <c r="A104" s="1">
        <v>45589</v>
      </c>
      <c r="B104" t="s">
        <v>1</v>
      </c>
      <c r="C104">
        <v>1</v>
      </c>
      <c r="D104" t="str">
        <f>_xlfn.XLOOKUP(RW_DT_PRODUCTION[[#This Row],[MATERIAL_ID]],DIM_MATERIAL[MATERIAL_ID],DIM_MATERIAL[UOM_AFTER_PROCESS])</f>
        <v>BALE</v>
      </c>
      <c r="E104">
        <v>77</v>
      </c>
    </row>
    <row r="105" spans="1:5" x14ac:dyDescent="0.2">
      <c r="A105" s="1">
        <v>45589</v>
      </c>
      <c r="B105" t="s">
        <v>1</v>
      </c>
      <c r="C105">
        <v>1</v>
      </c>
      <c r="D105" t="str">
        <f>_xlfn.XLOOKUP(RW_DT_PRODUCTION[[#This Row],[MATERIAL_ID]],DIM_MATERIAL[MATERIAL_ID],DIM_MATERIAL[UOM_AFTER_PROCESS])</f>
        <v>BALE</v>
      </c>
      <c r="E105">
        <v>81</v>
      </c>
    </row>
    <row r="106" spans="1:5" x14ac:dyDescent="0.2">
      <c r="A106" s="1">
        <v>45589</v>
      </c>
      <c r="B106" t="s">
        <v>1</v>
      </c>
      <c r="C106">
        <v>1</v>
      </c>
      <c r="D106" t="str">
        <f>_xlfn.XLOOKUP(RW_DT_PRODUCTION[[#This Row],[MATERIAL_ID]],DIM_MATERIAL[MATERIAL_ID],DIM_MATERIAL[UOM_AFTER_PROCESS])</f>
        <v>BALE</v>
      </c>
      <c r="E106">
        <v>82</v>
      </c>
    </row>
    <row r="107" spans="1:5" x14ac:dyDescent="0.2">
      <c r="A107" s="1">
        <v>45589</v>
      </c>
      <c r="B107" t="s">
        <v>1</v>
      </c>
      <c r="C107">
        <v>1</v>
      </c>
      <c r="D107" t="str">
        <f>_xlfn.XLOOKUP(RW_DT_PRODUCTION[[#This Row],[MATERIAL_ID]],DIM_MATERIAL[MATERIAL_ID],DIM_MATERIAL[UOM_AFTER_PROCESS])</f>
        <v>BALE</v>
      </c>
      <c r="E107">
        <v>79</v>
      </c>
    </row>
    <row r="108" spans="1:5" x14ac:dyDescent="0.2">
      <c r="A108" s="1">
        <v>45589</v>
      </c>
      <c r="B108" t="s">
        <v>1</v>
      </c>
      <c r="C108">
        <v>1</v>
      </c>
      <c r="D108" t="str">
        <f>_xlfn.XLOOKUP(RW_DT_PRODUCTION[[#This Row],[MATERIAL_ID]],DIM_MATERIAL[MATERIAL_ID],DIM_MATERIAL[UOM_AFTER_PROCESS])</f>
        <v>BALE</v>
      </c>
      <c r="E108">
        <v>72</v>
      </c>
    </row>
    <row r="109" spans="1:5" x14ac:dyDescent="0.2">
      <c r="A109" s="1">
        <v>45589</v>
      </c>
      <c r="B109" t="s">
        <v>1</v>
      </c>
      <c r="C109">
        <v>1</v>
      </c>
      <c r="D109" t="str">
        <f>_xlfn.XLOOKUP(RW_DT_PRODUCTION[[#This Row],[MATERIAL_ID]],DIM_MATERIAL[MATERIAL_ID],DIM_MATERIAL[UOM_AFTER_PROCESS])</f>
        <v>BALE</v>
      </c>
      <c r="E109">
        <v>84</v>
      </c>
    </row>
    <row r="110" spans="1:5" x14ac:dyDescent="0.2">
      <c r="A110" s="1">
        <v>45589</v>
      </c>
      <c r="B110" t="s">
        <v>1</v>
      </c>
      <c r="C110">
        <v>1</v>
      </c>
      <c r="D110" t="str">
        <f>_xlfn.XLOOKUP(RW_DT_PRODUCTION[[#This Row],[MATERIAL_ID]],DIM_MATERIAL[MATERIAL_ID],DIM_MATERIAL[UOM_AFTER_PROCESS])</f>
        <v>BALE</v>
      </c>
      <c r="E110">
        <v>67</v>
      </c>
    </row>
    <row r="111" spans="1:5" x14ac:dyDescent="0.2">
      <c r="A111" s="1">
        <v>45589</v>
      </c>
      <c r="B111" t="s">
        <v>1</v>
      </c>
      <c r="C111">
        <v>1</v>
      </c>
      <c r="D111" t="str">
        <f>_xlfn.XLOOKUP(RW_DT_PRODUCTION[[#This Row],[MATERIAL_ID]],DIM_MATERIAL[MATERIAL_ID],DIM_MATERIAL[UOM_AFTER_PROCESS])</f>
        <v>BALE</v>
      </c>
      <c r="E111">
        <v>74</v>
      </c>
    </row>
    <row r="112" spans="1:5" x14ac:dyDescent="0.2">
      <c r="A112" s="1">
        <v>45589</v>
      </c>
      <c r="B112" t="s">
        <v>1</v>
      </c>
      <c r="C112">
        <v>1</v>
      </c>
      <c r="D112" t="str">
        <f>_xlfn.XLOOKUP(RW_DT_PRODUCTION[[#This Row],[MATERIAL_ID]],DIM_MATERIAL[MATERIAL_ID],DIM_MATERIAL[UOM_AFTER_PROCESS])</f>
        <v>BALE</v>
      </c>
      <c r="E112">
        <v>68</v>
      </c>
    </row>
    <row r="113" spans="1:5" x14ac:dyDescent="0.2">
      <c r="A113" s="1">
        <v>45590</v>
      </c>
      <c r="B113" t="s">
        <v>1</v>
      </c>
      <c r="C113">
        <v>1</v>
      </c>
      <c r="D113" t="str">
        <f>_xlfn.XLOOKUP(RW_DT_PRODUCTION[[#This Row],[MATERIAL_ID]],DIM_MATERIAL[MATERIAL_ID],DIM_MATERIAL[UOM_AFTER_PROCESS])</f>
        <v>BALE</v>
      </c>
      <c r="E113">
        <v>77</v>
      </c>
    </row>
    <row r="114" spans="1:5" x14ac:dyDescent="0.2">
      <c r="A114" s="1">
        <v>45590</v>
      </c>
      <c r="B114" t="s">
        <v>1</v>
      </c>
      <c r="C114">
        <v>1</v>
      </c>
      <c r="D114" t="str">
        <f>_xlfn.XLOOKUP(RW_DT_PRODUCTION[[#This Row],[MATERIAL_ID]],DIM_MATERIAL[MATERIAL_ID],DIM_MATERIAL[UOM_AFTER_PROCESS])</f>
        <v>BALE</v>
      </c>
      <c r="E114">
        <v>75</v>
      </c>
    </row>
    <row r="115" spans="1:5" x14ac:dyDescent="0.2">
      <c r="A115" s="1">
        <v>45590</v>
      </c>
      <c r="B115" t="s">
        <v>1</v>
      </c>
      <c r="C115">
        <v>1</v>
      </c>
      <c r="D115" t="str">
        <f>_xlfn.XLOOKUP(RW_DT_PRODUCTION[[#This Row],[MATERIAL_ID]],DIM_MATERIAL[MATERIAL_ID],DIM_MATERIAL[UOM_AFTER_PROCESS])</f>
        <v>BALE</v>
      </c>
      <c r="E115">
        <v>71</v>
      </c>
    </row>
    <row r="116" spans="1:5" x14ac:dyDescent="0.2">
      <c r="A116" s="1">
        <v>45590</v>
      </c>
      <c r="B116" t="s">
        <v>1</v>
      </c>
      <c r="C116">
        <v>1</v>
      </c>
      <c r="D116" t="str">
        <f>_xlfn.XLOOKUP(RW_DT_PRODUCTION[[#This Row],[MATERIAL_ID]],DIM_MATERIAL[MATERIAL_ID],DIM_MATERIAL[UOM_AFTER_PROCESS])</f>
        <v>BALE</v>
      </c>
      <c r="E116">
        <v>64</v>
      </c>
    </row>
    <row r="117" spans="1:5" x14ac:dyDescent="0.2">
      <c r="A117" s="1">
        <v>45590</v>
      </c>
      <c r="B117" t="s">
        <v>1</v>
      </c>
      <c r="C117">
        <v>1</v>
      </c>
      <c r="D117" t="str">
        <f>_xlfn.XLOOKUP(RW_DT_PRODUCTION[[#This Row],[MATERIAL_ID]],DIM_MATERIAL[MATERIAL_ID],DIM_MATERIAL[UOM_AFTER_PROCESS])</f>
        <v>BALE</v>
      </c>
      <c r="E117">
        <v>78</v>
      </c>
    </row>
    <row r="118" spans="1:5" x14ac:dyDescent="0.2">
      <c r="A118" s="1">
        <v>45590</v>
      </c>
      <c r="B118" t="s">
        <v>1</v>
      </c>
      <c r="C118">
        <v>1</v>
      </c>
      <c r="D118" t="str">
        <f>_xlfn.XLOOKUP(RW_DT_PRODUCTION[[#This Row],[MATERIAL_ID]],DIM_MATERIAL[MATERIAL_ID],DIM_MATERIAL[UOM_AFTER_PROCESS])</f>
        <v>BALE</v>
      </c>
      <c r="E118">
        <v>61</v>
      </c>
    </row>
    <row r="119" spans="1:5" x14ac:dyDescent="0.2">
      <c r="A119" s="1">
        <v>45590</v>
      </c>
      <c r="B119" t="s">
        <v>1</v>
      </c>
      <c r="C119">
        <v>1</v>
      </c>
      <c r="D119" t="str">
        <f>_xlfn.XLOOKUP(RW_DT_PRODUCTION[[#This Row],[MATERIAL_ID]],DIM_MATERIAL[MATERIAL_ID],DIM_MATERIAL[UOM_AFTER_PROCESS])</f>
        <v>BALE</v>
      </c>
      <c r="E119">
        <v>65</v>
      </c>
    </row>
    <row r="120" spans="1:5" x14ac:dyDescent="0.2">
      <c r="A120" s="1">
        <v>45590</v>
      </c>
      <c r="B120" t="s">
        <v>1</v>
      </c>
      <c r="C120">
        <v>1</v>
      </c>
      <c r="D120" t="str">
        <f>_xlfn.XLOOKUP(RW_DT_PRODUCTION[[#This Row],[MATERIAL_ID]],DIM_MATERIAL[MATERIAL_ID],DIM_MATERIAL[UOM_AFTER_PROCESS])</f>
        <v>BALE</v>
      </c>
      <c r="E120">
        <v>81</v>
      </c>
    </row>
    <row r="121" spans="1:5" x14ac:dyDescent="0.2">
      <c r="A121" s="1">
        <v>45590</v>
      </c>
      <c r="B121" t="s">
        <v>1</v>
      </c>
      <c r="C121">
        <v>1</v>
      </c>
      <c r="D121" t="str">
        <f>_xlfn.XLOOKUP(RW_DT_PRODUCTION[[#This Row],[MATERIAL_ID]],DIM_MATERIAL[MATERIAL_ID],DIM_MATERIAL[UOM_AFTER_PROCESS])</f>
        <v>BALE</v>
      </c>
      <c r="E121">
        <v>69</v>
      </c>
    </row>
    <row r="122" spans="1:5" x14ac:dyDescent="0.2">
      <c r="A122" s="1">
        <v>45590</v>
      </c>
      <c r="B122" t="s">
        <v>1</v>
      </c>
      <c r="C122">
        <v>1</v>
      </c>
      <c r="D122" t="str">
        <f>_xlfn.XLOOKUP(RW_DT_PRODUCTION[[#This Row],[MATERIAL_ID]],DIM_MATERIAL[MATERIAL_ID],DIM_MATERIAL[UOM_AFTER_PROCESS])</f>
        <v>BALE</v>
      </c>
      <c r="E122">
        <v>60</v>
      </c>
    </row>
    <row r="123" spans="1:5" x14ac:dyDescent="0.2">
      <c r="A123" s="1">
        <v>45590</v>
      </c>
      <c r="B123" t="s">
        <v>1</v>
      </c>
      <c r="C123">
        <v>1</v>
      </c>
      <c r="D123" t="str">
        <f>_xlfn.XLOOKUP(RW_DT_PRODUCTION[[#This Row],[MATERIAL_ID]],DIM_MATERIAL[MATERIAL_ID],DIM_MATERIAL[UOM_AFTER_PROCESS])</f>
        <v>BALE</v>
      </c>
      <c r="E123">
        <v>63</v>
      </c>
    </row>
    <row r="124" spans="1:5" x14ac:dyDescent="0.2">
      <c r="A124" s="1">
        <v>45590</v>
      </c>
      <c r="B124" t="s">
        <v>1</v>
      </c>
      <c r="C124">
        <v>1</v>
      </c>
      <c r="D124" t="str">
        <f>_xlfn.XLOOKUP(RW_DT_PRODUCTION[[#This Row],[MATERIAL_ID]],DIM_MATERIAL[MATERIAL_ID],DIM_MATERIAL[UOM_AFTER_PROCESS])</f>
        <v>BALE</v>
      </c>
      <c r="E124">
        <v>68</v>
      </c>
    </row>
    <row r="125" spans="1:5" x14ac:dyDescent="0.2">
      <c r="A125" s="1">
        <v>45590</v>
      </c>
      <c r="B125" t="s">
        <v>1</v>
      </c>
      <c r="C125">
        <v>1</v>
      </c>
      <c r="D125" t="str">
        <f>_xlfn.XLOOKUP(RW_DT_PRODUCTION[[#This Row],[MATERIAL_ID]],DIM_MATERIAL[MATERIAL_ID],DIM_MATERIAL[UOM_AFTER_PROCESS])</f>
        <v>BALE</v>
      </c>
      <c r="E125">
        <v>60</v>
      </c>
    </row>
    <row r="126" spans="1:5" x14ac:dyDescent="0.2">
      <c r="A126" s="1">
        <v>45593</v>
      </c>
      <c r="B126" t="s">
        <v>1</v>
      </c>
      <c r="C126">
        <v>1</v>
      </c>
      <c r="D126" t="str">
        <f>_xlfn.XLOOKUP(RW_DT_PRODUCTION[[#This Row],[MATERIAL_ID]],DIM_MATERIAL[MATERIAL_ID],DIM_MATERIAL[UOM_AFTER_PROCESS])</f>
        <v>BALE</v>
      </c>
      <c r="E126">
        <v>77</v>
      </c>
    </row>
    <row r="127" spans="1:5" x14ac:dyDescent="0.2">
      <c r="A127" s="1">
        <v>45593</v>
      </c>
      <c r="B127" t="s">
        <v>1</v>
      </c>
      <c r="C127">
        <v>1</v>
      </c>
      <c r="D127" t="str">
        <f>_xlfn.XLOOKUP(RW_DT_PRODUCTION[[#This Row],[MATERIAL_ID]],DIM_MATERIAL[MATERIAL_ID],DIM_MATERIAL[UOM_AFTER_PROCESS])</f>
        <v>BALE</v>
      </c>
      <c r="E127">
        <v>89</v>
      </c>
    </row>
    <row r="128" spans="1:5" x14ac:dyDescent="0.2">
      <c r="A128" s="1">
        <v>45593</v>
      </c>
      <c r="B128" t="s">
        <v>1</v>
      </c>
      <c r="C128">
        <v>1</v>
      </c>
      <c r="D128" t="str">
        <f>_xlfn.XLOOKUP(RW_DT_PRODUCTION[[#This Row],[MATERIAL_ID]],DIM_MATERIAL[MATERIAL_ID],DIM_MATERIAL[UOM_AFTER_PROCESS])</f>
        <v>BALE</v>
      </c>
      <c r="E128">
        <v>72</v>
      </c>
    </row>
    <row r="129" spans="1:5" x14ac:dyDescent="0.2">
      <c r="A129" s="1">
        <v>45593</v>
      </c>
      <c r="B129" t="s">
        <v>1</v>
      </c>
      <c r="C129">
        <v>1</v>
      </c>
      <c r="D129" t="str">
        <f>_xlfn.XLOOKUP(RW_DT_PRODUCTION[[#This Row],[MATERIAL_ID]],DIM_MATERIAL[MATERIAL_ID],DIM_MATERIAL[UOM_AFTER_PROCESS])</f>
        <v>BALE</v>
      </c>
      <c r="E129">
        <v>71</v>
      </c>
    </row>
    <row r="130" spans="1:5" x14ac:dyDescent="0.2">
      <c r="A130">
        <v>45593</v>
      </c>
      <c r="B130" t="s">
        <v>1</v>
      </c>
      <c r="C130">
        <v>1</v>
      </c>
      <c r="D130" t="str">
        <f>_xlfn.XLOOKUP(RW_DT_PRODUCTION[[#This Row],[MATERIAL_ID]],DIM_MATERIAL[MATERIAL_ID],DIM_MATERIAL[UOM_AFTER_PROCESS])</f>
        <v>BALE</v>
      </c>
      <c r="E130">
        <v>74</v>
      </c>
    </row>
    <row r="131" spans="1:5" x14ac:dyDescent="0.2">
      <c r="A131" s="1">
        <v>45593</v>
      </c>
      <c r="B131" t="s">
        <v>1</v>
      </c>
      <c r="C131">
        <v>1</v>
      </c>
      <c r="D131" t="str">
        <f>_xlfn.XLOOKUP(RW_DT_PRODUCTION[[#This Row],[MATERIAL_ID]],DIM_MATERIAL[MATERIAL_ID],DIM_MATERIAL[UOM_AFTER_PROCESS])</f>
        <v>BALE</v>
      </c>
      <c r="E131">
        <v>73</v>
      </c>
    </row>
    <row r="132" spans="1:5" x14ac:dyDescent="0.2">
      <c r="A132" s="1">
        <v>45593</v>
      </c>
      <c r="B132" t="s">
        <v>1</v>
      </c>
      <c r="C132">
        <v>1</v>
      </c>
      <c r="D132" t="str">
        <f>_xlfn.XLOOKUP(RW_DT_PRODUCTION[[#This Row],[MATERIAL_ID]],DIM_MATERIAL[MATERIAL_ID],DIM_MATERIAL[UOM_AFTER_PROCESS])</f>
        <v>BALE</v>
      </c>
      <c r="E132">
        <v>60</v>
      </c>
    </row>
    <row r="133" spans="1:5" x14ac:dyDescent="0.2">
      <c r="A133" s="1">
        <v>45593</v>
      </c>
      <c r="B133" t="s">
        <v>1</v>
      </c>
      <c r="C133">
        <v>1</v>
      </c>
      <c r="D133" t="str">
        <f>_xlfn.XLOOKUP(RW_DT_PRODUCTION[[#This Row],[MATERIAL_ID]],DIM_MATERIAL[MATERIAL_ID],DIM_MATERIAL[UOM_AFTER_PROCESS])</f>
        <v>BALE</v>
      </c>
      <c r="E133">
        <v>82</v>
      </c>
    </row>
    <row r="134" spans="1:5" x14ac:dyDescent="0.2">
      <c r="A134" s="1">
        <v>45593</v>
      </c>
      <c r="B134" t="s">
        <v>1</v>
      </c>
      <c r="C134">
        <v>1</v>
      </c>
      <c r="D134" t="str">
        <f>_xlfn.XLOOKUP(RW_DT_PRODUCTION[[#This Row],[MATERIAL_ID]],DIM_MATERIAL[MATERIAL_ID],DIM_MATERIAL[UOM_AFTER_PROCESS])</f>
        <v>BALE</v>
      </c>
      <c r="E134">
        <v>63</v>
      </c>
    </row>
    <row r="135" spans="1:5" x14ac:dyDescent="0.2">
      <c r="A135" s="3">
        <v>45593</v>
      </c>
      <c r="B135" t="s">
        <v>2</v>
      </c>
      <c r="C135">
        <v>1</v>
      </c>
      <c r="D135" t="str">
        <f>_xlfn.XLOOKUP(RW_DT_PRODUCTION[[#This Row],[MATERIAL_ID]],DIM_MATERIAL[MATERIAL_ID],DIM_MATERIAL[UOM_AFTER_PROCESS])</f>
        <v>BAG</v>
      </c>
      <c r="E135">
        <v>22</v>
      </c>
    </row>
    <row r="136" spans="1:5" x14ac:dyDescent="0.2">
      <c r="A136" s="1">
        <v>45594</v>
      </c>
      <c r="B136" t="s">
        <v>1</v>
      </c>
      <c r="C136">
        <v>1</v>
      </c>
      <c r="D136" t="str">
        <f>_xlfn.XLOOKUP(RW_DT_PRODUCTION[[#This Row],[MATERIAL_ID]],DIM_MATERIAL[MATERIAL_ID],DIM_MATERIAL[UOM_AFTER_PROCESS])</f>
        <v>BALE</v>
      </c>
      <c r="E136">
        <v>83</v>
      </c>
    </row>
    <row r="137" spans="1:5" x14ac:dyDescent="0.2">
      <c r="A137" s="1">
        <v>45594</v>
      </c>
      <c r="B137" t="s">
        <v>1</v>
      </c>
      <c r="C137">
        <v>1</v>
      </c>
      <c r="D137" t="str">
        <f>_xlfn.XLOOKUP(RW_DT_PRODUCTION[[#This Row],[MATERIAL_ID]],DIM_MATERIAL[MATERIAL_ID],DIM_MATERIAL[UOM_AFTER_PROCESS])</f>
        <v>BALE</v>
      </c>
      <c r="E137">
        <v>76</v>
      </c>
    </row>
    <row r="138" spans="1:5" x14ac:dyDescent="0.2">
      <c r="A138" s="1">
        <v>45594</v>
      </c>
      <c r="B138" t="s">
        <v>1</v>
      </c>
      <c r="C138">
        <v>1</v>
      </c>
      <c r="D138" t="str">
        <f>_xlfn.XLOOKUP(RW_DT_PRODUCTION[[#This Row],[MATERIAL_ID]],DIM_MATERIAL[MATERIAL_ID],DIM_MATERIAL[UOM_AFTER_PROCESS])</f>
        <v>BALE</v>
      </c>
      <c r="E138">
        <v>61</v>
      </c>
    </row>
    <row r="139" spans="1:5" x14ac:dyDescent="0.2">
      <c r="A139" s="1">
        <v>45594</v>
      </c>
      <c r="B139" t="s">
        <v>1</v>
      </c>
      <c r="C139">
        <v>1</v>
      </c>
      <c r="D139" t="str">
        <f>_xlfn.XLOOKUP(RW_DT_PRODUCTION[[#This Row],[MATERIAL_ID]],DIM_MATERIAL[MATERIAL_ID],DIM_MATERIAL[UOM_AFTER_PROCESS])</f>
        <v>BALE</v>
      </c>
      <c r="E139">
        <v>67</v>
      </c>
    </row>
    <row r="140" spans="1:5" x14ac:dyDescent="0.2">
      <c r="A140" s="1">
        <v>45594</v>
      </c>
      <c r="B140" t="s">
        <v>1</v>
      </c>
      <c r="C140">
        <v>1</v>
      </c>
      <c r="D140" t="str">
        <f>_xlfn.XLOOKUP(RW_DT_PRODUCTION[[#This Row],[MATERIAL_ID]],DIM_MATERIAL[MATERIAL_ID],DIM_MATERIAL[UOM_AFTER_PROCESS])</f>
        <v>BALE</v>
      </c>
      <c r="E140">
        <v>74</v>
      </c>
    </row>
    <row r="141" spans="1:5" x14ac:dyDescent="0.2">
      <c r="A141" s="1">
        <v>45594</v>
      </c>
      <c r="B141" t="s">
        <v>1</v>
      </c>
      <c r="C141">
        <v>1</v>
      </c>
      <c r="D141" t="str">
        <f>_xlfn.XLOOKUP(RW_DT_PRODUCTION[[#This Row],[MATERIAL_ID]],DIM_MATERIAL[MATERIAL_ID],DIM_MATERIAL[UOM_AFTER_PROCESS])</f>
        <v>BALE</v>
      </c>
      <c r="E141">
        <v>80</v>
      </c>
    </row>
    <row r="142" spans="1:5" x14ac:dyDescent="0.2">
      <c r="A142" s="1">
        <v>45594</v>
      </c>
      <c r="B142" t="s">
        <v>1</v>
      </c>
      <c r="C142">
        <v>1</v>
      </c>
      <c r="D142" t="str">
        <f>_xlfn.XLOOKUP(RW_DT_PRODUCTION[[#This Row],[MATERIAL_ID]],DIM_MATERIAL[MATERIAL_ID],DIM_MATERIAL[UOM_AFTER_PROCESS])</f>
        <v>BALE</v>
      </c>
      <c r="E142">
        <v>76</v>
      </c>
    </row>
    <row r="143" spans="1:5" x14ac:dyDescent="0.2">
      <c r="A143" s="1">
        <v>45594</v>
      </c>
      <c r="B143" t="s">
        <v>1</v>
      </c>
      <c r="C143">
        <v>1</v>
      </c>
      <c r="D143" t="str">
        <f>_xlfn.XLOOKUP(RW_DT_PRODUCTION[[#This Row],[MATERIAL_ID]],DIM_MATERIAL[MATERIAL_ID],DIM_MATERIAL[UOM_AFTER_PROCESS])</f>
        <v>BALE</v>
      </c>
      <c r="E143">
        <v>75</v>
      </c>
    </row>
    <row r="144" spans="1:5" x14ac:dyDescent="0.2">
      <c r="A144" s="1">
        <v>45594</v>
      </c>
      <c r="B144" t="s">
        <v>1</v>
      </c>
      <c r="C144">
        <v>1</v>
      </c>
      <c r="D144" t="str">
        <f>_xlfn.XLOOKUP(RW_DT_PRODUCTION[[#This Row],[MATERIAL_ID]],DIM_MATERIAL[MATERIAL_ID],DIM_MATERIAL[UOM_AFTER_PROCESS])</f>
        <v>BALE</v>
      </c>
      <c r="E144">
        <v>64</v>
      </c>
    </row>
    <row r="145" spans="1:5" x14ac:dyDescent="0.2">
      <c r="A145" s="1">
        <v>45594</v>
      </c>
      <c r="B145" t="s">
        <v>1</v>
      </c>
      <c r="C145">
        <v>1</v>
      </c>
      <c r="D145" t="str">
        <f>_xlfn.XLOOKUP(RW_DT_PRODUCTION[[#This Row],[MATERIAL_ID]],DIM_MATERIAL[MATERIAL_ID],DIM_MATERIAL[UOM_AFTER_PROCESS])</f>
        <v>BALE</v>
      </c>
      <c r="E145">
        <v>70</v>
      </c>
    </row>
    <row r="146" spans="1:5" x14ac:dyDescent="0.2">
      <c r="A146" s="1">
        <v>45594</v>
      </c>
      <c r="B146" t="s">
        <v>1</v>
      </c>
      <c r="C146">
        <v>1</v>
      </c>
      <c r="D146" t="str">
        <f>_xlfn.XLOOKUP(RW_DT_PRODUCTION[[#This Row],[MATERIAL_ID]],DIM_MATERIAL[MATERIAL_ID],DIM_MATERIAL[UOM_AFTER_PROCESS])</f>
        <v>BALE</v>
      </c>
      <c r="E146">
        <v>76</v>
      </c>
    </row>
    <row r="147" spans="1:5" x14ac:dyDescent="0.2">
      <c r="A147" s="1">
        <v>45594</v>
      </c>
      <c r="B147" t="s">
        <v>1</v>
      </c>
      <c r="C147">
        <v>1</v>
      </c>
      <c r="D147" t="str">
        <f>_xlfn.XLOOKUP(RW_DT_PRODUCTION[[#This Row],[MATERIAL_ID]],DIM_MATERIAL[MATERIAL_ID],DIM_MATERIAL[UOM_AFTER_PROCESS])</f>
        <v>BALE</v>
      </c>
      <c r="E147">
        <v>74</v>
      </c>
    </row>
    <row r="148" spans="1:5" x14ac:dyDescent="0.2">
      <c r="A148" s="1">
        <v>45594</v>
      </c>
      <c r="B148" t="s">
        <v>1</v>
      </c>
      <c r="C148">
        <v>1</v>
      </c>
      <c r="D148" t="str">
        <f>_xlfn.XLOOKUP(RW_DT_PRODUCTION[[#This Row],[MATERIAL_ID]],DIM_MATERIAL[MATERIAL_ID],DIM_MATERIAL[UOM_AFTER_PROCESS])</f>
        <v>BALE</v>
      </c>
      <c r="E148">
        <v>68</v>
      </c>
    </row>
    <row r="149" spans="1:5" x14ac:dyDescent="0.2">
      <c r="A149" s="1">
        <v>45594</v>
      </c>
      <c r="B149" t="s">
        <v>1</v>
      </c>
      <c r="C149">
        <v>1</v>
      </c>
      <c r="D149" t="str">
        <f>_xlfn.XLOOKUP(RW_DT_PRODUCTION[[#This Row],[MATERIAL_ID]],DIM_MATERIAL[MATERIAL_ID],DIM_MATERIAL[UOM_AFTER_PROCESS])</f>
        <v>BALE</v>
      </c>
      <c r="E149">
        <v>81</v>
      </c>
    </row>
    <row r="150" spans="1:5" x14ac:dyDescent="0.2">
      <c r="A150" s="1">
        <v>45594</v>
      </c>
      <c r="B150" t="s">
        <v>1</v>
      </c>
      <c r="C150">
        <v>1</v>
      </c>
      <c r="D150" t="str">
        <f>_xlfn.XLOOKUP(RW_DT_PRODUCTION[[#This Row],[MATERIAL_ID]],DIM_MATERIAL[MATERIAL_ID],DIM_MATERIAL[UOM_AFTER_PROCESS])</f>
        <v>BALE</v>
      </c>
      <c r="E150">
        <v>75</v>
      </c>
    </row>
    <row r="151" spans="1:5" x14ac:dyDescent="0.2">
      <c r="A151" s="1">
        <v>45594</v>
      </c>
      <c r="B151" t="s">
        <v>1</v>
      </c>
      <c r="C151">
        <v>1</v>
      </c>
      <c r="D151" t="str">
        <f>_xlfn.XLOOKUP(RW_DT_PRODUCTION[[#This Row],[MATERIAL_ID]],DIM_MATERIAL[MATERIAL_ID],DIM_MATERIAL[UOM_AFTER_PROCESS])</f>
        <v>BALE</v>
      </c>
      <c r="E151">
        <v>80</v>
      </c>
    </row>
    <row r="152" spans="1:5" x14ac:dyDescent="0.2">
      <c r="A152" s="1">
        <v>45595</v>
      </c>
      <c r="B152" t="s">
        <v>1</v>
      </c>
      <c r="C152">
        <v>1</v>
      </c>
      <c r="D152" t="str">
        <f>_xlfn.XLOOKUP(RW_DT_PRODUCTION[[#This Row],[MATERIAL_ID]],DIM_MATERIAL[MATERIAL_ID],DIM_MATERIAL[UOM_AFTER_PROCESS])</f>
        <v>BALE</v>
      </c>
      <c r="E152">
        <v>71</v>
      </c>
    </row>
    <row r="153" spans="1:5" x14ac:dyDescent="0.2">
      <c r="A153" s="1">
        <v>45595</v>
      </c>
      <c r="B153" t="s">
        <v>1</v>
      </c>
      <c r="C153">
        <v>1</v>
      </c>
      <c r="D153" t="str">
        <f>_xlfn.XLOOKUP(RW_DT_PRODUCTION[[#This Row],[MATERIAL_ID]],DIM_MATERIAL[MATERIAL_ID],DIM_MATERIAL[UOM_AFTER_PROCESS])</f>
        <v>BALE</v>
      </c>
      <c r="E153">
        <v>67</v>
      </c>
    </row>
    <row r="154" spans="1:5" x14ac:dyDescent="0.2">
      <c r="A154" s="1">
        <v>45595</v>
      </c>
      <c r="B154" t="s">
        <v>1</v>
      </c>
      <c r="C154">
        <v>1</v>
      </c>
      <c r="D154" t="str">
        <f>_xlfn.XLOOKUP(RW_DT_PRODUCTION[[#This Row],[MATERIAL_ID]],DIM_MATERIAL[MATERIAL_ID],DIM_MATERIAL[UOM_AFTER_PROCESS])</f>
        <v>BALE</v>
      </c>
      <c r="E154">
        <v>73</v>
      </c>
    </row>
    <row r="155" spans="1:5" x14ac:dyDescent="0.2">
      <c r="A155" s="1">
        <v>45595</v>
      </c>
      <c r="B155" t="s">
        <v>1</v>
      </c>
      <c r="C155">
        <v>1</v>
      </c>
      <c r="D155" t="str">
        <f>_xlfn.XLOOKUP(RW_DT_PRODUCTION[[#This Row],[MATERIAL_ID]],DIM_MATERIAL[MATERIAL_ID],DIM_MATERIAL[UOM_AFTER_PROCESS])</f>
        <v>BALE</v>
      </c>
      <c r="E155">
        <v>74</v>
      </c>
    </row>
    <row r="156" spans="1:5" x14ac:dyDescent="0.2">
      <c r="A156" s="1">
        <v>45595</v>
      </c>
      <c r="B156" t="s">
        <v>1</v>
      </c>
      <c r="C156">
        <v>1</v>
      </c>
      <c r="D156" t="str">
        <f>_xlfn.XLOOKUP(RW_DT_PRODUCTION[[#This Row],[MATERIAL_ID]],DIM_MATERIAL[MATERIAL_ID],DIM_MATERIAL[UOM_AFTER_PROCESS])</f>
        <v>BALE</v>
      </c>
      <c r="E156">
        <v>72</v>
      </c>
    </row>
    <row r="157" spans="1:5" x14ac:dyDescent="0.2">
      <c r="A157" s="1">
        <v>45595</v>
      </c>
      <c r="B157" t="s">
        <v>1</v>
      </c>
      <c r="C157">
        <v>1</v>
      </c>
      <c r="D157" t="str">
        <f>_xlfn.XLOOKUP(RW_DT_PRODUCTION[[#This Row],[MATERIAL_ID]],DIM_MATERIAL[MATERIAL_ID],DIM_MATERIAL[UOM_AFTER_PROCESS])</f>
        <v>BALE</v>
      </c>
      <c r="E157">
        <v>79</v>
      </c>
    </row>
    <row r="158" spans="1:5" x14ac:dyDescent="0.2">
      <c r="A158" s="1">
        <v>45595</v>
      </c>
      <c r="B158" t="s">
        <v>1</v>
      </c>
      <c r="C158">
        <v>1</v>
      </c>
      <c r="D158" t="str">
        <f>_xlfn.XLOOKUP(RW_DT_PRODUCTION[[#This Row],[MATERIAL_ID]],DIM_MATERIAL[MATERIAL_ID],DIM_MATERIAL[UOM_AFTER_PROCESS])</f>
        <v>BALE</v>
      </c>
      <c r="E158">
        <v>86</v>
      </c>
    </row>
    <row r="159" spans="1:5" x14ac:dyDescent="0.2">
      <c r="A159" s="1">
        <v>45595</v>
      </c>
      <c r="B159" t="s">
        <v>1</v>
      </c>
      <c r="C159">
        <v>1</v>
      </c>
      <c r="D159" t="str">
        <f>_xlfn.XLOOKUP(RW_DT_PRODUCTION[[#This Row],[MATERIAL_ID]],DIM_MATERIAL[MATERIAL_ID],DIM_MATERIAL[UOM_AFTER_PROCESS])</f>
        <v>BALE</v>
      </c>
      <c r="E159">
        <v>73</v>
      </c>
    </row>
    <row r="160" spans="1:5" x14ac:dyDescent="0.2">
      <c r="A160" s="1">
        <v>45595</v>
      </c>
      <c r="B160" t="s">
        <v>1</v>
      </c>
      <c r="C160">
        <v>1</v>
      </c>
      <c r="D160" t="str">
        <f>_xlfn.XLOOKUP(RW_DT_PRODUCTION[[#This Row],[MATERIAL_ID]],DIM_MATERIAL[MATERIAL_ID],DIM_MATERIAL[UOM_AFTER_PROCESS])</f>
        <v>BALE</v>
      </c>
      <c r="E160">
        <v>72</v>
      </c>
    </row>
    <row r="161" spans="1:5" x14ac:dyDescent="0.2">
      <c r="A161" s="1">
        <v>45595</v>
      </c>
      <c r="B161" t="s">
        <v>1</v>
      </c>
      <c r="C161">
        <v>1</v>
      </c>
      <c r="D161" t="str">
        <f>_xlfn.XLOOKUP(RW_DT_PRODUCTION[[#This Row],[MATERIAL_ID]],DIM_MATERIAL[MATERIAL_ID],DIM_MATERIAL[UOM_AFTER_PROCESS])</f>
        <v>BALE</v>
      </c>
      <c r="E161">
        <v>76</v>
      </c>
    </row>
    <row r="162" spans="1:5" x14ac:dyDescent="0.2">
      <c r="A162" s="1">
        <v>45595</v>
      </c>
      <c r="B162" t="s">
        <v>1</v>
      </c>
      <c r="C162">
        <v>1</v>
      </c>
      <c r="D162" t="str">
        <f>_xlfn.XLOOKUP(RW_DT_PRODUCTION[[#This Row],[MATERIAL_ID]],DIM_MATERIAL[MATERIAL_ID],DIM_MATERIAL[UOM_AFTER_PROCESS])</f>
        <v>BALE</v>
      </c>
      <c r="E162">
        <v>83</v>
      </c>
    </row>
    <row r="163" spans="1:5" x14ac:dyDescent="0.2">
      <c r="A163" s="1">
        <v>45595</v>
      </c>
      <c r="B163" t="s">
        <v>1</v>
      </c>
      <c r="C163">
        <v>1</v>
      </c>
      <c r="D163" t="str">
        <f>_xlfn.XLOOKUP(RW_DT_PRODUCTION[[#This Row],[MATERIAL_ID]],DIM_MATERIAL[MATERIAL_ID],DIM_MATERIAL[UOM_AFTER_PROCESS])</f>
        <v>BALE</v>
      </c>
      <c r="E163">
        <v>62</v>
      </c>
    </row>
    <row r="164" spans="1:5" x14ac:dyDescent="0.2">
      <c r="A164" s="1">
        <v>45596</v>
      </c>
      <c r="B164" t="s">
        <v>1</v>
      </c>
      <c r="C164">
        <v>1</v>
      </c>
      <c r="D164" t="str">
        <f>_xlfn.XLOOKUP(RW_DT_PRODUCTION[[#This Row],[MATERIAL_ID]],DIM_MATERIAL[MATERIAL_ID],DIM_MATERIAL[UOM_AFTER_PROCESS])</f>
        <v>BALE</v>
      </c>
      <c r="E164">
        <v>75</v>
      </c>
    </row>
    <row r="165" spans="1:5" x14ac:dyDescent="0.2">
      <c r="A165" s="1">
        <v>45596</v>
      </c>
      <c r="B165" t="s">
        <v>1</v>
      </c>
      <c r="C165">
        <v>1</v>
      </c>
      <c r="D165" t="str">
        <f>_xlfn.XLOOKUP(RW_DT_PRODUCTION[[#This Row],[MATERIAL_ID]],DIM_MATERIAL[MATERIAL_ID],DIM_MATERIAL[UOM_AFTER_PROCESS])</f>
        <v>BALE</v>
      </c>
      <c r="E165">
        <v>80</v>
      </c>
    </row>
    <row r="166" spans="1:5" x14ac:dyDescent="0.2">
      <c r="A166" s="1">
        <v>45596</v>
      </c>
      <c r="B166" t="s">
        <v>1</v>
      </c>
      <c r="C166">
        <v>1</v>
      </c>
      <c r="D166" t="str">
        <f>_xlfn.XLOOKUP(RW_DT_PRODUCTION[[#This Row],[MATERIAL_ID]],DIM_MATERIAL[MATERIAL_ID],DIM_MATERIAL[UOM_AFTER_PROCESS])</f>
        <v>BALE</v>
      </c>
      <c r="E166">
        <v>80</v>
      </c>
    </row>
    <row r="167" spans="1:5" x14ac:dyDescent="0.2">
      <c r="A167" s="1">
        <v>45596</v>
      </c>
      <c r="B167" t="s">
        <v>1</v>
      </c>
      <c r="C167">
        <v>1</v>
      </c>
      <c r="D167" t="str">
        <f>_xlfn.XLOOKUP(RW_DT_PRODUCTION[[#This Row],[MATERIAL_ID]],DIM_MATERIAL[MATERIAL_ID],DIM_MATERIAL[UOM_AFTER_PROCESS])</f>
        <v>BALE</v>
      </c>
      <c r="E167">
        <v>77</v>
      </c>
    </row>
    <row r="168" spans="1:5" x14ac:dyDescent="0.2">
      <c r="A168" s="1">
        <v>45596</v>
      </c>
      <c r="B168" t="s">
        <v>1</v>
      </c>
      <c r="C168">
        <v>1</v>
      </c>
      <c r="D168" t="str">
        <f>_xlfn.XLOOKUP(RW_DT_PRODUCTION[[#This Row],[MATERIAL_ID]],DIM_MATERIAL[MATERIAL_ID],DIM_MATERIAL[UOM_AFTER_PROCESS])</f>
        <v>BALE</v>
      </c>
      <c r="E168">
        <v>71</v>
      </c>
    </row>
    <row r="169" spans="1:5" x14ac:dyDescent="0.2">
      <c r="A169" s="1">
        <v>45596</v>
      </c>
      <c r="B169" t="s">
        <v>1</v>
      </c>
      <c r="C169">
        <v>1</v>
      </c>
      <c r="D169" t="str">
        <f>_xlfn.XLOOKUP(RW_DT_PRODUCTION[[#This Row],[MATERIAL_ID]],DIM_MATERIAL[MATERIAL_ID],DIM_MATERIAL[UOM_AFTER_PROCESS])</f>
        <v>BALE</v>
      </c>
      <c r="E169">
        <v>69</v>
      </c>
    </row>
    <row r="170" spans="1:5" x14ac:dyDescent="0.2">
      <c r="A170" s="1">
        <v>45596</v>
      </c>
      <c r="B170" t="s">
        <v>1</v>
      </c>
      <c r="C170">
        <v>1</v>
      </c>
      <c r="D170" t="str">
        <f>_xlfn.XLOOKUP(RW_DT_PRODUCTION[[#This Row],[MATERIAL_ID]],DIM_MATERIAL[MATERIAL_ID],DIM_MATERIAL[UOM_AFTER_PROCESS])</f>
        <v>BALE</v>
      </c>
      <c r="E170">
        <v>66</v>
      </c>
    </row>
    <row r="171" spans="1:5" x14ac:dyDescent="0.2">
      <c r="A171" s="1">
        <v>45596</v>
      </c>
      <c r="B171" t="s">
        <v>1</v>
      </c>
      <c r="C171">
        <v>1</v>
      </c>
      <c r="D171" t="str">
        <f>_xlfn.XLOOKUP(RW_DT_PRODUCTION[[#This Row],[MATERIAL_ID]],DIM_MATERIAL[MATERIAL_ID],DIM_MATERIAL[UOM_AFTER_PROCESS])</f>
        <v>BALE</v>
      </c>
      <c r="E171">
        <v>68</v>
      </c>
    </row>
    <row r="172" spans="1:5" x14ac:dyDescent="0.2">
      <c r="A172" s="1">
        <v>45596</v>
      </c>
      <c r="B172" t="s">
        <v>1</v>
      </c>
      <c r="C172">
        <v>1</v>
      </c>
      <c r="D172" t="str">
        <f>_xlfn.XLOOKUP(RW_DT_PRODUCTION[[#This Row],[MATERIAL_ID]],DIM_MATERIAL[MATERIAL_ID],DIM_MATERIAL[UOM_AFTER_PROCESS])</f>
        <v>BALE</v>
      </c>
      <c r="E172">
        <v>66</v>
      </c>
    </row>
    <row r="173" spans="1:5" x14ac:dyDescent="0.2">
      <c r="A173" s="1">
        <v>45596</v>
      </c>
      <c r="B173" t="s">
        <v>1</v>
      </c>
      <c r="C173">
        <v>1</v>
      </c>
      <c r="D173" t="str">
        <f>_xlfn.XLOOKUP(RW_DT_PRODUCTION[[#This Row],[MATERIAL_ID]],DIM_MATERIAL[MATERIAL_ID],DIM_MATERIAL[UOM_AFTER_PROCESS])</f>
        <v>BALE</v>
      </c>
      <c r="E173">
        <v>65</v>
      </c>
    </row>
    <row r="174" spans="1:5" x14ac:dyDescent="0.2">
      <c r="A174" s="1">
        <v>45596</v>
      </c>
      <c r="B174" t="s">
        <v>1</v>
      </c>
      <c r="C174">
        <v>1</v>
      </c>
      <c r="D174" t="str">
        <f>_xlfn.XLOOKUP(RW_DT_PRODUCTION[[#This Row],[MATERIAL_ID]],DIM_MATERIAL[MATERIAL_ID],DIM_MATERIAL[UOM_AFTER_PROCESS])</f>
        <v>BALE</v>
      </c>
      <c r="E174">
        <v>86</v>
      </c>
    </row>
    <row r="175" spans="1:5" x14ac:dyDescent="0.2">
      <c r="A175" s="1">
        <v>45596</v>
      </c>
      <c r="B175" t="s">
        <v>1</v>
      </c>
      <c r="C175">
        <v>1</v>
      </c>
      <c r="D175" t="str">
        <f>_xlfn.XLOOKUP(RW_DT_PRODUCTION[[#This Row],[MATERIAL_ID]],DIM_MATERIAL[MATERIAL_ID],DIM_MATERIAL[UOM_AFTER_PROCESS])</f>
        <v>BALE</v>
      </c>
      <c r="E175">
        <v>77</v>
      </c>
    </row>
    <row r="176" spans="1:5" x14ac:dyDescent="0.2">
      <c r="A176" s="1">
        <v>45596</v>
      </c>
      <c r="B176" t="s">
        <v>1</v>
      </c>
      <c r="C176">
        <v>1</v>
      </c>
      <c r="D176" t="str">
        <f>_xlfn.XLOOKUP(RW_DT_PRODUCTION[[#This Row],[MATERIAL_ID]],DIM_MATERIAL[MATERIAL_ID],DIM_MATERIAL[UOM_AFTER_PROCESS])</f>
        <v>BALE</v>
      </c>
      <c r="E176">
        <v>64</v>
      </c>
    </row>
    <row r="177" spans="1:5" x14ac:dyDescent="0.2">
      <c r="A177" s="1">
        <v>45596</v>
      </c>
      <c r="B177" t="s">
        <v>1</v>
      </c>
      <c r="C177">
        <v>1</v>
      </c>
      <c r="D177" t="str">
        <f>_xlfn.XLOOKUP(RW_DT_PRODUCTION[[#This Row],[MATERIAL_ID]],DIM_MATERIAL[MATERIAL_ID],DIM_MATERIAL[UOM_AFTER_PROCESS])</f>
        <v>BALE</v>
      </c>
      <c r="E177">
        <v>84</v>
      </c>
    </row>
    <row r="178" spans="1:5" x14ac:dyDescent="0.2">
      <c r="A178" s="1">
        <v>45596</v>
      </c>
      <c r="B178" t="s">
        <v>1</v>
      </c>
      <c r="C178">
        <v>1</v>
      </c>
      <c r="D178" t="str">
        <f>_xlfn.XLOOKUP(RW_DT_PRODUCTION[[#This Row],[MATERIAL_ID]],DIM_MATERIAL[MATERIAL_ID],DIM_MATERIAL[UOM_AFTER_PROCESS])</f>
        <v>BALE</v>
      </c>
      <c r="E178">
        <v>84</v>
      </c>
    </row>
    <row r="179" spans="1:5" x14ac:dyDescent="0.2">
      <c r="A179" s="1">
        <v>45596</v>
      </c>
      <c r="B179" t="s">
        <v>1</v>
      </c>
      <c r="C179">
        <v>1</v>
      </c>
      <c r="D179" t="str">
        <f>_xlfn.XLOOKUP(RW_DT_PRODUCTION[[#This Row],[MATERIAL_ID]],DIM_MATERIAL[MATERIAL_ID],DIM_MATERIAL[UOM_AFTER_PROCESS])</f>
        <v>BALE</v>
      </c>
      <c r="E179">
        <v>89</v>
      </c>
    </row>
    <row r="180" spans="1:5" x14ac:dyDescent="0.2">
      <c r="A180" s="1">
        <v>45596</v>
      </c>
      <c r="B180" t="s">
        <v>1</v>
      </c>
      <c r="C180">
        <v>1</v>
      </c>
      <c r="D180" t="str">
        <f>_xlfn.XLOOKUP(RW_DT_PRODUCTION[[#This Row],[MATERIAL_ID]],DIM_MATERIAL[MATERIAL_ID],DIM_MATERIAL[UOM_AFTER_PROCESS])</f>
        <v>BALE</v>
      </c>
      <c r="E180">
        <v>64</v>
      </c>
    </row>
    <row r="181" spans="1:5" x14ac:dyDescent="0.2">
      <c r="A181" s="3">
        <v>45596</v>
      </c>
      <c r="B181" t="s">
        <v>2</v>
      </c>
      <c r="C181">
        <v>1</v>
      </c>
      <c r="D181" t="str">
        <f>_xlfn.XLOOKUP(RW_DT_PRODUCTION[[#This Row],[MATERIAL_ID]],DIM_MATERIAL[MATERIAL_ID],DIM_MATERIAL[UOM_AFTER_PROCESS])</f>
        <v>BAG</v>
      </c>
      <c r="E181">
        <v>22</v>
      </c>
    </row>
    <row r="182" spans="1:5" x14ac:dyDescent="0.2">
      <c r="A182" s="1">
        <v>45597</v>
      </c>
      <c r="B182" t="s">
        <v>1</v>
      </c>
      <c r="C182">
        <v>1</v>
      </c>
      <c r="D182" t="str">
        <f>_xlfn.XLOOKUP(RW_DT_PRODUCTION[[#This Row],[MATERIAL_ID]],DIM_MATERIAL[MATERIAL_ID],DIM_MATERIAL[UOM_AFTER_PROCESS])</f>
        <v>BALE</v>
      </c>
      <c r="E182">
        <v>67</v>
      </c>
    </row>
    <row r="183" spans="1:5" x14ac:dyDescent="0.2">
      <c r="A183" s="1">
        <v>45597</v>
      </c>
      <c r="B183" t="s">
        <v>1</v>
      </c>
      <c r="C183">
        <v>1</v>
      </c>
      <c r="D183" t="str">
        <f>_xlfn.XLOOKUP(RW_DT_PRODUCTION[[#This Row],[MATERIAL_ID]],DIM_MATERIAL[MATERIAL_ID],DIM_MATERIAL[UOM_AFTER_PROCESS])</f>
        <v>BALE</v>
      </c>
      <c r="E183">
        <v>74</v>
      </c>
    </row>
    <row r="184" spans="1:5" x14ac:dyDescent="0.2">
      <c r="A184" s="1">
        <v>45597</v>
      </c>
      <c r="B184" t="s">
        <v>1</v>
      </c>
      <c r="C184">
        <v>1</v>
      </c>
      <c r="D184" t="str">
        <f>_xlfn.XLOOKUP(RW_DT_PRODUCTION[[#This Row],[MATERIAL_ID]],DIM_MATERIAL[MATERIAL_ID],DIM_MATERIAL[UOM_AFTER_PROCESS])</f>
        <v>BALE</v>
      </c>
      <c r="E184">
        <v>84</v>
      </c>
    </row>
    <row r="185" spans="1:5" x14ac:dyDescent="0.2">
      <c r="A185" s="1">
        <v>45597</v>
      </c>
      <c r="B185" t="s">
        <v>1</v>
      </c>
      <c r="C185">
        <v>1</v>
      </c>
      <c r="D185" t="str">
        <f>_xlfn.XLOOKUP(RW_DT_PRODUCTION[[#This Row],[MATERIAL_ID]],DIM_MATERIAL[MATERIAL_ID],DIM_MATERIAL[UOM_AFTER_PROCESS])</f>
        <v>BALE</v>
      </c>
      <c r="E185">
        <v>84</v>
      </c>
    </row>
    <row r="186" spans="1:5" x14ac:dyDescent="0.2">
      <c r="A186" s="1">
        <v>45597</v>
      </c>
      <c r="B186" t="s">
        <v>1</v>
      </c>
      <c r="C186">
        <v>1</v>
      </c>
      <c r="D186" t="str">
        <f>_xlfn.XLOOKUP(RW_DT_PRODUCTION[[#This Row],[MATERIAL_ID]],DIM_MATERIAL[MATERIAL_ID],DIM_MATERIAL[UOM_AFTER_PROCESS])</f>
        <v>BALE</v>
      </c>
      <c r="E186">
        <v>83</v>
      </c>
    </row>
    <row r="187" spans="1:5" x14ac:dyDescent="0.2">
      <c r="A187" s="1">
        <v>45597</v>
      </c>
      <c r="B187" t="s">
        <v>1</v>
      </c>
      <c r="C187">
        <v>1</v>
      </c>
      <c r="D187" t="str">
        <f>_xlfn.XLOOKUP(RW_DT_PRODUCTION[[#This Row],[MATERIAL_ID]],DIM_MATERIAL[MATERIAL_ID],DIM_MATERIAL[UOM_AFTER_PROCESS])</f>
        <v>BALE</v>
      </c>
      <c r="E187">
        <v>71</v>
      </c>
    </row>
    <row r="188" spans="1:5" x14ac:dyDescent="0.2">
      <c r="A188" s="1">
        <v>45597</v>
      </c>
      <c r="B188" t="s">
        <v>1</v>
      </c>
      <c r="C188">
        <v>1</v>
      </c>
      <c r="D188" t="str">
        <f>_xlfn.XLOOKUP(RW_DT_PRODUCTION[[#This Row],[MATERIAL_ID]],DIM_MATERIAL[MATERIAL_ID],DIM_MATERIAL[UOM_AFTER_PROCESS])</f>
        <v>BALE</v>
      </c>
      <c r="E188">
        <v>78</v>
      </c>
    </row>
    <row r="189" spans="1:5" x14ac:dyDescent="0.2">
      <c r="A189" s="1">
        <v>45597</v>
      </c>
      <c r="B189" t="s">
        <v>1</v>
      </c>
      <c r="C189">
        <v>1</v>
      </c>
      <c r="D189" t="str">
        <f>_xlfn.XLOOKUP(RW_DT_PRODUCTION[[#This Row],[MATERIAL_ID]],DIM_MATERIAL[MATERIAL_ID],DIM_MATERIAL[UOM_AFTER_PROCESS])</f>
        <v>BALE</v>
      </c>
      <c r="E189">
        <v>88</v>
      </c>
    </row>
    <row r="190" spans="1:5" x14ac:dyDescent="0.2">
      <c r="A190" s="1">
        <v>45597</v>
      </c>
      <c r="B190" t="s">
        <v>1</v>
      </c>
      <c r="C190">
        <v>1</v>
      </c>
      <c r="D190" t="str">
        <f>_xlfn.XLOOKUP(RW_DT_PRODUCTION[[#This Row],[MATERIAL_ID]],DIM_MATERIAL[MATERIAL_ID],DIM_MATERIAL[UOM_AFTER_PROCESS])</f>
        <v>BALE</v>
      </c>
      <c r="E190">
        <v>67</v>
      </c>
    </row>
    <row r="191" spans="1:5" x14ac:dyDescent="0.2">
      <c r="A191" s="1">
        <v>45597</v>
      </c>
      <c r="B191" t="s">
        <v>1</v>
      </c>
      <c r="C191">
        <v>1</v>
      </c>
      <c r="D191" t="str">
        <f>_xlfn.XLOOKUP(RW_DT_PRODUCTION[[#This Row],[MATERIAL_ID]],DIM_MATERIAL[MATERIAL_ID],DIM_MATERIAL[UOM_AFTER_PROCESS])</f>
        <v>BALE</v>
      </c>
      <c r="E191">
        <v>82</v>
      </c>
    </row>
    <row r="192" spans="1:5" x14ac:dyDescent="0.2">
      <c r="A192" s="1">
        <v>45598</v>
      </c>
      <c r="B192" t="s">
        <v>1</v>
      </c>
      <c r="C192">
        <v>1</v>
      </c>
      <c r="D192" t="str">
        <f>_xlfn.XLOOKUP(RW_DT_PRODUCTION[[#This Row],[MATERIAL_ID]],DIM_MATERIAL[MATERIAL_ID],DIM_MATERIAL[UOM_AFTER_PROCESS])</f>
        <v>BALE</v>
      </c>
      <c r="E192">
        <v>75</v>
      </c>
    </row>
    <row r="193" spans="1:5" x14ac:dyDescent="0.2">
      <c r="A193" s="1">
        <v>45598</v>
      </c>
      <c r="B193" t="s">
        <v>1</v>
      </c>
      <c r="C193">
        <v>1</v>
      </c>
      <c r="D193" t="str">
        <f>_xlfn.XLOOKUP(RW_DT_PRODUCTION[[#This Row],[MATERIAL_ID]],DIM_MATERIAL[MATERIAL_ID],DIM_MATERIAL[UOM_AFTER_PROCESS])</f>
        <v>BALE</v>
      </c>
      <c r="E193">
        <v>83</v>
      </c>
    </row>
    <row r="194" spans="1:5" x14ac:dyDescent="0.2">
      <c r="A194" s="1">
        <v>45598</v>
      </c>
      <c r="B194" t="s">
        <v>1</v>
      </c>
      <c r="C194">
        <v>1</v>
      </c>
      <c r="D194" t="str">
        <f>_xlfn.XLOOKUP(RW_DT_PRODUCTION[[#This Row],[MATERIAL_ID]],DIM_MATERIAL[MATERIAL_ID],DIM_MATERIAL[UOM_AFTER_PROCESS])</f>
        <v>BALE</v>
      </c>
      <c r="E194">
        <v>69</v>
      </c>
    </row>
    <row r="195" spans="1:5" x14ac:dyDescent="0.2">
      <c r="A195" s="1">
        <v>45600</v>
      </c>
      <c r="B195" t="s">
        <v>1</v>
      </c>
      <c r="C195">
        <v>1</v>
      </c>
      <c r="D195" t="str">
        <f>_xlfn.XLOOKUP(RW_DT_PRODUCTION[[#This Row],[MATERIAL_ID]],DIM_MATERIAL[MATERIAL_ID],DIM_MATERIAL[UOM_AFTER_PROCESS])</f>
        <v>BALE</v>
      </c>
      <c r="E195">
        <v>73</v>
      </c>
    </row>
    <row r="196" spans="1:5" x14ac:dyDescent="0.2">
      <c r="A196" s="1">
        <v>45600</v>
      </c>
      <c r="B196" t="s">
        <v>1</v>
      </c>
      <c r="C196">
        <v>1</v>
      </c>
      <c r="D196" t="str">
        <f>_xlfn.XLOOKUP(RW_DT_PRODUCTION[[#This Row],[MATERIAL_ID]],DIM_MATERIAL[MATERIAL_ID],DIM_MATERIAL[UOM_AFTER_PROCESS])</f>
        <v>BALE</v>
      </c>
      <c r="E196">
        <v>68</v>
      </c>
    </row>
    <row r="197" spans="1:5" x14ac:dyDescent="0.2">
      <c r="A197" s="1">
        <v>45600</v>
      </c>
      <c r="B197" t="s">
        <v>1</v>
      </c>
      <c r="C197">
        <v>1</v>
      </c>
      <c r="D197" t="str">
        <f>_xlfn.XLOOKUP(RW_DT_PRODUCTION[[#This Row],[MATERIAL_ID]],DIM_MATERIAL[MATERIAL_ID],DIM_MATERIAL[UOM_AFTER_PROCESS])</f>
        <v>BALE</v>
      </c>
      <c r="E197">
        <v>60</v>
      </c>
    </row>
    <row r="198" spans="1:5" x14ac:dyDescent="0.2">
      <c r="A198" s="1">
        <v>45600</v>
      </c>
      <c r="B198" t="s">
        <v>1</v>
      </c>
      <c r="C198">
        <v>1</v>
      </c>
      <c r="D198" t="str">
        <f>_xlfn.XLOOKUP(RW_DT_PRODUCTION[[#This Row],[MATERIAL_ID]],DIM_MATERIAL[MATERIAL_ID],DIM_MATERIAL[UOM_AFTER_PROCESS])</f>
        <v>BALE</v>
      </c>
      <c r="E198">
        <v>81</v>
      </c>
    </row>
    <row r="199" spans="1:5" x14ac:dyDescent="0.2">
      <c r="A199" s="1">
        <v>45600</v>
      </c>
      <c r="B199" t="s">
        <v>1</v>
      </c>
      <c r="C199">
        <v>1</v>
      </c>
      <c r="D199" t="str">
        <f>_xlfn.XLOOKUP(RW_DT_PRODUCTION[[#This Row],[MATERIAL_ID]],DIM_MATERIAL[MATERIAL_ID],DIM_MATERIAL[UOM_AFTER_PROCESS])</f>
        <v>BALE</v>
      </c>
      <c r="E199">
        <v>81</v>
      </c>
    </row>
    <row r="200" spans="1:5" x14ac:dyDescent="0.2">
      <c r="A200" s="3">
        <v>45600</v>
      </c>
      <c r="B200" t="s">
        <v>2</v>
      </c>
      <c r="C200">
        <v>1</v>
      </c>
      <c r="D200" t="str">
        <f>_xlfn.XLOOKUP(RW_DT_PRODUCTION[[#This Row],[MATERIAL_ID]],DIM_MATERIAL[MATERIAL_ID],DIM_MATERIAL[UOM_AFTER_PROCESS])</f>
        <v>BAG</v>
      </c>
      <c r="E200">
        <v>22</v>
      </c>
    </row>
    <row r="201" spans="1:5" x14ac:dyDescent="0.2">
      <c r="A201" s="3">
        <v>45600</v>
      </c>
      <c r="B201" t="s">
        <v>2</v>
      </c>
      <c r="C201">
        <v>1</v>
      </c>
      <c r="D201" t="str">
        <f>_xlfn.XLOOKUP(RW_DT_PRODUCTION[[#This Row],[MATERIAL_ID]],DIM_MATERIAL[MATERIAL_ID],DIM_MATERIAL[UOM_AFTER_PROCESS])</f>
        <v>BAG</v>
      </c>
      <c r="E201">
        <v>22</v>
      </c>
    </row>
    <row r="202" spans="1:5" x14ac:dyDescent="0.2">
      <c r="A202" s="3">
        <v>45600</v>
      </c>
      <c r="B202" t="s">
        <v>2</v>
      </c>
      <c r="C202">
        <v>1</v>
      </c>
      <c r="D202" t="str">
        <f>_xlfn.XLOOKUP(RW_DT_PRODUCTION[[#This Row],[MATERIAL_ID]],DIM_MATERIAL[MATERIAL_ID],DIM_MATERIAL[UOM_AFTER_PROCESS])</f>
        <v>BAG</v>
      </c>
      <c r="E202">
        <v>22</v>
      </c>
    </row>
    <row r="203" spans="1:5" x14ac:dyDescent="0.2">
      <c r="A203" s="3">
        <v>45600</v>
      </c>
      <c r="B203" t="s">
        <v>2</v>
      </c>
      <c r="C203">
        <v>1</v>
      </c>
      <c r="D203" t="str">
        <f>_xlfn.XLOOKUP(RW_DT_PRODUCTION[[#This Row],[MATERIAL_ID]],DIM_MATERIAL[MATERIAL_ID],DIM_MATERIAL[UOM_AFTER_PROCESS])</f>
        <v>BAG</v>
      </c>
      <c r="E203">
        <v>22</v>
      </c>
    </row>
    <row r="204" spans="1:5" x14ac:dyDescent="0.2">
      <c r="A204" s="3">
        <v>45600</v>
      </c>
      <c r="B204" t="s">
        <v>2</v>
      </c>
      <c r="C204">
        <v>1</v>
      </c>
      <c r="D204" t="str">
        <f>_xlfn.XLOOKUP(RW_DT_PRODUCTION[[#This Row],[MATERIAL_ID]],DIM_MATERIAL[MATERIAL_ID],DIM_MATERIAL[UOM_AFTER_PROCESS])</f>
        <v>BAG</v>
      </c>
      <c r="E204">
        <v>22</v>
      </c>
    </row>
    <row r="205" spans="1:5" x14ac:dyDescent="0.2">
      <c r="A205" s="3">
        <v>45600</v>
      </c>
      <c r="B205" t="s">
        <v>2</v>
      </c>
      <c r="C205">
        <v>1</v>
      </c>
      <c r="D205" t="str">
        <f>_xlfn.XLOOKUP(RW_DT_PRODUCTION[[#This Row],[MATERIAL_ID]],DIM_MATERIAL[MATERIAL_ID],DIM_MATERIAL[UOM_AFTER_PROCESS])</f>
        <v>BAG</v>
      </c>
      <c r="E205">
        <v>22</v>
      </c>
    </row>
    <row r="206" spans="1:5" x14ac:dyDescent="0.2">
      <c r="A206" s="3">
        <v>45600</v>
      </c>
      <c r="B206" t="s">
        <v>2</v>
      </c>
      <c r="C206">
        <v>1</v>
      </c>
      <c r="D206" t="str">
        <f>_xlfn.XLOOKUP(RW_DT_PRODUCTION[[#This Row],[MATERIAL_ID]],DIM_MATERIAL[MATERIAL_ID],DIM_MATERIAL[UOM_AFTER_PROCESS])</f>
        <v>BAG</v>
      </c>
      <c r="E206">
        <v>22</v>
      </c>
    </row>
    <row r="207" spans="1:5" x14ac:dyDescent="0.2">
      <c r="A207" s="3">
        <v>45600</v>
      </c>
      <c r="B207" t="s">
        <v>2</v>
      </c>
      <c r="C207">
        <v>1</v>
      </c>
      <c r="D207" t="str">
        <f>_xlfn.XLOOKUP(RW_DT_PRODUCTION[[#This Row],[MATERIAL_ID]],DIM_MATERIAL[MATERIAL_ID],DIM_MATERIAL[UOM_AFTER_PROCESS])</f>
        <v>BAG</v>
      </c>
      <c r="E207">
        <v>22</v>
      </c>
    </row>
    <row r="208" spans="1:5" x14ac:dyDescent="0.2">
      <c r="A208" s="3">
        <v>45600</v>
      </c>
      <c r="B208" t="s">
        <v>2</v>
      </c>
      <c r="C208">
        <v>1</v>
      </c>
      <c r="D208" t="str">
        <f>_xlfn.XLOOKUP(RW_DT_PRODUCTION[[#This Row],[MATERIAL_ID]],DIM_MATERIAL[MATERIAL_ID],DIM_MATERIAL[UOM_AFTER_PROCESS])</f>
        <v>BAG</v>
      </c>
      <c r="E208">
        <v>22</v>
      </c>
    </row>
    <row r="209" spans="1:5" x14ac:dyDescent="0.2">
      <c r="A209" s="1">
        <v>45601</v>
      </c>
      <c r="B209" t="s">
        <v>1</v>
      </c>
      <c r="C209">
        <v>1</v>
      </c>
      <c r="D209" t="str">
        <f>_xlfn.XLOOKUP(RW_DT_PRODUCTION[[#This Row],[MATERIAL_ID]],DIM_MATERIAL[MATERIAL_ID],DIM_MATERIAL[UOM_AFTER_PROCESS])</f>
        <v>BALE</v>
      </c>
      <c r="E209">
        <v>65</v>
      </c>
    </row>
    <row r="210" spans="1:5" x14ac:dyDescent="0.2">
      <c r="A210" s="1">
        <v>45601</v>
      </c>
      <c r="B210" t="s">
        <v>1</v>
      </c>
      <c r="C210">
        <v>1</v>
      </c>
      <c r="D210" t="str">
        <f>_xlfn.XLOOKUP(RW_DT_PRODUCTION[[#This Row],[MATERIAL_ID]],DIM_MATERIAL[MATERIAL_ID],DIM_MATERIAL[UOM_AFTER_PROCESS])</f>
        <v>BALE</v>
      </c>
      <c r="E210">
        <v>70</v>
      </c>
    </row>
    <row r="211" spans="1:5" x14ac:dyDescent="0.2">
      <c r="A211" s="1">
        <v>45601</v>
      </c>
      <c r="B211" t="s">
        <v>1</v>
      </c>
      <c r="C211">
        <v>1</v>
      </c>
      <c r="D211" t="str">
        <f>_xlfn.XLOOKUP(RW_DT_PRODUCTION[[#This Row],[MATERIAL_ID]],DIM_MATERIAL[MATERIAL_ID],DIM_MATERIAL[UOM_AFTER_PROCESS])</f>
        <v>BALE</v>
      </c>
      <c r="E211">
        <v>75</v>
      </c>
    </row>
    <row r="212" spans="1:5" x14ac:dyDescent="0.2">
      <c r="A212" s="1">
        <v>45601</v>
      </c>
      <c r="B212" t="s">
        <v>1</v>
      </c>
      <c r="C212">
        <v>1</v>
      </c>
      <c r="D212" t="str">
        <f>_xlfn.XLOOKUP(RW_DT_PRODUCTION[[#This Row],[MATERIAL_ID]],DIM_MATERIAL[MATERIAL_ID],DIM_MATERIAL[UOM_AFTER_PROCESS])</f>
        <v>BALE</v>
      </c>
      <c r="E212">
        <v>73</v>
      </c>
    </row>
    <row r="213" spans="1:5" x14ac:dyDescent="0.2">
      <c r="A213" s="1">
        <v>45601</v>
      </c>
      <c r="B213" t="s">
        <v>1</v>
      </c>
      <c r="C213">
        <v>1</v>
      </c>
      <c r="D213" t="str">
        <f>_xlfn.XLOOKUP(RW_DT_PRODUCTION[[#This Row],[MATERIAL_ID]],DIM_MATERIAL[MATERIAL_ID],DIM_MATERIAL[UOM_AFTER_PROCESS])</f>
        <v>BALE</v>
      </c>
      <c r="E213">
        <v>84</v>
      </c>
    </row>
    <row r="214" spans="1:5" x14ac:dyDescent="0.2">
      <c r="A214" s="1">
        <v>45601</v>
      </c>
      <c r="B214" t="s">
        <v>1</v>
      </c>
      <c r="C214">
        <v>1</v>
      </c>
      <c r="D214" t="str">
        <f>_xlfn.XLOOKUP(RW_DT_PRODUCTION[[#This Row],[MATERIAL_ID]],DIM_MATERIAL[MATERIAL_ID],DIM_MATERIAL[UOM_AFTER_PROCESS])</f>
        <v>BALE</v>
      </c>
      <c r="E214">
        <v>75</v>
      </c>
    </row>
    <row r="215" spans="1:5" x14ac:dyDescent="0.2">
      <c r="A215" s="1">
        <v>45601</v>
      </c>
      <c r="B215" t="s">
        <v>1</v>
      </c>
      <c r="C215">
        <v>1</v>
      </c>
      <c r="D215" t="str">
        <f>_xlfn.XLOOKUP(RW_DT_PRODUCTION[[#This Row],[MATERIAL_ID]],DIM_MATERIAL[MATERIAL_ID],DIM_MATERIAL[UOM_AFTER_PROCESS])</f>
        <v>BALE</v>
      </c>
      <c r="E215">
        <v>63</v>
      </c>
    </row>
    <row r="216" spans="1:5" x14ac:dyDescent="0.2">
      <c r="A216" s="1">
        <v>45601</v>
      </c>
      <c r="B216" t="s">
        <v>1</v>
      </c>
      <c r="C216">
        <v>1</v>
      </c>
      <c r="D216" t="str">
        <f>_xlfn.XLOOKUP(RW_DT_PRODUCTION[[#This Row],[MATERIAL_ID]],DIM_MATERIAL[MATERIAL_ID],DIM_MATERIAL[UOM_AFTER_PROCESS])</f>
        <v>BALE</v>
      </c>
      <c r="E216">
        <v>85</v>
      </c>
    </row>
    <row r="217" spans="1:5" x14ac:dyDescent="0.2">
      <c r="A217" s="1">
        <v>45601</v>
      </c>
      <c r="B217" t="s">
        <v>1</v>
      </c>
      <c r="C217">
        <v>1</v>
      </c>
      <c r="D217" t="str">
        <f>_xlfn.XLOOKUP(RW_DT_PRODUCTION[[#This Row],[MATERIAL_ID]],DIM_MATERIAL[MATERIAL_ID],DIM_MATERIAL[UOM_AFTER_PROCESS])</f>
        <v>BALE</v>
      </c>
      <c r="E217">
        <v>80</v>
      </c>
    </row>
    <row r="218" spans="1:5" x14ac:dyDescent="0.2">
      <c r="A218" s="3">
        <v>45601</v>
      </c>
      <c r="B218" t="s">
        <v>2</v>
      </c>
      <c r="C218">
        <v>1</v>
      </c>
      <c r="D218" t="str">
        <f>_xlfn.XLOOKUP(RW_DT_PRODUCTION[[#This Row],[MATERIAL_ID]],DIM_MATERIAL[MATERIAL_ID],DIM_MATERIAL[UOM_AFTER_PROCESS])</f>
        <v>BAG</v>
      </c>
      <c r="E218">
        <v>22</v>
      </c>
    </row>
    <row r="219" spans="1:5" x14ac:dyDescent="0.2">
      <c r="A219" s="1">
        <v>45602</v>
      </c>
      <c r="B219" t="s">
        <v>1</v>
      </c>
      <c r="C219">
        <v>1</v>
      </c>
      <c r="D219" t="str">
        <f>_xlfn.XLOOKUP(RW_DT_PRODUCTION[[#This Row],[MATERIAL_ID]],DIM_MATERIAL[MATERIAL_ID],DIM_MATERIAL[UOM_AFTER_PROCESS])</f>
        <v>BALE</v>
      </c>
      <c r="E219">
        <v>87</v>
      </c>
    </row>
    <row r="220" spans="1:5" x14ac:dyDescent="0.2">
      <c r="A220" s="1">
        <v>45602</v>
      </c>
      <c r="B220" t="s">
        <v>1</v>
      </c>
      <c r="C220">
        <v>1</v>
      </c>
      <c r="D220" t="str">
        <f>_xlfn.XLOOKUP(RW_DT_PRODUCTION[[#This Row],[MATERIAL_ID]],DIM_MATERIAL[MATERIAL_ID],DIM_MATERIAL[UOM_AFTER_PROCESS])</f>
        <v>BALE</v>
      </c>
      <c r="E220">
        <v>77</v>
      </c>
    </row>
    <row r="221" spans="1:5" x14ac:dyDescent="0.2">
      <c r="A221" s="1">
        <v>45602</v>
      </c>
      <c r="B221" t="s">
        <v>1</v>
      </c>
      <c r="C221">
        <v>1</v>
      </c>
      <c r="D221" t="str">
        <f>_xlfn.XLOOKUP(RW_DT_PRODUCTION[[#This Row],[MATERIAL_ID]],DIM_MATERIAL[MATERIAL_ID],DIM_MATERIAL[UOM_AFTER_PROCESS])</f>
        <v>BALE</v>
      </c>
      <c r="E221">
        <v>70</v>
      </c>
    </row>
    <row r="222" spans="1:5" x14ac:dyDescent="0.2">
      <c r="A222" s="1">
        <v>45602</v>
      </c>
      <c r="B222" t="s">
        <v>1</v>
      </c>
      <c r="C222">
        <v>1</v>
      </c>
      <c r="D222" t="str">
        <f>_xlfn.XLOOKUP(RW_DT_PRODUCTION[[#This Row],[MATERIAL_ID]],DIM_MATERIAL[MATERIAL_ID],DIM_MATERIAL[UOM_AFTER_PROCESS])</f>
        <v>BALE</v>
      </c>
      <c r="E222">
        <v>74</v>
      </c>
    </row>
    <row r="223" spans="1:5" x14ac:dyDescent="0.2">
      <c r="A223" s="1">
        <v>45602</v>
      </c>
      <c r="B223" t="s">
        <v>1</v>
      </c>
      <c r="C223">
        <v>1</v>
      </c>
      <c r="D223" t="str">
        <f>_xlfn.XLOOKUP(RW_DT_PRODUCTION[[#This Row],[MATERIAL_ID]],DIM_MATERIAL[MATERIAL_ID],DIM_MATERIAL[UOM_AFTER_PROCESS])</f>
        <v>BALE</v>
      </c>
      <c r="E223">
        <v>73</v>
      </c>
    </row>
    <row r="224" spans="1:5" x14ac:dyDescent="0.2">
      <c r="A224" s="1">
        <v>45602</v>
      </c>
      <c r="B224" t="s">
        <v>1</v>
      </c>
      <c r="C224">
        <v>1</v>
      </c>
      <c r="D224" t="str">
        <f>_xlfn.XLOOKUP(RW_DT_PRODUCTION[[#This Row],[MATERIAL_ID]],DIM_MATERIAL[MATERIAL_ID],DIM_MATERIAL[UOM_AFTER_PROCESS])</f>
        <v>BALE</v>
      </c>
      <c r="E224">
        <v>69</v>
      </c>
    </row>
    <row r="225" spans="1:5" x14ac:dyDescent="0.2">
      <c r="A225" s="1">
        <v>45602</v>
      </c>
      <c r="B225" t="s">
        <v>1</v>
      </c>
      <c r="C225">
        <v>1</v>
      </c>
      <c r="D225" t="str">
        <f>_xlfn.XLOOKUP(RW_DT_PRODUCTION[[#This Row],[MATERIAL_ID]],DIM_MATERIAL[MATERIAL_ID],DIM_MATERIAL[UOM_AFTER_PROCESS])</f>
        <v>BALE</v>
      </c>
      <c r="E225">
        <v>71</v>
      </c>
    </row>
    <row r="226" spans="1:5" x14ac:dyDescent="0.2">
      <c r="A226" s="1">
        <v>45602</v>
      </c>
      <c r="B226" t="s">
        <v>1</v>
      </c>
      <c r="C226">
        <v>1</v>
      </c>
      <c r="D226" t="str">
        <f>_xlfn.XLOOKUP(RW_DT_PRODUCTION[[#This Row],[MATERIAL_ID]],DIM_MATERIAL[MATERIAL_ID],DIM_MATERIAL[UOM_AFTER_PROCESS])</f>
        <v>BALE</v>
      </c>
      <c r="E226">
        <v>84</v>
      </c>
    </row>
    <row r="227" spans="1:5" x14ac:dyDescent="0.2">
      <c r="A227" s="1">
        <v>45602</v>
      </c>
      <c r="B227" t="s">
        <v>1</v>
      </c>
      <c r="C227">
        <v>1</v>
      </c>
      <c r="D227" t="str">
        <f>_xlfn.XLOOKUP(RW_DT_PRODUCTION[[#This Row],[MATERIAL_ID]],DIM_MATERIAL[MATERIAL_ID],DIM_MATERIAL[UOM_AFTER_PROCESS])</f>
        <v>BALE</v>
      </c>
      <c r="E227">
        <v>69</v>
      </c>
    </row>
    <row r="228" spans="1:5" x14ac:dyDescent="0.2">
      <c r="A228" s="1">
        <v>45602</v>
      </c>
      <c r="B228" t="s">
        <v>1</v>
      </c>
      <c r="C228">
        <v>1</v>
      </c>
      <c r="D228" t="str">
        <f>_xlfn.XLOOKUP(RW_DT_PRODUCTION[[#This Row],[MATERIAL_ID]],DIM_MATERIAL[MATERIAL_ID],DIM_MATERIAL[UOM_AFTER_PROCESS])</f>
        <v>BALE</v>
      </c>
      <c r="E228">
        <v>85</v>
      </c>
    </row>
    <row r="229" spans="1:5" x14ac:dyDescent="0.2">
      <c r="A229" s="1">
        <v>45602</v>
      </c>
      <c r="B229" t="s">
        <v>1</v>
      </c>
      <c r="C229">
        <v>1</v>
      </c>
      <c r="D229" t="str">
        <f>_xlfn.XLOOKUP(RW_DT_PRODUCTION[[#This Row],[MATERIAL_ID]],DIM_MATERIAL[MATERIAL_ID],DIM_MATERIAL[UOM_AFTER_PROCESS])</f>
        <v>BALE</v>
      </c>
      <c r="E229">
        <v>77</v>
      </c>
    </row>
    <row r="230" spans="1:5" x14ac:dyDescent="0.2">
      <c r="A230" s="1">
        <v>45602</v>
      </c>
      <c r="B230" t="s">
        <v>1</v>
      </c>
      <c r="C230">
        <v>1</v>
      </c>
      <c r="D230" t="str">
        <f>_xlfn.XLOOKUP(RW_DT_PRODUCTION[[#This Row],[MATERIAL_ID]],DIM_MATERIAL[MATERIAL_ID],DIM_MATERIAL[UOM_AFTER_PROCESS])</f>
        <v>BALE</v>
      </c>
      <c r="E230">
        <v>70</v>
      </c>
    </row>
    <row r="231" spans="1:5" x14ac:dyDescent="0.2">
      <c r="A231" s="1">
        <v>45602</v>
      </c>
      <c r="B231" t="s">
        <v>1</v>
      </c>
      <c r="C231">
        <v>1</v>
      </c>
      <c r="D231" t="str">
        <f>_xlfn.XLOOKUP(RW_DT_PRODUCTION[[#This Row],[MATERIAL_ID]],DIM_MATERIAL[MATERIAL_ID],DIM_MATERIAL[UOM_AFTER_PROCESS])</f>
        <v>BALE</v>
      </c>
      <c r="E231">
        <v>68</v>
      </c>
    </row>
    <row r="232" spans="1:5" x14ac:dyDescent="0.2">
      <c r="A232" s="1">
        <v>45602</v>
      </c>
      <c r="B232" t="s">
        <v>1</v>
      </c>
      <c r="C232">
        <v>1</v>
      </c>
      <c r="D232" t="str">
        <f>_xlfn.XLOOKUP(RW_DT_PRODUCTION[[#This Row],[MATERIAL_ID]],DIM_MATERIAL[MATERIAL_ID],DIM_MATERIAL[UOM_AFTER_PROCESS])</f>
        <v>BALE</v>
      </c>
      <c r="E232">
        <v>65</v>
      </c>
    </row>
    <row r="233" spans="1:5" x14ac:dyDescent="0.2">
      <c r="A233" s="1">
        <v>45602</v>
      </c>
      <c r="B233" t="s">
        <v>1</v>
      </c>
      <c r="C233">
        <v>1</v>
      </c>
      <c r="D233" t="str">
        <f>_xlfn.XLOOKUP(RW_DT_PRODUCTION[[#This Row],[MATERIAL_ID]],DIM_MATERIAL[MATERIAL_ID],DIM_MATERIAL[UOM_AFTER_PROCESS])</f>
        <v>BALE</v>
      </c>
      <c r="E233">
        <v>75</v>
      </c>
    </row>
    <row r="234" spans="1:5" x14ac:dyDescent="0.2">
      <c r="A234" s="1">
        <v>45602</v>
      </c>
      <c r="B234" t="s">
        <v>1</v>
      </c>
      <c r="C234">
        <v>1</v>
      </c>
      <c r="D234" t="str">
        <f>_xlfn.XLOOKUP(RW_DT_PRODUCTION[[#This Row],[MATERIAL_ID]],DIM_MATERIAL[MATERIAL_ID],DIM_MATERIAL[UOM_AFTER_PROCESS])</f>
        <v>BALE</v>
      </c>
      <c r="E234">
        <v>88</v>
      </c>
    </row>
    <row r="235" spans="1:5" x14ac:dyDescent="0.2">
      <c r="A235" s="1">
        <v>45602</v>
      </c>
      <c r="B235" t="s">
        <v>1</v>
      </c>
      <c r="C235">
        <v>1</v>
      </c>
      <c r="D235" t="str">
        <f>_xlfn.XLOOKUP(RW_DT_PRODUCTION[[#This Row],[MATERIAL_ID]],DIM_MATERIAL[MATERIAL_ID],DIM_MATERIAL[UOM_AFTER_PROCESS])</f>
        <v>BALE</v>
      </c>
      <c r="E235">
        <v>85</v>
      </c>
    </row>
    <row r="236" spans="1:5" x14ac:dyDescent="0.2">
      <c r="A236" s="1">
        <v>45602</v>
      </c>
      <c r="B236" t="s">
        <v>1</v>
      </c>
      <c r="C236">
        <v>1</v>
      </c>
      <c r="D236" t="str">
        <f>_xlfn.XLOOKUP(RW_DT_PRODUCTION[[#This Row],[MATERIAL_ID]],DIM_MATERIAL[MATERIAL_ID],DIM_MATERIAL[UOM_AFTER_PROCESS])</f>
        <v>BALE</v>
      </c>
      <c r="E236">
        <v>67</v>
      </c>
    </row>
    <row r="237" spans="1:5" x14ac:dyDescent="0.2">
      <c r="A237" s="3">
        <v>45602</v>
      </c>
      <c r="B237" t="s">
        <v>2</v>
      </c>
      <c r="C237">
        <v>1</v>
      </c>
      <c r="D237" t="str">
        <f>_xlfn.XLOOKUP(RW_DT_PRODUCTION[[#This Row],[MATERIAL_ID]],DIM_MATERIAL[MATERIAL_ID],DIM_MATERIAL[UOM_AFTER_PROCESS])</f>
        <v>BAG</v>
      </c>
      <c r="E237">
        <v>22</v>
      </c>
    </row>
    <row r="238" spans="1:5" x14ac:dyDescent="0.2">
      <c r="A238" s="1">
        <v>45603</v>
      </c>
      <c r="B238" t="s">
        <v>1</v>
      </c>
      <c r="C238">
        <v>1</v>
      </c>
      <c r="D238" t="str">
        <f>_xlfn.XLOOKUP(RW_DT_PRODUCTION[[#This Row],[MATERIAL_ID]],DIM_MATERIAL[MATERIAL_ID],DIM_MATERIAL[UOM_AFTER_PROCESS])</f>
        <v>BALE</v>
      </c>
      <c r="E238">
        <v>64</v>
      </c>
    </row>
    <row r="239" spans="1:5" x14ac:dyDescent="0.2">
      <c r="A239" s="1">
        <v>45603</v>
      </c>
      <c r="B239" t="s">
        <v>1</v>
      </c>
      <c r="C239">
        <v>1</v>
      </c>
      <c r="D239" t="str">
        <f>_xlfn.XLOOKUP(RW_DT_PRODUCTION[[#This Row],[MATERIAL_ID]],DIM_MATERIAL[MATERIAL_ID],DIM_MATERIAL[UOM_AFTER_PROCESS])</f>
        <v>BALE</v>
      </c>
      <c r="E239">
        <v>74</v>
      </c>
    </row>
    <row r="240" spans="1:5" x14ac:dyDescent="0.2">
      <c r="A240" s="1">
        <v>45603</v>
      </c>
      <c r="B240" t="s">
        <v>1</v>
      </c>
      <c r="C240">
        <v>1</v>
      </c>
      <c r="D240" t="str">
        <f>_xlfn.XLOOKUP(RW_DT_PRODUCTION[[#This Row],[MATERIAL_ID]],DIM_MATERIAL[MATERIAL_ID],DIM_MATERIAL[UOM_AFTER_PROCESS])</f>
        <v>BALE</v>
      </c>
      <c r="E240">
        <v>70</v>
      </c>
    </row>
    <row r="241" spans="1:5" x14ac:dyDescent="0.2">
      <c r="A241" s="1">
        <v>45603</v>
      </c>
      <c r="B241" t="s">
        <v>1</v>
      </c>
      <c r="C241">
        <v>1</v>
      </c>
      <c r="D241" t="str">
        <f>_xlfn.XLOOKUP(RW_DT_PRODUCTION[[#This Row],[MATERIAL_ID]],DIM_MATERIAL[MATERIAL_ID],DIM_MATERIAL[UOM_AFTER_PROCESS])</f>
        <v>BALE</v>
      </c>
      <c r="E241">
        <v>80</v>
      </c>
    </row>
    <row r="242" spans="1:5" x14ac:dyDescent="0.2">
      <c r="A242" s="1">
        <v>45603</v>
      </c>
      <c r="B242" t="s">
        <v>1</v>
      </c>
      <c r="C242">
        <v>1</v>
      </c>
      <c r="D242" t="str">
        <f>_xlfn.XLOOKUP(RW_DT_PRODUCTION[[#This Row],[MATERIAL_ID]],DIM_MATERIAL[MATERIAL_ID],DIM_MATERIAL[UOM_AFTER_PROCESS])</f>
        <v>BALE</v>
      </c>
      <c r="E242">
        <v>85</v>
      </c>
    </row>
    <row r="243" spans="1:5" x14ac:dyDescent="0.2">
      <c r="A243" s="1">
        <v>45603</v>
      </c>
      <c r="B243" t="s">
        <v>1</v>
      </c>
      <c r="C243">
        <v>1</v>
      </c>
      <c r="D243" t="str">
        <f>_xlfn.XLOOKUP(RW_DT_PRODUCTION[[#This Row],[MATERIAL_ID]],DIM_MATERIAL[MATERIAL_ID],DIM_MATERIAL[UOM_AFTER_PROCESS])</f>
        <v>BALE</v>
      </c>
      <c r="E243">
        <v>80</v>
      </c>
    </row>
    <row r="244" spans="1:5" x14ac:dyDescent="0.2">
      <c r="A244" s="1">
        <v>45603</v>
      </c>
      <c r="B244" t="s">
        <v>1</v>
      </c>
      <c r="C244">
        <v>1</v>
      </c>
      <c r="D244" t="str">
        <f>_xlfn.XLOOKUP(RW_DT_PRODUCTION[[#This Row],[MATERIAL_ID]],DIM_MATERIAL[MATERIAL_ID],DIM_MATERIAL[UOM_AFTER_PROCESS])</f>
        <v>BALE</v>
      </c>
      <c r="E244">
        <v>85</v>
      </c>
    </row>
    <row r="245" spans="1:5" x14ac:dyDescent="0.2">
      <c r="A245" s="1">
        <v>45603</v>
      </c>
      <c r="B245" t="s">
        <v>1</v>
      </c>
      <c r="C245">
        <v>1</v>
      </c>
      <c r="D245" t="str">
        <f>_xlfn.XLOOKUP(RW_DT_PRODUCTION[[#This Row],[MATERIAL_ID]],DIM_MATERIAL[MATERIAL_ID],DIM_MATERIAL[UOM_AFTER_PROCESS])</f>
        <v>BALE</v>
      </c>
      <c r="E245">
        <v>86</v>
      </c>
    </row>
    <row r="246" spans="1:5" x14ac:dyDescent="0.2">
      <c r="A246" s="1">
        <v>45603</v>
      </c>
      <c r="B246" t="s">
        <v>1</v>
      </c>
      <c r="C246">
        <v>1</v>
      </c>
      <c r="D246" t="str">
        <f>_xlfn.XLOOKUP(RW_DT_PRODUCTION[[#This Row],[MATERIAL_ID]],DIM_MATERIAL[MATERIAL_ID],DIM_MATERIAL[UOM_AFTER_PROCESS])</f>
        <v>BALE</v>
      </c>
      <c r="E246">
        <v>79</v>
      </c>
    </row>
    <row r="247" spans="1:5" x14ac:dyDescent="0.2">
      <c r="A247" s="1">
        <v>45603</v>
      </c>
      <c r="B247" t="s">
        <v>1</v>
      </c>
      <c r="C247">
        <v>1</v>
      </c>
      <c r="D247" t="str">
        <f>_xlfn.XLOOKUP(RW_DT_PRODUCTION[[#This Row],[MATERIAL_ID]],DIM_MATERIAL[MATERIAL_ID],DIM_MATERIAL[UOM_AFTER_PROCESS])</f>
        <v>BALE</v>
      </c>
      <c r="E247">
        <v>61</v>
      </c>
    </row>
    <row r="248" spans="1:5" x14ac:dyDescent="0.2">
      <c r="A248" s="1">
        <v>45603</v>
      </c>
      <c r="B248" t="s">
        <v>1</v>
      </c>
      <c r="C248">
        <v>1</v>
      </c>
      <c r="D248" t="str">
        <f>_xlfn.XLOOKUP(RW_DT_PRODUCTION[[#This Row],[MATERIAL_ID]],DIM_MATERIAL[MATERIAL_ID],DIM_MATERIAL[UOM_AFTER_PROCESS])</f>
        <v>BALE</v>
      </c>
      <c r="E248">
        <v>86</v>
      </c>
    </row>
    <row r="249" spans="1:5" x14ac:dyDescent="0.2">
      <c r="A249" s="1">
        <v>45603</v>
      </c>
      <c r="B249" t="s">
        <v>1</v>
      </c>
      <c r="C249">
        <v>1</v>
      </c>
      <c r="D249" t="str">
        <f>_xlfn.XLOOKUP(RW_DT_PRODUCTION[[#This Row],[MATERIAL_ID]],DIM_MATERIAL[MATERIAL_ID],DIM_MATERIAL[UOM_AFTER_PROCESS])</f>
        <v>BALE</v>
      </c>
      <c r="E249">
        <v>88</v>
      </c>
    </row>
    <row r="250" spans="1:5" x14ac:dyDescent="0.2">
      <c r="A250" s="1">
        <v>45603</v>
      </c>
      <c r="B250" t="s">
        <v>1</v>
      </c>
      <c r="C250">
        <v>1</v>
      </c>
      <c r="D250" t="str">
        <f>_xlfn.XLOOKUP(RW_DT_PRODUCTION[[#This Row],[MATERIAL_ID]],DIM_MATERIAL[MATERIAL_ID],DIM_MATERIAL[UOM_AFTER_PROCESS])</f>
        <v>BALE</v>
      </c>
      <c r="E250">
        <v>75</v>
      </c>
    </row>
    <row r="251" spans="1:5" x14ac:dyDescent="0.2">
      <c r="A251" s="1">
        <v>45603</v>
      </c>
      <c r="B251" t="s">
        <v>1</v>
      </c>
      <c r="C251">
        <v>1</v>
      </c>
      <c r="D251" t="str">
        <f>_xlfn.XLOOKUP(RW_DT_PRODUCTION[[#This Row],[MATERIAL_ID]],DIM_MATERIAL[MATERIAL_ID],DIM_MATERIAL[UOM_AFTER_PROCESS])</f>
        <v>BALE</v>
      </c>
      <c r="E251">
        <v>82</v>
      </c>
    </row>
    <row r="252" spans="1:5" x14ac:dyDescent="0.2">
      <c r="A252" s="1">
        <v>45604</v>
      </c>
      <c r="B252" t="s">
        <v>1</v>
      </c>
      <c r="C252">
        <v>1</v>
      </c>
      <c r="D252" t="str">
        <f>_xlfn.XLOOKUP(RW_DT_PRODUCTION[[#This Row],[MATERIAL_ID]],DIM_MATERIAL[MATERIAL_ID],DIM_MATERIAL[UOM_AFTER_PROCESS])</f>
        <v>BALE</v>
      </c>
      <c r="E252">
        <v>66</v>
      </c>
    </row>
    <row r="253" spans="1:5" x14ac:dyDescent="0.2">
      <c r="A253" s="1">
        <v>45604</v>
      </c>
      <c r="B253" t="s">
        <v>1</v>
      </c>
      <c r="C253">
        <v>1</v>
      </c>
      <c r="D253" t="str">
        <f>_xlfn.XLOOKUP(RW_DT_PRODUCTION[[#This Row],[MATERIAL_ID]],DIM_MATERIAL[MATERIAL_ID],DIM_MATERIAL[UOM_AFTER_PROCESS])</f>
        <v>BALE</v>
      </c>
      <c r="E253">
        <v>61</v>
      </c>
    </row>
    <row r="254" spans="1:5" x14ac:dyDescent="0.2">
      <c r="A254" s="1">
        <v>45604</v>
      </c>
      <c r="B254" t="s">
        <v>1</v>
      </c>
      <c r="C254">
        <v>1</v>
      </c>
      <c r="D254" t="str">
        <f>_xlfn.XLOOKUP(RW_DT_PRODUCTION[[#This Row],[MATERIAL_ID]],DIM_MATERIAL[MATERIAL_ID],DIM_MATERIAL[UOM_AFTER_PROCESS])</f>
        <v>BALE</v>
      </c>
      <c r="E254">
        <v>85</v>
      </c>
    </row>
    <row r="255" spans="1:5" x14ac:dyDescent="0.2">
      <c r="A255" s="1">
        <v>45604</v>
      </c>
      <c r="B255" t="s">
        <v>1</v>
      </c>
      <c r="C255">
        <v>1</v>
      </c>
      <c r="D255" t="str">
        <f>_xlfn.XLOOKUP(RW_DT_PRODUCTION[[#This Row],[MATERIAL_ID]],DIM_MATERIAL[MATERIAL_ID],DIM_MATERIAL[UOM_AFTER_PROCESS])</f>
        <v>BALE</v>
      </c>
      <c r="E255">
        <v>67</v>
      </c>
    </row>
    <row r="256" spans="1:5" x14ac:dyDescent="0.2">
      <c r="A256" s="1">
        <v>45604</v>
      </c>
      <c r="B256" t="s">
        <v>1</v>
      </c>
      <c r="C256">
        <v>1</v>
      </c>
      <c r="D256" t="str">
        <f>_xlfn.XLOOKUP(RW_DT_PRODUCTION[[#This Row],[MATERIAL_ID]],DIM_MATERIAL[MATERIAL_ID],DIM_MATERIAL[UOM_AFTER_PROCESS])</f>
        <v>BALE</v>
      </c>
      <c r="E256">
        <v>61</v>
      </c>
    </row>
    <row r="257" spans="1:5" x14ac:dyDescent="0.2">
      <c r="A257" s="1">
        <v>45604</v>
      </c>
      <c r="B257" t="s">
        <v>1</v>
      </c>
      <c r="C257">
        <v>1</v>
      </c>
      <c r="D257" t="str">
        <f>_xlfn.XLOOKUP(RW_DT_PRODUCTION[[#This Row],[MATERIAL_ID]],DIM_MATERIAL[MATERIAL_ID],DIM_MATERIAL[UOM_AFTER_PROCESS])</f>
        <v>BALE</v>
      </c>
      <c r="E257">
        <v>78</v>
      </c>
    </row>
    <row r="258" spans="1:5" x14ac:dyDescent="0.2">
      <c r="A258" s="1">
        <v>45604</v>
      </c>
      <c r="B258" t="s">
        <v>1</v>
      </c>
      <c r="C258">
        <v>1</v>
      </c>
      <c r="D258" t="str">
        <f>_xlfn.XLOOKUP(RW_DT_PRODUCTION[[#This Row],[MATERIAL_ID]],DIM_MATERIAL[MATERIAL_ID],DIM_MATERIAL[UOM_AFTER_PROCESS])</f>
        <v>BALE</v>
      </c>
      <c r="E258">
        <v>78</v>
      </c>
    </row>
    <row r="259" spans="1:5" x14ac:dyDescent="0.2">
      <c r="A259" s="1">
        <v>45604</v>
      </c>
      <c r="B259" t="s">
        <v>1</v>
      </c>
      <c r="C259">
        <v>1</v>
      </c>
      <c r="D259" t="str">
        <f>_xlfn.XLOOKUP(RW_DT_PRODUCTION[[#This Row],[MATERIAL_ID]],DIM_MATERIAL[MATERIAL_ID],DIM_MATERIAL[UOM_AFTER_PROCESS])</f>
        <v>BALE</v>
      </c>
      <c r="E259">
        <v>64</v>
      </c>
    </row>
    <row r="260" spans="1:5" x14ac:dyDescent="0.2">
      <c r="A260" s="1">
        <v>45604</v>
      </c>
      <c r="B260" t="s">
        <v>1</v>
      </c>
      <c r="C260">
        <v>1</v>
      </c>
      <c r="D260" t="str">
        <f>_xlfn.XLOOKUP(RW_DT_PRODUCTION[[#This Row],[MATERIAL_ID]],DIM_MATERIAL[MATERIAL_ID],DIM_MATERIAL[UOM_AFTER_PROCESS])</f>
        <v>BALE</v>
      </c>
      <c r="E260">
        <v>66</v>
      </c>
    </row>
    <row r="261" spans="1:5" x14ac:dyDescent="0.2">
      <c r="A261" s="1">
        <v>45605</v>
      </c>
      <c r="B261" t="s">
        <v>1</v>
      </c>
      <c r="C261">
        <v>1</v>
      </c>
      <c r="D261" t="str">
        <f>_xlfn.XLOOKUP(RW_DT_PRODUCTION[[#This Row],[MATERIAL_ID]],DIM_MATERIAL[MATERIAL_ID],DIM_MATERIAL[UOM_AFTER_PROCESS])</f>
        <v>BALE</v>
      </c>
      <c r="E261">
        <v>71</v>
      </c>
    </row>
    <row r="262" spans="1:5" x14ac:dyDescent="0.2">
      <c r="A262" s="1">
        <v>45605</v>
      </c>
      <c r="B262" t="s">
        <v>1</v>
      </c>
      <c r="C262">
        <v>1</v>
      </c>
      <c r="D262" t="str">
        <f>_xlfn.XLOOKUP(RW_DT_PRODUCTION[[#This Row],[MATERIAL_ID]],DIM_MATERIAL[MATERIAL_ID],DIM_MATERIAL[UOM_AFTER_PROCESS])</f>
        <v>BALE</v>
      </c>
      <c r="E262">
        <v>74</v>
      </c>
    </row>
    <row r="263" spans="1:5" x14ac:dyDescent="0.2">
      <c r="A263" s="1">
        <v>45605</v>
      </c>
      <c r="B263" t="s">
        <v>1</v>
      </c>
      <c r="C263">
        <v>1</v>
      </c>
      <c r="D263" t="str">
        <f>_xlfn.XLOOKUP(RW_DT_PRODUCTION[[#This Row],[MATERIAL_ID]],DIM_MATERIAL[MATERIAL_ID],DIM_MATERIAL[UOM_AFTER_PROCESS])</f>
        <v>BALE</v>
      </c>
      <c r="E263">
        <v>89</v>
      </c>
    </row>
    <row r="264" spans="1:5" x14ac:dyDescent="0.2">
      <c r="A264" s="1">
        <v>45607</v>
      </c>
      <c r="B264" t="s">
        <v>1</v>
      </c>
      <c r="C264">
        <v>1</v>
      </c>
      <c r="D264" t="str">
        <f>_xlfn.XLOOKUP(RW_DT_PRODUCTION[[#This Row],[MATERIAL_ID]],DIM_MATERIAL[MATERIAL_ID],DIM_MATERIAL[UOM_AFTER_PROCESS])</f>
        <v>BALE</v>
      </c>
      <c r="E264">
        <v>67</v>
      </c>
    </row>
    <row r="265" spans="1:5" x14ac:dyDescent="0.2">
      <c r="A265" s="1">
        <v>45607</v>
      </c>
      <c r="B265" t="s">
        <v>1</v>
      </c>
      <c r="C265">
        <v>1</v>
      </c>
      <c r="D265" t="str">
        <f>_xlfn.XLOOKUP(RW_DT_PRODUCTION[[#This Row],[MATERIAL_ID]],DIM_MATERIAL[MATERIAL_ID],DIM_MATERIAL[UOM_AFTER_PROCESS])</f>
        <v>BALE</v>
      </c>
      <c r="E265">
        <v>60</v>
      </c>
    </row>
    <row r="266" spans="1:5" x14ac:dyDescent="0.2">
      <c r="A266" s="1">
        <v>45607</v>
      </c>
      <c r="B266" t="s">
        <v>1</v>
      </c>
      <c r="C266">
        <v>1</v>
      </c>
      <c r="D266" t="str">
        <f>_xlfn.XLOOKUP(RW_DT_PRODUCTION[[#This Row],[MATERIAL_ID]],DIM_MATERIAL[MATERIAL_ID],DIM_MATERIAL[UOM_AFTER_PROCESS])</f>
        <v>BALE</v>
      </c>
      <c r="E266">
        <v>73</v>
      </c>
    </row>
    <row r="267" spans="1:5" x14ac:dyDescent="0.2">
      <c r="A267" s="1">
        <v>45607</v>
      </c>
      <c r="B267" t="s">
        <v>1</v>
      </c>
      <c r="C267">
        <v>1</v>
      </c>
      <c r="D267" t="str">
        <f>_xlfn.XLOOKUP(RW_DT_PRODUCTION[[#This Row],[MATERIAL_ID]],DIM_MATERIAL[MATERIAL_ID],DIM_MATERIAL[UOM_AFTER_PROCESS])</f>
        <v>BALE</v>
      </c>
      <c r="E267">
        <v>89</v>
      </c>
    </row>
    <row r="268" spans="1:5" x14ac:dyDescent="0.2">
      <c r="A268" s="1">
        <v>45607</v>
      </c>
      <c r="B268" t="s">
        <v>1</v>
      </c>
      <c r="C268">
        <v>1</v>
      </c>
      <c r="D268" t="str">
        <f>_xlfn.XLOOKUP(RW_DT_PRODUCTION[[#This Row],[MATERIAL_ID]],DIM_MATERIAL[MATERIAL_ID],DIM_MATERIAL[UOM_AFTER_PROCESS])</f>
        <v>BALE</v>
      </c>
      <c r="E268">
        <v>83</v>
      </c>
    </row>
    <row r="269" spans="1:5" x14ac:dyDescent="0.2">
      <c r="A269" s="1">
        <v>45607</v>
      </c>
      <c r="B269" t="s">
        <v>1</v>
      </c>
      <c r="C269">
        <v>1</v>
      </c>
      <c r="D269" t="str">
        <f>_xlfn.XLOOKUP(RW_DT_PRODUCTION[[#This Row],[MATERIAL_ID]],DIM_MATERIAL[MATERIAL_ID],DIM_MATERIAL[UOM_AFTER_PROCESS])</f>
        <v>BALE</v>
      </c>
      <c r="E269">
        <v>65</v>
      </c>
    </row>
    <row r="270" spans="1:5" x14ac:dyDescent="0.2">
      <c r="A270" s="1">
        <v>45607</v>
      </c>
      <c r="B270" t="s">
        <v>1</v>
      </c>
      <c r="C270">
        <v>1</v>
      </c>
      <c r="D270" t="str">
        <f>_xlfn.XLOOKUP(RW_DT_PRODUCTION[[#This Row],[MATERIAL_ID]],DIM_MATERIAL[MATERIAL_ID],DIM_MATERIAL[UOM_AFTER_PROCESS])</f>
        <v>BALE</v>
      </c>
      <c r="E270">
        <v>72</v>
      </c>
    </row>
    <row r="271" spans="1:5" x14ac:dyDescent="0.2">
      <c r="A271" s="1">
        <v>45607</v>
      </c>
      <c r="B271" t="s">
        <v>1</v>
      </c>
      <c r="C271">
        <v>1</v>
      </c>
      <c r="D271" t="str">
        <f>_xlfn.XLOOKUP(RW_DT_PRODUCTION[[#This Row],[MATERIAL_ID]],DIM_MATERIAL[MATERIAL_ID],DIM_MATERIAL[UOM_AFTER_PROCESS])</f>
        <v>BALE</v>
      </c>
      <c r="E271">
        <v>76</v>
      </c>
    </row>
    <row r="272" spans="1:5" x14ac:dyDescent="0.2">
      <c r="A272" s="1">
        <v>45607</v>
      </c>
      <c r="B272" t="s">
        <v>1</v>
      </c>
      <c r="C272">
        <v>1</v>
      </c>
      <c r="D272" t="str">
        <f>_xlfn.XLOOKUP(RW_DT_PRODUCTION[[#This Row],[MATERIAL_ID]],DIM_MATERIAL[MATERIAL_ID],DIM_MATERIAL[UOM_AFTER_PROCESS])</f>
        <v>BALE</v>
      </c>
      <c r="E272">
        <v>69</v>
      </c>
    </row>
    <row r="273" spans="1:5" x14ac:dyDescent="0.2">
      <c r="A273" s="1">
        <v>45607</v>
      </c>
      <c r="B273" t="s">
        <v>1</v>
      </c>
      <c r="C273">
        <v>1</v>
      </c>
      <c r="D273" t="str">
        <f>_xlfn.XLOOKUP(RW_DT_PRODUCTION[[#This Row],[MATERIAL_ID]],DIM_MATERIAL[MATERIAL_ID],DIM_MATERIAL[UOM_AFTER_PROCESS])</f>
        <v>BALE</v>
      </c>
      <c r="E273">
        <v>83</v>
      </c>
    </row>
    <row r="274" spans="1:5" x14ac:dyDescent="0.2">
      <c r="A274" s="1">
        <v>45607</v>
      </c>
      <c r="B274" t="s">
        <v>1</v>
      </c>
      <c r="C274">
        <v>1</v>
      </c>
      <c r="D274" t="str">
        <f>_xlfn.XLOOKUP(RW_DT_PRODUCTION[[#This Row],[MATERIAL_ID]],DIM_MATERIAL[MATERIAL_ID],DIM_MATERIAL[UOM_AFTER_PROCESS])</f>
        <v>BALE</v>
      </c>
      <c r="E274">
        <v>76</v>
      </c>
    </row>
    <row r="275" spans="1:5" x14ac:dyDescent="0.2">
      <c r="A275" s="1">
        <v>45607</v>
      </c>
      <c r="B275" t="s">
        <v>1</v>
      </c>
      <c r="C275">
        <v>1</v>
      </c>
      <c r="D275" t="str">
        <f>_xlfn.XLOOKUP(RW_DT_PRODUCTION[[#This Row],[MATERIAL_ID]],DIM_MATERIAL[MATERIAL_ID],DIM_MATERIAL[UOM_AFTER_PROCESS])</f>
        <v>BALE</v>
      </c>
      <c r="E275">
        <v>60</v>
      </c>
    </row>
    <row r="276" spans="1:5" x14ac:dyDescent="0.2">
      <c r="A276" s="1">
        <v>45607</v>
      </c>
      <c r="B276" t="s">
        <v>1</v>
      </c>
      <c r="C276">
        <v>1</v>
      </c>
      <c r="D276" t="str">
        <f>_xlfn.XLOOKUP(RW_DT_PRODUCTION[[#This Row],[MATERIAL_ID]],DIM_MATERIAL[MATERIAL_ID],DIM_MATERIAL[UOM_AFTER_PROCESS])</f>
        <v>BALE</v>
      </c>
      <c r="E276">
        <v>78</v>
      </c>
    </row>
    <row r="277" spans="1:5" x14ac:dyDescent="0.2">
      <c r="A277" s="1">
        <v>45608</v>
      </c>
      <c r="B277" t="s">
        <v>1</v>
      </c>
      <c r="C277">
        <v>1</v>
      </c>
      <c r="D277" t="str">
        <f>_xlfn.XLOOKUP(RW_DT_PRODUCTION[[#This Row],[MATERIAL_ID]],DIM_MATERIAL[MATERIAL_ID],DIM_MATERIAL[UOM_AFTER_PROCESS])</f>
        <v>BALE</v>
      </c>
      <c r="E277">
        <v>72</v>
      </c>
    </row>
    <row r="278" spans="1:5" x14ac:dyDescent="0.2">
      <c r="A278" s="1">
        <v>45608</v>
      </c>
      <c r="B278" t="s">
        <v>1</v>
      </c>
      <c r="C278">
        <v>1</v>
      </c>
      <c r="D278" t="str">
        <f>_xlfn.XLOOKUP(RW_DT_PRODUCTION[[#This Row],[MATERIAL_ID]],DIM_MATERIAL[MATERIAL_ID],DIM_MATERIAL[UOM_AFTER_PROCESS])</f>
        <v>BALE</v>
      </c>
      <c r="E278">
        <v>70</v>
      </c>
    </row>
    <row r="279" spans="1:5" x14ac:dyDescent="0.2">
      <c r="A279" s="1">
        <v>45608</v>
      </c>
      <c r="B279" t="s">
        <v>1</v>
      </c>
      <c r="C279">
        <v>1</v>
      </c>
      <c r="D279" t="str">
        <f>_xlfn.XLOOKUP(RW_DT_PRODUCTION[[#This Row],[MATERIAL_ID]],DIM_MATERIAL[MATERIAL_ID],DIM_MATERIAL[UOM_AFTER_PROCESS])</f>
        <v>BALE</v>
      </c>
      <c r="E279">
        <v>78</v>
      </c>
    </row>
    <row r="280" spans="1:5" x14ac:dyDescent="0.2">
      <c r="A280" s="1">
        <v>45608</v>
      </c>
      <c r="B280" t="s">
        <v>1</v>
      </c>
      <c r="C280">
        <v>1</v>
      </c>
      <c r="D280" t="str">
        <f>_xlfn.XLOOKUP(RW_DT_PRODUCTION[[#This Row],[MATERIAL_ID]],DIM_MATERIAL[MATERIAL_ID],DIM_MATERIAL[UOM_AFTER_PROCESS])</f>
        <v>BALE</v>
      </c>
      <c r="E280">
        <v>86</v>
      </c>
    </row>
    <row r="281" spans="1:5" x14ac:dyDescent="0.2">
      <c r="A281" s="1">
        <v>45608</v>
      </c>
      <c r="B281" t="s">
        <v>1</v>
      </c>
      <c r="C281">
        <v>1</v>
      </c>
      <c r="D281" t="str">
        <f>_xlfn.XLOOKUP(RW_DT_PRODUCTION[[#This Row],[MATERIAL_ID]],DIM_MATERIAL[MATERIAL_ID],DIM_MATERIAL[UOM_AFTER_PROCESS])</f>
        <v>BALE</v>
      </c>
      <c r="E281">
        <v>74</v>
      </c>
    </row>
    <row r="282" spans="1:5" x14ac:dyDescent="0.2">
      <c r="A282" s="1">
        <v>45608</v>
      </c>
      <c r="B282" t="s">
        <v>1</v>
      </c>
      <c r="C282">
        <v>1</v>
      </c>
      <c r="D282" t="str">
        <f>_xlfn.XLOOKUP(RW_DT_PRODUCTION[[#This Row],[MATERIAL_ID]],DIM_MATERIAL[MATERIAL_ID],DIM_MATERIAL[UOM_AFTER_PROCESS])</f>
        <v>BALE</v>
      </c>
      <c r="E282">
        <v>77</v>
      </c>
    </row>
    <row r="283" spans="1:5" x14ac:dyDescent="0.2">
      <c r="A283" s="1">
        <v>45608</v>
      </c>
      <c r="B283" t="s">
        <v>1</v>
      </c>
      <c r="C283">
        <v>1</v>
      </c>
      <c r="D283" t="str">
        <f>_xlfn.XLOOKUP(RW_DT_PRODUCTION[[#This Row],[MATERIAL_ID]],DIM_MATERIAL[MATERIAL_ID],DIM_MATERIAL[UOM_AFTER_PROCESS])</f>
        <v>BALE</v>
      </c>
      <c r="E283">
        <v>60</v>
      </c>
    </row>
    <row r="284" spans="1:5" x14ac:dyDescent="0.2">
      <c r="A284" s="1">
        <v>45608</v>
      </c>
      <c r="B284" t="s">
        <v>1</v>
      </c>
      <c r="C284">
        <v>1</v>
      </c>
      <c r="D284" t="str">
        <f>_xlfn.XLOOKUP(RW_DT_PRODUCTION[[#This Row],[MATERIAL_ID]],DIM_MATERIAL[MATERIAL_ID],DIM_MATERIAL[UOM_AFTER_PROCESS])</f>
        <v>BALE</v>
      </c>
      <c r="E284">
        <v>77</v>
      </c>
    </row>
    <row r="285" spans="1:5" x14ac:dyDescent="0.2">
      <c r="A285" s="1">
        <v>45608</v>
      </c>
      <c r="B285" t="s">
        <v>1</v>
      </c>
      <c r="C285">
        <v>1</v>
      </c>
      <c r="D285" t="str">
        <f>_xlfn.XLOOKUP(RW_DT_PRODUCTION[[#This Row],[MATERIAL_ID]],DIM_MATERIAL[MATERIAL_ID],DIM_MATERIAL[UOM_AFTER_PROCESS])</f>
        <v>BALE</v>
      </c>
      <c r="E285">
        <v>86</v>
      </c>
    </row>
    <row r="286" spans="1:5" x14ac:dyDescent="0.2">
      <c r="A286" s="1">
        <v>45608</v>
      </c>
      <c r="B286" t="s">
        <v>1</v>
      </c>
      <c r="C286">
        <v>1</v>
      </c>
      <c r="D286" t="str">
        <f>_xlfn.XLOOKUP(RW_DT_PRODUCTION[[#This Row],[MATERIAL_ID]],DIM_MATERIAL[MATERIAL_ID],DIM_MATERIAL[UOM_AFTER_PROCESS])</f>
        <v>BALE</v>
      </c>
      <c r="E286">
        <v>75</v>
      </c>
    </row>
    <row r="287" spans="1:5" x14ac:dyDescent="0.2">
      <c r="A287" s="1">
        <v>45608</v>
      </c>
      <c r="B287" t="s">
        <v>1</v>
      </c>
      <c r="C287">
        <v>1</v>
      </c>
      <c r="D287" t="str">
        <f>_xlfn.XLOOKUP(RW_DT_PRODUCTION[[#This Row],[MATERIAL_ID]],DIM_MATERIAL[MATERIAL_ID],DIM_MATERIAL[UOM_AFTER_PROCESS])</f>
        <v>BALE</v>
      </c>
      <c r="E287">
        <v>60</v>
      </c>
    </row>
    <row r="288" spans="1:5" x14ac:dyDescent="0.2">
      <c r="A288" s="1">
        <v>45608</v>
      </c>
      <c r="B288" t="s">
        <v>1</v>
      </c>
      <c r="C288">
        <v>1</v>
      </c>
      <c r="D288" t="str">
        <f>_xlfn.XLOOKUP(RW_DT_PRODUCTION[[#This Row],[MATERIAL_ID]],DIM_MATERIAL[MATERIAL_ID],DIM_MATERIAL[UOM_AFTER_PROCESS])</f>
        <v>BALE</v>
      </c>
      <c r="E288">
        <v>73</v>
      </c>
    </row>
    <row r="289" spans="1:5" x14ac:dyDescent="0.2">
      <c r="A289" s="3">
        <v>45608</v>
      </c>
      <c r="B289" t="s">
        <v>2</v>
      </c>
      <c r="C289">
        <v>1</v>
      </c>
      <c r="D289" t="str">
        <f>_xlfn.XLOOKUP(RW_DT_PRODUCTION[[#This Row],[MATERIAL_ID]],DIM_MATERIAL[MATERIAL_ID],DIM_MATERIAL[UOM_AFTER_PROCESS])</f>
        <v>BAG</v>
      </c>
      <c r="E289">
        <v>22</v>
      </c>
    </row>
    <row r="290" spans="1:5" x14ac:dyDescent="0.2">
      <c r="A290" s="3">
        <v>45608</v>
      </c>
      <c r="B290" t="s">
        <v>2</v>
      </c>
      <c r="C290">
        <v>1</v>
      </c>
      <c r="D290" t="str">
        <f>_xlfn.XLOOKUP(RW_DT_PRODUCTION[[#This Row],[MATERIAL_ID]],DIM_MATERIAL[MATERIAL_ID],DIM_MATERIAL[UOM_AFTER_PROCESS])</f>
        <v>BAG</v>
      </c>
      <c r="E290">
        <v>22</v>
      </c>
    </row>
    <row r="291" spans="1:5" x14ac:dyDescent="0.2">
      <c r="A291" s="3">
        <v>45608</v>
      </c>
      <c r="B291" t="s">
        <v>2</v>
      </c>
      <c r="C291">
        <v>1</v>
      </c>
      <c r="D291" t="str">
        <f>_xlfn.XLOOKUP(RW_DT_PRODUCTION[[#This Row],[MATERIAL_ID]],DIM_MATERIAL[MATERIAL_ID],DIM_MATERIAL[UOM_AFTER_PROCESS])</f>
        <v>BAG</v>
      </c>
      <c r="E291">
        <v>22</v>
      </c>
    </row>
    <row r="292" spans="1:5" x14ac:dyDescent="0.2">
      <c r="A292" s="3">
        <v>45608</v>
      </c>
      <c r="B292" t="s">
        <v>2</v>
      </c>
      <c r="C292">
        <v>1</v>
      </c>
      <c r="D292" t="str">
        <f>_xlfn.XLOOKUP(RW_DT_PRODUCTION[[#This Row],[MATERIAL_ID]],DIM_MATERIAL[MATERIAL_ID],DIM_MATERIAL[UOM_AFTER_PROCESS])</f>
        <v>BAG</v>
      </c>
      <c r="E292">
        <v>22</v>
      </c>
    </row>
    <row r="293" spans="1:5" x14ac:dyDescent="0.2">
      <c r="A293" s="3">
        <v>45608</v>
      </c>
      <c r="B293" t="s">
        <v>2</v>
      </c>
      <c r="C293">
        <v>1</v>
      </c>
      <c r="D293" t="str">
        <f>_xlfn.XLOOKUP(RW_DT_PRODUCTION[[#This Row],[MATERIAL_ID]],DIM_MATERIAL[MATERIAL_ID],DIM_MATERIAL[UOM_AFTER_PROCESS])</f>
        <v>BAG</v>
      </c>
      <c r="E293">
        <v>22</v>
      </c>
    </row>
    <row r="294" spans="1:5" x14ac:dyDescent="0.2">
      <c r="A294" s="1">
        <v>45609</v>
      </c>
      <c r="B294" t="s">
        <v>1</v>
      </c>
      <c r="C294">
        <v>1</v>
      </c>
      <c r="D294" t="str">
        <f>_xlfn.XLOOKUP(RW_DT_PRODUCTION[[#This Row],[MATERIAL_ID]],DIM_MATERIAL[MATERIAL_ID],DIM_MATERIAL[UOM_AFTER_PROCESS])</f>
        <v>BALE</v>
      </c>
      <c r="E294">
        <v>63</v>
      </c>
    </row>
    <row r="295" spans="1:5" x14ac:dyDescent="0.2">
      <c r="A295" s="1">
        <v>45609</v>
      </c>
      <c r="B295" t="s">
        <v>1</v>
      </c>
      <c r="C295">
        <v>1</v>
      </c>
      <c r="D295" t="str">
        <f>_xlfn.XLOOKUP(RW_DT_PRODUCTION[[#This Row],[MATERIAL_ID]],DIM_MATERIAL[MATERIAL_ID],DIM_MATERIAL[UOM_AFTER_PROCESS])</f>
        <v>BALE</v>
      </c>
      <c r="E295">
        <v>81</v>
      </c>
    </row>
    <row r="296" spans="1:5" x14ac:dyDescent="0.2">
      <c r="A296" s="1">
        <v>45609</v>
      </c>
      <c r="B296" t="s">
        <v>1</v>
      </c>
      <c r="C296">
        <v>1</v>
      </c>
      <c r="D296" t="str">
        <f>_xlfn.XLOOKUP(RW_DT_PRODUCTION[[#This Row],[MATERIAL_ID]],DIM_MATERIAL[MATERIAL_ID],DIM_MATERIAL[UOM_AFTER_PROCESS])</f>
        <v>BALE</v>
      </c>
      <c r="E296">
        <v>88</v>
      </c>
    </row>
    <row r="297" spans="1:5" x14ac:dyDescent="0.2">
      <c r="A297" s="1">
        <v>45609</v>
      </c>
      <c r="B297" t="s">
        <v>1</v>
      </c>
      <c r="C297">
        <v>1</v>
      </c>
      <c r="D297" t="str">
        <f>_xlfn.XLOOKUP(RW_DT_PRODUCTION[[#This Row],[MATERIAL_ID]],DIM_MATERIAL[MATERIAL_ID],DIM_MATERIAL[UOM_AFTER_PROCESS])</f>
        <v>BALE</v>
      </c>
      <c r="E297">
        <v>84</v>
      </c>
    </row>
    <row r="298" spans="1:5" x14ac:dyDescent="0.2">
      <c r="A298" s="1">
        <v>45609</v>
      </c>
      <c r="B298" t="s">
        <v>1</v>
      </c>
      <c r="C298">
        <v>1</v>
      </c>
      <c r="D298" t="str">
        <f>_xlfn.XLOOKUP(RW_DT_PRODUCTION[[#This Row],[MATERIAL_ID]],DIM_MATERIAL[MATERIAL_ID],DIM_MATERIAL[UOM_AFTER_PROCESS])</f>
        <v>BALE</v>
      </c>
      <c r="E298">
        <v>66</v>
      </c>
    </row>
    <row r="299" spans="1:5" x14ac:dyDescent="0.2">
      <c r="A299" s="1">
        <v>45609</v>
      </c>
      <c r="B299" t="s">
        <v>1</v>
      </c>
      <c r="C299">
        <v>1</v>
      </c>
      <c r="D299" t="str">
        <f>_xlfn.XLOOKUP(RW_DT_PRODUCTION[[#This Row],[MATERIAL_ID]],DIM_MATERIAL[MATERIAL_ID],DIM_MATERIAL[UOM_AFTER_PROCESS])</f>
        <v>BALE</v>
      </c>
      <c r="E299">
        <v>83</v>
      </c>
    </row>
    <row r="300" spans="1:5" x14ac:dyDescent="0.2">
      <c r="A300" s="1">
        <v>45609</v>
      </c>
      <c r="B300" t="s">
        <v>1</v>
      </c>
      <c r="C300">
        <v>1</v>
      </c>
      <c r="D300" t="str">
        <f>_xlfn.XLOOKUP(RW_DT_PRODUCTION[[#This Row],[MATERIAL_ID]],DIM_MATERIAL[MATERIAL_ID],DIM_MATERIAL[UOM_AFTER_PROCESS])</f>
        <v>BALE</v>
      </c>
      <c r="E300">
        <v>68</v>
      </c>
    </row>
    <row r="301" spans="1:5" x14ac:dyDescent="0.2">
      <c r="A301" s="1">
        <v>45609</v>
      </c>
      <c r="B301" t="s">
        <v>1</v>
      </c>
      <c r="C301">
        <v>1</v>
      </c>
      <c r="D301" t="str">
        <f>_xlfn.XLOOKUP(RW_DT_PRODUCTION[[#This Row],[MATERIAL_ID]],DIM_MATERIAL[MATERIAL_ID],DIM_MATERIAL[UOM_AFTER_PROCESS])</f>
        <v>BALE</v>
      </c>
      <c r="E301">
        <v>85</v>
      </c>
    </row>
    <row r="302" spans="1:5" x14ac:dyDescent="0.2">
      <c r="A302" s="1">
        <v>45609</v>
      </c>
      <c r="B302" t="s">
        <v>1</v>
      </c>
      <c r="C302">
        <v>1</v>
      </c>
      <c r="D302" t="str">
        <f>_xlfn.XLOOKUP(RW_DT_PRODUCTION[[#This Row],[MATERIAL_ID]],DIM_MATERIAL[MATERIAL_ID],DIM_MATERIAL[UOM_AFTER_PROCESS])</f>
        <v>BALE</v>
      </c>
      <c r="E302">
        <v>65</v>
      </c>
    </row>
    <row r="303" spans="1:5" x14ac:dyDescent="0.2">
      <c r="A303" s="1">
        <v>45610</v>
      </c>
      <c r="B303" t="s">
        <v>1</v>
      </c>
      <c r="C303">
        <v>1</v>
      </c>
      <c r="D303" t="str">
        <f>_xlfn.XLOOKUP(RW_DT_PRODUCTION[[#This Row],[MATERIAL_ID]],DIM_MATERIAL[MATERIAL_ID],DIM_MATERIAL[UOM_AFTER_PROCESS])</f>
        <v>BALE</v>
      </c>
      <c r="E303">
        <v>84</v>
      </c>
    </row>
    <row r="304" spans="1:5" x14ac:dyDescent="0.2">
      <c r="A304" s="1">
        <v>45610</v>
      </c>
      <c r="B304" t="s">
        <v>1</v>
      </c>
      <c r="C304">
        <v>1</v>
      </c>
      <c r="D304" t="str">
        <f>_xlfn.XLOOKUP(RW_DT_PRODUCTION[[#This Row],[MATERIAL_ID]],DIM_MATERIAL[MATERIAL_ID],DIM_MATERIAL[UOM_AFTER_PROCESS])</f>
        <v>BALE</v>
      </c>
      <c r="E304">
        <v>73</v>
      </c>
    </row>
    <row r="305" spans="1:5" x14ac:dyDescent="0.2">
      <c r="A305" s="1">
        <v>45610</v>
      </c>
      <c r="B305" t="s">
        <v>1</v>
      </c>
      <c r="C305">
        <v>1</v>
      </c>
      <c r="D305" t="str">
        <f>_xlfn.XLOOKUP(RW_DT_PRODUCTION[[#This Row],[MATERIAL_ID]],DIM_MATERIAL[MATERIAL_ID],DIM_MATERIAL[UOM_AFTER_PROCESS])</f>
        <v>BALE</v>
      </c>
      <c r="E305">
        <v>85</v>
      </c>
    </row>
    <row r="306" spans="1:5" x14ac:dyDescent="0.2">
      <c r="A306" s="1">
        <v>45610</v>
      </c>
      <c r="B306" t="s">
        <v>1</v>
      </c>
      <c r="C306">
        <v>1</v>
      </c>
      <c r="D306" t="str">
        <f>_xlfn.XLOOKUP(RW_DT_PRODUCTION[[#This Row],[MATERIAL_ID]],DIM_MATERIAL[MATERIAL_ID],DIM_MATERIAL[UOM_AFTER_PROCESS])</f>
        <v>BALE</v>
      </c>
      <c r="E306">
        <v>69</v>
      </c>
    </row>
    <row r="307" spans="1:5" x14ac:dyDescent="0.2">
      <c r="A307" s="1">
        <v>45610</v>
      </c>
      <c r="B307" t="s">
        <v>1</v>
      </c>
      <c r="C307">
        <v>1</v>
      </c>
      <c r="D307" t="str">
        <f>_xlfn.XLOOKUP(RW_DT_PRODUCTION[[#This Row],[MATERIAL_ID]],DIM_MATERIAL[MATERIAL_ID],DIM_MATERIAL[UOM_AFTER_PROCESS])</f>
        <v>BALE</v>
      </c>
      <c r="E307">
        <v>63</v>
      </c>
    </row>
    <row r="308" spans="1:5" x14ac:dyDescent="0.2">
      <c r="A308" s="1">
        <v>45610</v>
      </c>
      <c r="B308" t="s">
        <v>1</v>
      </c>
      <c r="C308">
        <v>1</v>
      </c>
      <c r="D308" t="str">
        <f>_xlfn.XLOOKUP(RW_DT_PRODUCTION[[#This Row],[MATERIAL_ID]],DIM_MATERIAL[MATERIAL_ID],DIM_MATERIAL[UOM_AFTER_PROCESS])</f>
        <v>BALE</v>
      </c>
      <c r="E308">
        <v>81</v>
      </c>
    </row>
    <row r="309" spans="1:5" x14ac:dyDescent="0.2">
      <c r="A309" s="1">
        <v>45610</v>
      </c>
      <c r="B309" t="s">
        <v>1</v>
      </c>
      <c r="C309">
        <v>1</v>
      </c>
      <c r="D309" t="str">
        <f>_xlfn.XLOOKUP(RW_DT_PRODUCTION[[#This Row],[MATERIAL_ID]],DIM_MATERIAL[MATERIAL_ID],DIM_MATERIAL[UOM_AFTER_PROCESS])</f>
        <v>BALE</v>
      </c>
      <c r="E309">
        <v>69</v>
      </c>
    </row>
    <row r="310" spans="1:5" x14ac:dyDescent="0.2">
      <c r="A310" s="3">
        <v>45610</v>
      </c>
      <c r="B310" t="s">
        <v>2</v>
      </c>
      <c r="C310">
        <v>1</v>
      </c>
      <c r="D310" t="str">
        <f>_xlfn.XLOOKUP(RW_DT_PRODUCTION[[#This Row],[MATERIAL_ID]],DIM_MATERIAL[MATERIAL_ID],DIM_MATERIAL[UOM_AFTER_PROCESS])</f>
        <v>BAG</v>
      </c>
      <c r="E310">
        <v>22</v>
      </c>
    </row>
    <row r="311" spans="1:5" x14ac:dyDescent="0.2">
      <c r="A311" s="1">
        <v>45611</v>
      </c>
      <c r="B311" t="s">
        <v>1</v>
      </c>
      <c r="C311">
        <v>1</v>
      </c>
      <c r="D311" t="str">
        <f>_xlfn.XLOOKUP(RW_DT_PRODUCTION[[#This Row],[MATERIAL_ID]],DIM_MATERIAL[MATERIAL_ID],DIM_MATERIAL[UOM_AFTER_PROCESS])</f>
        <v>BALE</v>
      </c>
      <c r="E311">
        <v>61</v>
      </c>
    </row>
    <row r="312" spans="1:5" x14ac:dyDescent="0.2">
      <c r="A312" s="1">
        <v>45611</v>
      </c>
      <c r="B312" t="s">
        <v>1</v>
      </c>
      <c r="C312">
        <v>1</v>
      </c>
      <c r="D312" t="str">
        <f>_xlfn.XLOOKUP(RW_DT_PRODUCTION[[#This Row],[MATERIAL_ID]],DIM_MATERIAL[MATERIAL_ID],DIM_MATERIAL[UOM_AFTER_PROCESS])</f>
        <v>BALE</v>
      </c>
      <c r="E312">
        <v>83</v>
      </c>
    </row>
    <row r="313" spans="1:5" x14ac:dyDescent="0.2">
      <c r="A313" s="1">
        <v>45611</v>
      </c>
      <c r="B313" t="s">
        <v>1</v>
      </c>
      <c r="C313">
        <v>1</v>
      </c>
      <c r="D313" t="str">
        <f>_xlfn.XLOOKUP(RW_DT_PRODUCTION[[#This Row],[MATERIAL_ID]],DIM_MATERIAL[MATERIAL_ID],DIM_MATERIAL[UOM_AFTER_PROCESS])</f>
        <v>BALE</v>
      </c>
      <c r="E313">
        <v>61</v>
      </c>
    </row>
    <row r="314" spans="1:5" x14ac:dyDescent="0.2">
      <c r="A314" s="1">
        <v>45611</v>
      </c>
      <c r="B314" t="s">
        <v>1</v>
      </c>
      <c r="C314">
        <v>1</v>
      </c>
      <c r="D314" t="str">
        <f>_xlfn.XLOOKUP(RW_DT_PRODUCTION[[#This Row],[MATERIAL_ID]],DIM_MATERIAL[MATERIAL_ID],DIM_MATERIAL[UOM_AFTER_PROCESS])</f>
        <v>BALE</v>
      </c>
      <c r="E314">
        <v>86</v>
      </c>
    </row>
    <row r="315" spans="1:5" x14ac:dyDescent="0.2">
      <c r="A315" s="1">
        <v>45611</v>
      </c>
      <c r="B315" t="s">
        <v>1</v>
      </c>
      <c r="C315">
        <v>1</v>
      </c>
      <c r="D315" t="str">
        <f>_xlfn.XLOOKUP(RW_DT_PRODUCTION[[#This Row],[MATERIAL_ID]],DIM_MATERIAL[MATERIAL_ID],DIM_MATERIAL[UOM_AFTER_PROCESS])</f>
        <v>BALE</v>
      </c>
      <c r="E315">
        <v>89</v>
      </c>
    </row>
    <row r="316" spans="1:5" x14ac:dyDescent="0.2">
      <c r="A316" s="1">
        <v>45611</v>
      </c>
      <c r="B316" t="s">
        <v>1</v>
      </c>
      <c r="C316">
        <v>1</v>
      </c>
      <c r="D316" t="str">
        <f>_xlfn.XLOOKUP(RW_DT_PRODUCTION[[#This Row],[MATERIAL_ID]],DIM_MATERIAL[MATERIAL_ID],DIM_MATERIAL[UOM_AFTER_PROCESS])</f>
        <v>BALE</v>
      </c>
      <c r="E316">
        <v>79</v>
      </c>
    </row>
    <row r="317" spans="1:5" x14ac:dyDescent="0.2">
      <c r="A317" s="1">
        <v>45611</v>
      </c>
      <c r="B317" t="s">
        <v>1</v>
      </c>
      <c r="C317">
        <v>1</v>
      </c>
      <c r="D317" t="str">
        <f>_xlfn.XLOOKUP(RW_DT_PRODUCTION[[#This Row],[MATERIAL_ID]],DIM_MATERIAL[MATERIAL_ID],DIM_MATERIAL[UOM_AFTER_PROCESS])</f>
        <v>BALE</v>
      </c>
      <c r="E317">
        <v>88</v>
      </c>
    </row>
    <row r="318" spans="1:5" x14ac:dyDescent="0.2">
      <c r="A318" s="1">
        <v>45612</v>
      </c>
      <c r="B318" t="s">
        <v>1</v>
      </c>
      <c r="C318">
        <v>1</v>
      </c>
      <c r="D318" t="str">
        <f>_xlfn.XLOOKUP(RW_DT_PRODUCTION[[#This Row],[MATERIAL_ID]],DIM_MATERIAL[MATERIAL_ID],DIM_MATERIAL[UOM_AFTER_PROCESS])</f>
        <v>BALE</v>
      </c>
      <c r="E318">
        <v>60</v>
      </c>
    </row>
    <row r="319" spans="1:5" x14ac:dyDescent="0.2">
      <c r="A319" s="1">
        <v>45614</v>
      </c>
      <c r="B319" t="s">
        <v>1</v>
      </c>
      <c r="C319">
        <v>1</v>
      </c>
      <c r="D319" t="str">
        <f>_xlfn.XLOOKUP(RW_DT_PRODUCTION[[#This Row],[MATERIAL_ID]],DIM_MATERIAL[MATERIAL_ID],DIM_MATERIAL[UOM_AFTER_PROCESS])</f>
        <v>BALE</v>
      </c>
      <c r="E319">
        <v>79</v>
      </c>
    </row>
    <row r="320" spans="1:5" x14ac:dyDescent="0.2">
      <c r="A320" s="1">
        <v>45614</v>
      </c>
      <c r="B320" t="s">
        <v>1</v>
      </c>
      <c r="C320">
        <v>1</v>
      </c>
      <c r="D320" t="str">
        <f>_xlfn.XLOOKUP(RW_DT_PRODUCTION[[#This Row],[MATERIAL_ID]],DIM_MATERIAL[MATERIAL_ID],DIM_MATERIAL[UOM_AFTER_PROCESS])</f>
        <v>BALE</v>
      </c>
      <c r="E320">
        <v>84</v>
      </c>
    </row>
    <row r="321" spans="1:5" x14ac:dyDescent="0.2">
      <c r="A321" s="1">
        <v>45614</v>
      </c>
      <c r="B321" t="s">
        <v>1</v>
      </c>
      <c r="C321">
        <v>1</v>
      </c>
      <c r="D321" t="str">
        <f>_xlfn.XLOOKUP(RW_DT_PRODUCTION[[#This Row],[MATERIAL_ID]],DIM_MATERIAL[MATERIAL_ID],DIM_MATERIAL[UOM_AFTER_PROCESS])</f>
        <v>BALE</v>
      </c>
      <c r="E321">
        <v>64</v>
      </c>
    </row>
    <row r="322" spans="1:5" x14ac:dyDescent="0.2">
      <c r="A322" s="1">
        <v>45614</v>
      </c>
      <c r="B322" t="s">
        <v>1</v>
      </c>
      <c r="C322">
        <v>1</v>
      </c>
      <c r="D322" t="str">
        <f>_xlfn.XLOOKUP(RW_DT_PRODUCTION[[#This Row],[MATERIAL_ID]],DIM_MATERIAL[MATERIAL_ID],DIM_MATERIAL[UOM_AFTER_PROCESS])</f>
        <v>BALE</v>
      </c>
      <c r="E322">
        <v>62</v>
      </c>
    </row>
    <row r="323" spans="1:5" x14ac:dyDescent="0.2">
      <c r="A323" s="1">
        <v>45614</v>
      </c>
      <c r="B323" t="s">
        <v>1</v>
      </c>
      <c r="C323">
        <v>1</v>
      </c>
      <c r="D323" t="str">
        <f>_xlfn.XLOOKUP(RW_DT_PRODUCTION[[#This Row],[MATERIAL_ID]],DIM_MATERIAL[MATERIAL_ID],DIM_MATERIAL[UOM_AFTER_PROCESS])</f>
        <v>BALE</v>
      </c>
      <c r="E323">
        <v>79</v>
      </c>
    </row>
    <row r="324" spans="1:5" x14ac:dyDescent="0.2">
      <c r="A324" s="1">
        <v>45614</v>
      </c>
      <c r="B324" t="s">
        <v>1</v>
      </c>
      <c r="C324">
        <v>1</v>
      </c>
      <c r="D324" t="str">
        <f>_xlfn.XLOOKUP(RW_DT_PRODUCTION[[#This Row],[MATERIAL_ID]],DIM_MATERIAL[MATERIAL_ID],DIM_MATERIAL[UOM_AFTER_PROCESS])</f>
        <v>BALE</v>
      </c>
      <c r="E324">
        <v>74</v>
      </c>
    </row>
    <row r="325" spans="1:5" x14ac:dyDescent="0.2">
      <c r="A325" s="1">
        <v>45614</v>
      </c>
      <c r="B325" t="s">
        <v>1</v>
      </c>
      <c r="C325">
        <v>1</v>
      </c>
      <c r="D325" t="str">
        <f>_xlfn.XLOOKUP(RW_DT_PRODUCTION[[#This Row],[MATERIAL_ID]],DIM_MATERIAL[MATERIAL_ID],DIM_MATERIAL[UOM_AFTER_PROCESS])</f>
        <v>BALE</v>
      </c>
      <c r="E325">
        <v>60</v>
      </c>
    </row>
    <row r="326" spans="1:5" x14ac:dyDescent="0.2">
      <c r="A326" s="1">
        <v>45615</v>
      </c>
      <c r="B326" t="s">
        <v>1</v>
      </c>
      <c r="C326">
        <v>1</v>
      </c>
      <c r="D326" t="str">
        <f>_xlfn.XLOOKUP(RW_DT_PRODUCTION[[#This Row],[MATERIAL_ID]],DIM_MATERIAL[MATERIAL_ID],DIM_MATERIAL[UOM_AFTER_PROCESS])</f>
        <v>BALE</v>
      </c>
      <c r="E326">
        <v>80</v>
      </c>
    </row>
    <row r="327" spans="1:5" x14ac:dyDescent="0.2">
      <c r="A327" s="1">
        <v>45615</v>
      </c>
      <c r="B327" t="s">
        <v>1</v>
      </c>
      <c r="C327">
        <v>1</v>
      </c>
      <c r="D327" t="str">
        <f>_xlfn.XLOOKUP(RW_DT_PRODUCTION[[#This Row],[MATERIAL_ID]],DIM_MATERIAL[MATERIAL_ID],DIM_MATERIAL[UOM_AFTER_PROCESS])</f>
        <v>BALE</v>
      </c>
      <c r="E327">
        <v>80</v>
      </c>
    </row>
    <row r="328" spans="1:5" x14ac:dyDescent="0.2">
      <c r="A328" s="1">
        <v>45615</v>
      </c>
      <c r="B328" t="s">
        <v>1</v>
      </c>
      <c r="C328">
        <v>1</v>
      </c>
      <c r="D328" t="str">
        <f>_xlfn.XLOOKUP(RW_DT_PRODUCTION[[#This Row],[MATERIAL_ID]],DIM_MATERIAL[MATERIAL_ID],DIM_MATERIAL[UOM_AFTER_PROCESS])</f>
        <v>BALE</v>
      </c>
      <c r="E328">
        <v>86</v>
      </c>
    </row>
    <row r="329" spans="1:5" x14ac:dyDescent="0.2">
      <c r="A329" s="1">
        <v>45615</v>
      </c>
      <c r="B329" t="s">
        <v>1</v>
      </c>
      <c r="C329">
        <v>1</v>
      </c>
      <c r="D329" t="str">
        <f>_xlfn.XLOOKUP(RW_DT_PRODUCTION[[#This Row],[MATERIAL_ID]],DIM_MATERIAL[MATERIAL_ID],DIM_MATERIAL[UOM_AFTER_PROCESS])</f>
        <v>BALE</v>
      </c>
      <c r="E329">
        <v>67</v>
      </c>
    </row>
    <row r="330" spans="1:5" x14ac:dyDescent="0.2">
      <c r="A330" s="1">
        <v>45615</v>
      </c>
      <c r="B330" t="s">
        <v>1</v>
      </c>
      <c r="C330">
        <v>1</v>
      </c>
      <c r="D330" t="str">
        <f>_xlfn.XLOOKUP(RW_DT_PRODUCTION[[#This Row],[MATERIAL_ID]],DIM_MATERIAL[MATERIAL_ID],DIM_MATERIAL[UOM_AFTER_PROCESS])</f>
        <v>BALE</v>
      </c>
      <c r="E330">
        <v>60</v>
      </c>
    </row>
    <row r="331" spans="1:5" x14ac:dyDescent="0.2">
      <c r="A331" s="1">
        <v>45615</v>
      </c>
      <c r="B331" t="s">
        <v>1</v>
      </c>
      <c r="C331">
        <v>1</v>
      </c>
      <c r="D331" t="str">
        <f>_xlfn.XLOOKUP(RW_DT_PRODUCTION[[#This Row],[MATERIAL_ID]],DIM_MATERIAL[MATERIAL_ID],DIM_MATERIAL[UOM_AFTER_PROCESS])</f>
        <v>BALE</v>
      </c>
      <c r="E331">
        <v>65</v>
      </c>
    </row>
    <row r="332" spans="1:5" x14ac:dyDescent="0.2">
      <c r="A332" s="1">
        <v>45615</v>
      </c>
      <c r="B332" t="s">
        <v>1</v>
      </c>
      <c r="C332">
        <v>1</v>
      </c>
      <c r="D332" t="str">
        <f>_xlfn.XLOOKUP(RW_DT_PRODUCTION[[#This Row],[MATERIAL_ID]],DIM_MATERIAL[MATERIAL_ID],DIM_MATERIAL[UOM_AFTER_PROCESS])</f>
        <v>BALE</v>
      </c>
      <c r="E332">
        <v>61</v>
      </c>
    </row>
    <row r="333" spans="1:5" x14ac:dyDescent="0.2">
      <c r="A333" s="1">
        <v>45615</v>
      </c>
      <c r="B333" t="s">
        <v>1</v>
      </c>
      <c r="C333">
        <v>1</v>
      </c>
      <c r="D333" t="str">
        <f>_xlfn.XLOOKUP(RW_DT_PRODUCTION[[#This Row],[MATERIAL_ID]],DIM_MATERIAL[MATERIAL_ID],DIM_MATERIAL[UOM_AFTER_PROCESS])</f>
        <v>BALE</v>
      </c>
      <c r="E333">
        <v>82</v>
      </c>
    </row>
    <row r="334" spans="1:5" x14ac:dyDescent="0.2">
      <c r="A334" s="1">
        <v>45615</v>
      </c>
      <c r="B334" t="s">
        <v>1</v>
      </c>
      <c r="C334">
        <v>1</v>
      </c>
      <c r="D334" t="str">
        <f>_xlfn.XLOOKUP(RW_DT_PRODUCTION[[#This Row],[MATERIAL_ID]],DIM_MATERIAL[MATERIAL_ID],DIM_MATERIAL[UOM_AFTER_PROCESS])</f>
        <v>BALE</v>
      </c>
      <c r="E334">
        <v>89</v>
      </c>
    </row>
    <row r="335" spans="1:5" x14ac:dyDescent="0.2">
      <c r="A335" s="1">
        <v>45615</v>
      </c>
      <c r="B335" t="s">
        <v>1</v>
      </c>
      <c r="C335">
        <v>1</v>
      </c>
      <c r="D335" t="str">
        <f>_xlfn.XLOOKUP(RW_DT_PRODUCTION[[#This Row],[MATERIAL_ID]],DIM_MATERIAL[MATERIAL_ID],DIM_MATERIAL[UOM_AFTER_PROCESS])</f>
        <v>BALE</v>
      </c>
      <c r="E335">
        <v>71</v>
      </c>
    </row>
    <row r="336" spans="1:5" x14ac:dyDescent="0.2">
      <c r="A336" s="3">
        <v>45615</v>
      </c>
      <c r="B336" t="s">
        <v>2</v>
      </c>
      <c r="C336">
        <v>1</v>
      </c>
      <c r="D336" t="str">
        <f>_xlfn.XLOOKUP(RW_DT_PRODUCTION[[#This Row],[MATERIAL_ID]],DIM_MATERIAL[MATERIAL_ID],DIM_MATERIAL[UOM_AFTER_PROCESS])</f>
        <v>BAG</v>
      </c>
      <c r="E336">
        <v>22</v>
      </c>
    </row>
    <row r="337" spans="1:5" x14ac:dyDescent="0.2">
      <c r="A337" s="3">
        <v>45615</v>
      </c>
      <c r="B337" t="s">
        <v>2</v>
      </c>
      <c r="C337">
        <v>1</v>
      </c>
      <c r="D337" t="str">
        <f>_xlfn.XLOOKUP(RW_DT_PRODUCTION[[#This Row],[MATERIAL_ID]],DIM_MATERIAL[MATERIAL_ID],DIM_MATERIAL[UOM_AFTER_PROCESS])</f>
        <v>BAG</v>
      </c>
      <c r="E337">
        <v>22</v>
      </c>
    </row>
    <row r="338" spans="1:5" x14ac:dyDescent="0.2">
      <c r="A338" s="1">
        <v>45616</v>
      </c>
      <c r="B338" t="s">
        <v>1</v>
      </c>
      <c r="C338">
        <v>1</v>
      </c>
      <c r="D338" t="str">
        <f>_xlfn.XLOOKUP(RW_DT_PRODUCTION[[#This Row],[MATERIAL_ID]],DIM_MATERIAL[MATERIAL_ID],DIM_MATERIAL[UOM_AFTER_PROCESS])</f>
        <v>BALE</v>
      </c>
      <c r="E338">
        <v>63</v>
      </c>
    </row>
    <row r="339" spans="1:5" x14ac:dyDescent="0.2">
      <c r="A339" s="1">
        <v>45616</v>
      </c>
      <c r="B339" t="s">
        <v>1</v>
      </c>
      <c r="C339">
        <v>1</v>
      </c>
      <c r="D339" t="str">
        <f>_xlfn.XLOOKUP(RW_DT_PRODUCTION[[#This Row],[MATERIAL_ID]],DIM_MATERIAL[MATERIAL_ID],DIM_MATERIAL[UOM_AFTER_PROCESS])</f>
        <v>BALE</v>
      </c>
      <c r="E339">
        <v>76</v>
      </c>
    </row>
    <row r="340" spans="1:5" x14ac:dyDescent="0.2">
      <c r="A340" s="1">
        <v>45616</v>
      </c>
      <c r="B340" t="s">
        <v>1</v>
      </c>
      <c r="C340">
        <v>1</v>
      </c>
      <c r="D340" t="str">
        <f>_xlfn.XLOOKUP(RW_DT_PRODUCTION[[#This Row],[MATERIAL_ID]],DIM_MATERIAL[MATERIAL_ID],DIM_MATERIAL[UOM_AFTER_PROCESS])</f>
        <v>BALE</v>
      </c>
      <c r="E340">
        <v>84</v>
      </c>
    </row>
    <row r="341" spans="1:5" x14ac:dyDescent="0.2">
      <c r="A341" s="1">
        <v>45616</v>
      </c>
      <c r="B341" t="s">
        <v>1</v>
      </c>
      <c r="C341">
        <v>1</v>
      </c>
      <c r="D341" t="str">
        <f>_xlfn.XLOOKUP(RW_DT_PRODUCTION[[#This Row],[MATERIAL_ID]],DIM_MATERIAL[MATERIAL_ID],DIM_MATERIAL[UOM_AFTER_PROCESS])</f>
        <v>BALE</v>
      </c>
      <c r="E341">
        <v>64</v>
      </c>
    </row>
    <row r="342" spans="1:5" x14ac:dyDescent="0.2">
      <c r="A342" s="1">
        <v>45616</v>
      </c>
      <c r="B342" t="s">
        <v>1</v>
      </c>
      <c r="C342">
        <v>1</v>
      </c>
      <c r="D342" t="str">
        <f>_xlfn.XLOOKUP(RW_DT_PRODUCTION[[#This Row],[MATERIAL_ID]],DIM_MATERIAL[MATERIAL_ID],DIM_MATERIAL[UOM_AFTER_PROCESS])</f>
        <v>BALE</v>
      </c>
      <c r="E342">
        <v>63</v>
      </c>
    </row>
    <row r="343" spans="1:5" x14ac:dyDescent="0.2">
      <c r="A343" s="1">
        <v>45616</v>
      </c>
      <c r="B343" t="s">
        <v>1</v>
      </c>
      <c r="C343">
        <v>1</v>
      </c>
      <c r="D343" t="str">
        <f>_xlfn.XLOOKUP(RW_DT_PRODUCTION[[#This Row],[MATERIAL_ID]],DIM_MATERIAL[MATERIAL_ID],DIM_MATERIAL[UOM_AFTER_PROCESS])</f>
        <v>BALE</v>
      </c>
      <c r="E343">
        <v>66</v>
      </c>
    </row>
    <row r="344" spans="1:5" x14ac:dyDescent="0.2">
      <c r="A344" s="1">
        <v>45616</v>
      </c>
      <c r="B344" t="s">
        <v>1</v>
      </c>
      <c r="C344">
        <v>1</v>
      </c>
      <c r="D344" t="str">
        <f>_xlfn.XLOOKUP(RW_DT_PRODUCTION[[#This Row],[MATERIAL_ID]],DIM_MATERIAL[MATERIAL_ID],DIM_MATERIAL[UOM_AFTER_PROCESS])</f>
        <v>BALE</v>
      </c>
      <c r="E344">
        <v>68</v>
      </c>
    </row>
    <row r="345" spans="1:5" x14ac:dyDescent="0.2">
      <c r="A345" s="1">
        <v>45616</v>
      </c>
      <c r="B345" t="s">
        <v>1</v>
      </c>
      <c r="C345">
        <v>1</v>
      </c>
      <c r="D345" t="str">
        <f>_xlfn.XLOOKUP(RW_DT_PRODUCTION[[#This Row],[MATERIAL_ID]],DIM_MATERIAL[MATERIAL_ID],DIM_MATERIAL[UOM_AFTER_PROCESS])</f>
        <v>BALE</v>
      </c>
      <c r="E345">
        <v>69</v>
      </c>
    </row>
    <row r="346" spans="1:5" x14ac:dyDescent="0.2">
      <c r="A346" s="1">
        <v>45616</v>
      </c>
      <c r="B346" t="s">
        <v>1</v>
      </c>
      <c r="C346">
        <v>1</v>
      </c>
      <c r="D346" t="str">
        <f>_xlfn.XLOOKUP(RW_DT_PRODUCTION[[#This Row],[MATERIAL_ID]],DIM_MATERIAL[MATERIAL_ID],DIM_MATERIAL[UOM_AFTER_PROCESS])</f>
        <v>BALE</v>
      </c>
      <c r="E346">
        <v>83</v>
      </c>
    </row>
    <row r="347" spans="1:5" x14ac:dyDescent="0.2">
      <c r="A347" s="1">
        <v>45616</v>
      </c>
      <c r="B347" t="s">
        <v>1</v>
      </c>
      <c r="C347">
        <v>1</v>
      </c>
      <c r="D347" t="str">
        <f>_xlfn.XLOOKUP(RW_DT_PRODUCTION[[#This Row],[MATERIAL_ID]],DIM_MATERIAL[MATERIAL_ID],DIM_MATERIAL[UOM_AFTER_PROCESS])</f>
        <v>BALE</v>
      </c>
      <c r="E347">
        <v>87</v>
      </c>
    </row>
    <row r="348" spans="1:5" x14ac:dyDescent="0.2">
      <c r="A348" s="1">
        <v>45616</v>
      </c>
      <c r="B348" t="s">
        <v>1</v>
      </c>
      <c r="C348">
        <v>1</v>
      </c>
      <c r="D348" t="str">
        <f>_xlfn.XLOOKUP(RW_DT_PRODUCTION[[#This Row],[MATERIAL_ID]],DIM_MATERIAL[MATERIAL_ID],DIM_MATERIAL[UOM_AFTER_PROCESS])</f>
        <v>BALE</v>
      </c>
      <c r="E348">
        <v>72</v>
      </c>
    </row>
    <row r="349" spans="1:5" x14ac:dyDescent="0.2">
      <c r="A349" s="1">
        <v>45616</v>
      </c>
      <c r="B349" t="s">
        <v>1</v>
      </c>
      <c r="C349">
        <v>1</v>
      </c>
      <c r="D349" t="str">
        <f>_xlfn.XLOOKUP(RW_DT_PRODUCTION[[#This Row],[MATERIAL_ID]],DIM_MATERIAL[MATERIAL_ID],DIM_MATERIAL[UOM_AFTER_PROCESS])</f>
        <v>BALE</v>
      </c>
      <c r="E349">
        <v>85</v>
      </c>
    </row>
    <row r="350" spans="1:5" x14ac:dyDescent="0.2">
      <c r="A350" s="3">
        <v>45616</v>
      </c>
      <c r="B350" t="s">
        <v>2</v>
      </c>
      <c r="C350">
        <v>1</v>
      </c>
      <c r="D350" t="str">
        <f>_xlfn.XLOOKUP(RW_DT_PRODUCTION[[#This Row],[MATERIAL_ID]],DIM_MATERIAL[MATERIAL_ID],DIM_MATERIAL[UOM_AFTER_PROCESS])</f>
        <v>BAG</v>
      </c>
      <c r="E350">
        <v>22</v>
      </c>
    </row>
    <row r="351" spans="1:5" x14ac:dyDescent="0.2">
      <c r="A351" s="3">
        <v>45616</v>
      </c>
      <c r="B351" t="s">
        <v>2</v>
      </c>
      <c r="C351">
        <v>1</v>
      </c>
      <c r="D351" t="str">
        <f>_xlfn.XLOOKUP(RW_DT_PRODUCTION[[#This Row],[MATERIAL_ID]],DIM_MATERIAL[MATERIAL_ID],DIM_MATERIAL[UOM_AFTER_PROCESS])</f>
        <v>BAG</v>
      </c>
      <c r="E351">
        <v>22</v>
      </c>
    </row>
    <row r="352" spans="1:5" x14ac:dyDescent="0.2">
      <c r="A352" s="1">
        <v>45617</v>
      </c>
      <c r="B352" t="s">
        <v>1</v>
      </c>
      <c r="C352">
        <v>1</v>
      </c>
      <c r="D352" t="str">
        <f>_xlfn.XLOOKUP(RW_DT_PRODUCTION[[#This Row],[MATERIAL_ID]],DIM_MATERIAL[MATERIAL_ID],DIM_MATERIAL[UOM_AFTER_PROCESS])</f>
        <v>BALE</v>
      </c>
      <c r="E352">
        <v>80</v>
      </c>
    </row>
    <row r="353" spans="1:5" x14ac:dyDescent="0.2">
      <c r="A353" s="1">
        <v>45617</v>
      </c>
      <c r="B353" t="s">
        <v>1</v>
      </c>
      <c r="C353">
        <v>1</v>
      </c>
      <c r="D353" t="str">
        <f>_xlfn.XLOOKUP(RW_DT_PRODUCTION[[#This Row],[MATERIAL_ID]],DIM_MATERIAL[MATERIAL_ID],DIM_MATERIAL[UOM_AFTER_PROCESS])</f>
        <v>BALE</v>
      </c>
      <c r="E353">
        <v>79</v>
      </c>
    </row>
    <row r="354" spans="1:5" x14ac:dyDescent="0.2">
      <c r="A354" s="1">
        <v>45617</v>
      </c>
      <c r="B354" t="s">
        <v>1</v>
      </c>
      <c r="C354">
        <v>1</v>
      </c>
      <c r="D354" t="str">
        <f>_xlfn.XLOOKUP(RW_DT_PRODUCTION[[#This Row],[MATERIAL_ID]],DIM_MATERIAL[MATERIAL_ID],DIM_MATERIAL[UOM_AFTER_PROCESS])</f>
        <v>BALE</v>
      </c>
      <c r="E354">
        <v>64</v>
      </c>
    </row>
    <row r="355" spans="1:5" x14ac:dyDescent="0.2">
      <c r="A355" s="1">
        <v>45617</v>
      </c>
      <c r="B355" t="s">
        <v>1</v>
      </c>
      <c r="C355">
        <v>1</v>
      </c>
      <c r="D355" t="str">
        <f>_xlfn.XLOOKUP(RW_DT_PRODUCTION[[#This Row],[MATERIAL_ID]],DIM_MATERIAL[MATERIAL_ID],DIM_MATERIAL[UOM_AFTER_PROCESS])</f>
        <v>BALE</v>
      </c>
      <c r="E355">
        <v>65</v>
      </c>
    </row>
    <row r="356" spans="1:5" x14ac:dyDescent="0.2">
      <c r="A356" s="3">
        <v>45617</v>
      </c>
      <c r="B356" t="s">
        <v>1</v>
      </c>
      <c r="C356">
        <v>1</v>
      </c>
      <c r="D356" t="str">
        <f>_xlfn.XLOOKUP(RW_DT_PRODUCTION[[#This Row],[MATERIAL_ID]],DIM_MATERIAL[MATERIAL_ID],DIM_MATERIAL[UOM_AFTER_PROCESS])</f>
        <v>BALE</v>
      </c>
      <c r="E356">
        <v>67</v>
      </c>
    </row>
    <row r="357" spans="1:5" x14ac:dyDescent="0.2">
      <c r="A357" s="3">
        <v>45617</v>
      </c>
      <c r="B357" t="s">
        <v>1</v>
      </c>
      <c r="C357">
        <v>1</v>
      </c>
      <c r="D357" t="str">
        <f>_xlfn.XLOOKUP(RW_DT_PRODUCTION[[#This Row],[MATERIAL_ID]],DIM_MATERIAL[MATERIAL_ID],DIM_MATERIAL[UOM_AFTER_PROCESS])</f>
        <v>BALE</v>
      </c>
      <c r="E357">
        <v>89</v>
      </c>
    </row>
    <row r="358" spans="1:5" x14ac:dyDescent="0.2">
      <c r="A358" s="3">
        <v>45617</v>
      </c>
      <c r="B358" t="s">
        <v>1</v>
      </c>
      <c r="C358">
        <v>1</v>
      </c>
      <c r="D358" t="str">
        <f>_xlfn.XLOOKUP(RW_DT_PRODUCTION[[#This Row],[MATERIAL_ID]],DIM_MATERIAL[MATERIAL_ID],DIM_MATERIAL[UOM_AFTER_PROCESS])</f>
        <v>BALE</v>
      </c>
      <c r="E358">
        <v>78</v>
      </c>
    </row>
    <row r="359" spans="1:5" x14ac:dyDescent="0.2">
      <c r="A359" s="3">
        <v>45617</v>
      </c>
      <c r="B359" t="s">
        <v>1</v>
      </c>
      <c r="C359">
        <v>1</v>
      </c>
      <c r="D359" t="str">
        <f>_xlfn.XLOOKUP(RW_DT_PRODUCTION[[#This Row],[MATERIAL_ID]],DIM_MATERIAL[MATERIAL_ID],DIM_MATERIAL[UOM_AFTER_PROCESS])</f>
        <v>BALE</v>
      </c>
      <c r="E359">
        <v>60</v>
      </c>
    </row>
    <row r="360" spans="1:5" x14ac:dyDescent="0.2">
      <c r="A360" s="3">
        <v>45617</v>
      </c>
      <c r="B360" t="s">
        <v>1</v>
      </c>
      <c r="C360">
        <v>1</v>
      </c>
      <c r="D360" t="str">
        <f>_xlfn.XLOOKUP(RW_DT_PRODUCTION[[#This Row],[MATERIAL_ID]],DIM_MATERIAL[MATERIAL_ID],DIM_MATERIAL[UOM_AFTER_PROCESS])</f>
        <v>BALE</v>
      </c>
      <c r="E360">
        <v>84</v>
      </c>
    </row>
    <row r="361" spans="1:5" x14ac:dyDescent="0.2">
      <c r="A361" s="3">
        <v>45617</v>
      </c>
      <c r="B361" t="s">
        <v>1</v>
      </c>
      <c r="C361">
        <v>1</v>
      </c>
      <c r="D361" t="str">
        <f>_xlfn.XLOOKUP(RW_DT_PRODUCTION[[#This Row],[MATERIAL_ID]],DIM_MATERIAL[MATERIAL_ID],DIM_MATERIAL[UOM_AFTER_PROCESS])</f>
        <v>BALE</v>
      </c>
      <c r="E361">
        <v>60</v>
      </c>
    </row>
    <row r="362" spans="1:5" x14ac:dyDescent="0.2">
      <c r="A362" s="3">
        <v>45617</v>
      </c>
      <c r="B362" t="s">
        <v>1</v>
      </c>
      <c r="C362">
        <v>1</v>
      </c>
      <c r="D362" t="str">
        <f>_xlfn.XLOOKUP(RW_DT_PRODUCTION[[#This Row],[MATERIAL_ID]],DIM_MATERIAL[MATERIAL_ID],DIM_MATERIAL[UOM_AFTER_PROCESS])</f>
        <v>BALE</v>
      </c>
      <c r="E362">
        <v>84</v>
      </c>
    </row>
    <row r="363" spans="1:5" x14ac:dyDescent="0.2">
      <c r="A363" s="3">
        <v>45617</v>
      </c>
      <c r="B363" t="s">
        <v>1</v>
      </c>
      <c r="C363">
        <v>1</v>
      </c>
      <c r="D363" t="str">
        <f>_xlfn.XLOOKUP(RW_DT_PRODUCTION[[#This Row],[MATERIAL_ID]],DIM_MATERIAL[MATERIAL_ID],DIM_MATERIAL[UOM_AFTER_PROCESS])</f>
        <v>BALE</v>
      </c>
      <c r="E363">
        <v>85</v>
      </c>
    </row>
    <row r="364" spans="1:5" x14ac:dyDescent="0.2">
      <c r="A364" s="3">
        <v>45618</v>
      </c>
      <c r="B364" t="s">
        <v>1</v>
      </c>
      <c r="C364">
        <v>1</v>
      </c>
      <c r="D364" t="str">
        <f>_xlfn.XLOOKUP(RW_DT_PRODUCTION[[#This Row],[MATERIAL_ID]],DIM_MATERIAL[MATERIAL_ID],DIM_MATERIAL[UOM_AFTER_PROCESS])</f>
        <v>BALE</v>
      </c>
      <c r="E364">
        <v>76</v>
      </c>
    </row>
    <row r="365" spans="1:5" x14ac:dyDescent="0.2">
      <c r="A365" s="3">
        <v>45618</v>
      </c>
      <c r="B365" t="s">
        <v>1</v>
      </c>
      <c r="C365">
        <v>1</v>
      </c>
      <c r="D365" t="str">
        <f>_xlfn.XLOOKUP(RW_DT_PRODUCTION[[#This Row],[MATERIAL_ID]],DIM_MATERIAL[MATERIAL_ID],DIM_MATERIAL[UOM_AFTER_PROCESS])</f>
        <v>BALE</v>
      </c>
      <c r="E365">
        <v>78</v>
      </c>
    </row>
    <row r="366" spans="1:5" x14ac:dyDescent="0.2">
      <c r="A366" s="3">
        <v>45618</v>
      </c>
      <c r="B366" t="s">
        <v>1</v>
      </c>
      <c r="C366">
        <v>1</v>
      </c>
      <c r="D366" t="str">
        <f>_xlfn.XLOOKUP(RW_DT_PRODUCTION[[#This Row],[MATERIAL_ID]],DIM_MATERIAL[MATERIAL_ID],DIM_MATERIAL[UOM_AFTER_PROCESS])</f>
        <v>BALE</v>
      </c>
      <c r="E366">
        <v>74</v>
      </c>
    </row>
    <row r="367" spans="1:5" x14ac:dyDescent="0.2">
      <c r="A367" s="3">
        <v>45618</v>
      </c>
      <c r="B367" t="s">
        <v>1</v>
      </c>
      <c r="C367">
        <v>1</v>
      </c>
      <c r="D367" t="str">
        <f>_xlfn.XLOOKUP(RW_DT_PRODUCTION[[#This Row],[MATERIAL_ID]],DIM_MATERIAL[MATERIAL_ID],DIM_MATERIAL[UOM_AFTER_PROCESS])</f>
        <v>BALE</v>
      </c>
      <c r="E367">
        <v>63</v>
      </c>
    </row>
    <row r="368" spans="1:5" x14ac:dyDescent="0.2">
      <c r="A368" s="3">
        <v>45618</v>
      </c>
      <c r="B368" t="s">
        <v>1</v>
      </c>
      <c r="C368">
        <v>1</v>
      </c>
      <c r="D368" t="str">
        <f>_xlfn.XLOOKUP(RW_DT_PRODUCTION[[#This Row],[MATERIAL_ID]],DIM_MATERIAL[MATERIAL_ID],DIM_MATERIAL[UOM_AFTER_PROCESS])</f>
        <v>BALE</v>
      </c>
      <c r="E368">
        <v>73</v>
      </c>
    </row>
    <row r="369" spans="1:5" x14ac:dyDescent="0.2">
      <c r="A369" s="3">
        <v>45619</v>
      </c>
      <c r="B369" t="s">
        <v>1</v>
      </c>
      <c r="C369">
        <v>1</v>
      </c>
      <c r="D369" t="str">
        <f>_xlfn.XLOOKUP(RW_DT_PRODUCTION[[#This Row],[MATERIAL_ID]],DIM_MATERIAL[MATERIAL_ID],DIM_MATERIAL[UOM_AFTER_PROCESS])</f>
        <v>BALE</v>
      </c>
      <c r="E369">
        <v>68</v>
      </c>
    </row>
    <row r="370" spans="1:5" x14ac:dyDescent="0.2">
      <c r="A370" s="3">
        <v>45621</v>
      </c>
      <c r="B370" t="s">
        <v>1</v>
      </c>
      <c r="C370">
        <v>1</v>
      </c>
      <c r="D370" t="str">
        <f>_xlfn.XLOOKUP(RW_DT_PRODUCTION[[#This Row],[MATERIAL_ID]],DIM_MATERIAL[MATERIAL_ID],DIM_MATERIAL[UOM_AFTER_PROCESS])</f>
        <v>BALE</v>
      </c>
      <c r="E370">
        <v>79</v>
      </c>
    </row>
    <row r="371" spans="1:5" x14ac:dyDescent="0.2">
      <c r="A371" s="3">
        <v>45621</v>
      </c>
      <c r="B371" t="s">
        <v>1</v>
      </c>
      <c r="C371">
        <v>1</v>
      </c>
      <c r="D371" t="str">
        <f>_xlfn.XLOOKUP(RW_DT_PRODUCTION[[#This Row],[MATERIAL_ID]],DIM_MATERIAL[MATERIAL_ID],DIM_MATERIAL[UOM_AFTER_PROCESS])</f>
        <v>BALE</v>
      </c>
      <c r="E371">
        <v>79</v>
      </c>
    </row>
    <row r="372" spans="1:5" x14ac:dyDescent="0.2">
      <c r="A372" s="3">
        <v>45621</v>
      </c>
      <c r="B372" t="s">
        <v>1</v>
      </c>
      <c r="C372">
        <v>1</v>
      </c>
      <c r="D372" t="str">
        <f>_xlfn.XLOOKUP(RW_DT_PRODUCTION[[#This Row],[MATERIAL_ID]],DIM_MATERIAL[MATERIAL_ID],DIM_MATERIAL[UOM_AFTER_PROCESS])</f>
        <v>BALE</v>
      </c>
      <c r="E372">
        <v>67</v>
      </c>
    </row>
    <row r="373" spans="1:5" x14ac:dyDescent="0.2">
      <c r="A373" s="3">
        <v>45621</v>
      </c>
      <c r="B373" t="s">
        <v>1</v>
      </c>
      <c r="C373">
        <v>1</v>
      </c>
      <c r="D373" t="str">
        <f>_xlfn.XLOOKUP(RW_DT_PRODUCTION[[#This Row],[MATERIAL_ID]],DIM_MATERIAL[MATERIAL_ID],DIM_MATERIAL[UOM_AFTER_PROCESS])</f>
        <v>BALE</v>
      </c>
      <c r="E373">
        <v>82</v>
      </c>
    </row>
    <row r="374" spans="1:5" x14ac:dyDescent="0.2">
      <c r="A374" s="3">
        <v>45621</v>
      </c>
      <c r="B374" t="s">
        <v>1</v>
      </c>
      <c r="C374">
        <v>1</v>
      </c>
      <c r="D374" t="str">
        <f>_xlfn.XLOOKUP(RW_DT_PRODUCTION[[#This Row],[MATERIAL_ID]],DIM_MATERIAL[MATERIAL_ID],DIM_MATERIAL[UOM_AFTER_PROCESS])</f>
        <v>BALE</v>
      </c>
      <c r="E374">
        <v>61</v>
      </c>
    </row>
    <row r="375" spans="1:5" x14ac:dyDescent="0.2">
      <c r="A375" s="3">
        <v>45621</v>
      </c>
      <c r="B375" t="s">
        <v>2</v>
      </c>
      <c r="C375">
        <v>1</v>
      </c>
      <c r="D375" t="str">
        <f>_xlfn.XLOOKUP(RW_DT_PRODUCTION[[#This Row],[MATERIAL_ID]],DIM_MATERIAL[MATERIAL_ID],DIM_MATERIAL[UOM_AFTER_PROCESS])</f>
        <v>BAG</v>
      </c>
      <c r="E375">
        <v>22</v>
      </c>
    </row>
    <row r="376" spans="1:5" x14ac:dyDescent="0.2">
      <c r="A376" s="3">
        <v>45621</v>
      </c>
      <c r="B376" t="s">
        <v>2</v>
      </c>
      <c r="C376">
        <v>1</v>
      </c>
      <c r="D376" t="str">
        <f>_xlfn.XLOOKUP(RW_DT_PRODUCTION[[#This Row],[MATERIAL_ID]],DIM_MATERIAL[MATERIAL_ID],DIM_MATERIAL[UOM_AFTER_PROCESS])</f>
        <v>BAG</v>
      </c>
      <c r="E376">
        <v>22</v>
      </c>
    </row>
    <row r="377" spans="1:5" x14ac:dyDescent="0.2">
      <c r="A377" s="1">
        <v>45622</v>
      </c>
      <c r="B377" t="s">
        <v>1</v>
      </c>
      <c r="C377">
        <v>1</v>
      </c>
      <c r="D377" t="str">
        <f>_xlfn.XLOOKUP(RW_DT_PRODUCTION[[#This Row],[MATERIAL_ID]],DIM_MATERIAL[MATERIAL_ID],DIM_MATERIAL[UOM_AFTER_PROCESS])</f>
        <v>BALE</v>
      </c>
      <c r="E377">
        <v>67</v>
      </c>
    </row>
    <row r="378" spans="1:5" x14ac:dyDescent="0.2">
      <c r="A378" s="3">
        <v>45622</v>
      </c>
      <c r="B378" t="s">
        <v>1</v>
      </c>
      <c r="C378">
        <v>1</v>
      </c>
      <c r="D378" t="str">
        <f>_xlfn.XLOOKUP(RW_DT_PRODUCTION[[#This Row],[MATERIAL_ID]],DIM_MATERIAL[MATERIAL_ID],DIM_MATERIAL[UOM_AFTER_PROCESS])</f>
        <v>BALE</v>
      </c>
      <c r="E378">
        <v>61</v>
      </c>
    </row>
    <row r="379" spans="1:5" x14ac:dyDescent="0.2">
      <c r="A379" s="3">
        <v>45622</v>
      </c>
      <c r="B379" t="s">
        <v>1</v>
      </c>
      <c r="C379">
        <v>1</v>
      </c>
      <c r="D379" t="str">
        <f>_xlfn.XLOOKUP(RW_DT_PRODUCTION[[#This Row],[MATERIAL_ID]],DIM_MATERIAL[MATERIAL_ID],DIM_MATERIAL[UOM_AFTER_PROCESS])</f>
        <v>BALE</v>
      </c>
      <c r="E379">
        <v>77</v>
      </c>
    </row>
    <row r="380" spans="1:5" x14ac:dyDescent="0.2">
      <c r="A380" s="3">
        <v>45622</v>
      </c>
      <c r="B380" t="s">
        <v>1</v>
      </c>
      <c r="C380">
        <v>1</v>
      </c>
      <c r="D380" t="str">
        <f>_xlfn.XLOOKUP(RW_DT_PRODUCTION[[#This Row],[MATERIAL_ID]],DIM_MATERIAL[MATERIAL_ID],DIM_MATERIAL[UOM_AFTER_PROCESS])</f>
        <v>BALE</v>
      </c>
      <c r="E380">
        <v>62</v>
      </c>
    </row>
    <row r="381" spans="1:5" x14ac:dyDescent="0.2">
      <c r="A381" s="3">
        <v>45622</v>
      </c>
      <c r="B381" t="s">
        <v>1</v>
      </c>
      <c r="C381">
        <v>1</v>
      </c>
      <c r="D381" t="str">
        <f>_xlfn.XLOOKUP(RW_DT_PRODUCTION[[#This Row],[MATERIAL_ID]],DIM_MATERIAL[MATERIAL_ID],DIM_MATERIAL[UOM_AFTER_PROCESS])</f>
        <v>BALE</v>
      </c>
      <c r="E381">
        <v>89</v>
      </c>
    </row>
    <row r="382" spans="1:5" x14ac:dyDescent="0.2">
      <c r="A382" s="3">
        <v>45622</v>
      </c>
      <c r="B382" t="s">
        <v>1</v>
      </c>
      <c r="C382">
        <v>1</v>
      </c>
      <c r="D382" t="str">
        <f>_xlfn.XLOOKUP(RW_DT_PRODUCTION[[#This Row],[MATERIAL_ID]],DIM_MATERIAL[MATERIAL_ID],DIM_MATERIAL[UOM_AFTER_PROCESS])</f>
        <v>BALE</v>
      </c>
      <c r="E382">
        <v>70</v>
      </c>
    </row>
    <row r="383" spans="1:5" x14ac:dyDescent="0.2">
      <c r="A383" s="3">
        <v>45622</v>
      </c>
      <c r="B383" t="s">
        <v>1</v>
      </c>
      <c r="C383">
        <v>1</v>
      </c>
      <c r="D383" t="str">
        <f>_xlfn.XLOOKUP(RW_DT_PRODUCTION[[#This Row],[MATERIAL_ID]],DIM_MATERIAL[MATERIAL_ID],DIM_MATERIAL[UOM_AFTER_PROCESS])</f>
        <v>BALE</v>
      </c>
      <c r="E383">
        <v>80</v>
      </c>
    </row>
    <row r="384" spans="1:5" x14ac:dyDescent="0.2">
      <c r="A384" s="3">
        <v>45622</v>
      </c>
      <c r="B384" t="s">
        <v>1</v>
      </c>
      <c r="C384">
        <v>1</v>
      </c>
      <c r="D384" t="str">
        <f>_xlfn.XLOOKUP(RW_DT_PRODUCTION[[#This Row],[MATERIAL_ID]],DIM_MATERIAL[MATERIAL_ID],DIM_MATERIAL[UOM_AFTER_PROCESS])</f>
        <v>BALE</v>
      </c>
      <c r="E384">
        <v>68</v>
      </c>
    </row>
    <row r="385" spans="1:5" x14ac:dyDescent="0.2">
      <c r="A385" s="3">
        <v>45622</v>
      </c>
      <c r="B385" t="s">
        <v>1</v>
      </c>
      <c r="C385">
        <v>1</v>
      </c>
      <c r="D385" t="str">
        <f>_xlfn.XLOOKUP(RW_DT_PRODUCTION[[#This Row],[MATERIAL_ID]],DIM_MATERIAL[MATERIAL_ID],DIM_MATERIAL[UOM_AFTER_PROCESS])</f>
        <v>BALE</v>
      </c>
      <c r="E385">
        <v>75</v>
      </c>
    </row>
    <row r="386" spans="1:5" x14ac:dyDescent="0.2">
      <c r="A386" s="3">
        <v>45622</v>
      </c>
      <c r="B386" t="s">
        <v>1</v>
      </c>
      <c r="C386">
        <v>1</v>
      </c>
      <c r="D386" t="str">
        <f>_xlfn.XLOOKUP(RW_DT_PRODUCTION[[#This Row],[MATERIAL_ID]],DIM_MATERIAL[MATERIAL_ID],DIM_MATERIAL[UOM_AFTER_PROCESS])</f>
        <v>BALE</v>
      </c>
      <c r="E386">
        <v>79</v>
      </c>
    </row>
    <row r="387" spans="1:5" x14ac:dyDescent="0.2">
      <c r="A387" s="3">
        <v>45622</v>
      </c>
      <c r="B387" t="s">
        <v>1</v>
      </c>
      <c r="C387">
        <v>1</v>
      </c>
      <c r="D387" t="str">
        <f>_xlfn.XLOOKUP(RW_DT_PRODUCTION[[#This Row],[MATERIAL_ID]],DIM_MATERIAL[MATERIAL_ID],DIM_MATERIAL[UOM_AFTER_PROCESS])</f>
        <v>BALE</v>
      </c>
      <c r="E387">
        <v>64</v>
      </c>
    </row>
    <row r="388" spans="1:5" x14ac:dyDescent="0.2">
      <c r="A388" s="3">
        <v>45622</v>
      </c>
      <c r="B388" t="s">
        <v>1</v>
      </c>
      <c r="C388">
        <v>1</v>
      </c>
      <c r="D388" t="str">
        <f>_xlfn.XLOOKUP(RW_DT_PRODUCTION[[#This Row],[MATERIAL_ID]],DIM_MATERIAL[MATERIAL_ID],DIM_MATERIAL[UOM_AFTER_PROCESS])</f>
        <v>BALE</v>
      </c>
      <c r="E388">
        <v>82</v>
      </c>
    </row>
    <row r="389" spans="1:5" x14ac:dyDescent="0.2">
      <c r="A389" s="3">
        <v>45622</v>
      </c>
      <c r="B389" t="s">
        <v>2</v>
      </c>
      <c r="C389">
        <v>1</v>
      </c>
      <c r="D389" t="str">
        <f>_xlfn.XLOOKUP(RW_DT_PRODUCTION[[#This Row],[MATERIAL_ID]],DIM_MATERIAL[MATERIAL_ID],DIM_MATERIAL[UOM_AFTER_PROCESS])</f>
        <v>BAG</v>
      </c>
      <c r="E389">
        <v>22</v>
      </c>
    </row>
    <row r="390" spans="1:5" x14ac:dyDescent="0.2">
      <c r="A390" s="3">
        <v>45622</v>
      </c>
      <c r="B390" t="s">
        <v>2</v>
      </c>
      <c r="C390">
        <v>1</v>
      </c>
      <c r="D390" t="str">
        <f>_xlfn.XLOOKUP(RW_DT_PRODUCTION[[#This Row],[MATERIAL_ID]],DIM_MATERIAL[MATERIAL_ID],DIM_MATERIAL[UOM_AFTER_PROCESS])</f>
        <v>BAG</v>
      </c>
      <c r="E390">
        <v>22</v>
      </c>
    </row>
    <row r="391" spans="1:5" x14ac:dyDescent="0.2">
      <c r="A391" s="1">
        <v>45623</v>
      </c>
      <c r="B391" t="s">
        <v>1</v>
      </c>
      <c r="C391">
        <v>1</v>
      </c>
      <c r="D391" t="str">
        <f>_xlfn.XLOOKUP(RW_DT_PRODUCTION[[#This Row],[MATERIAL_ID]],DIM_MATERIAL[MATERIAL_ID],DIM_MATERIAL[UOM_AFTER_PROCESS])</f>
        <v>BALE</v>
      </c>
      <c r="E391">
        <v>60</v>
      </c>
    </row>
    <row r="392" spans="1:5" x14ac:dyDescent="0.2">
      <c r="A392" s="3">
        <v>45623</v>
      </c>
      <c r="B392" t="s">
        <v>1</v>
      </c>
      <c r="C392">
        <v>1</v>
      </c>
      <c r="D392" t="str">
        <f>_xlfn.XLOOKUP(RW_DT_PRODUCTION[[#This Row],[MATERIAL_ID]],DIM_MATERIAL[MATERIAL_ID],DIM_MATERIAL[UOM_AFTER_PROCESS])</f>
        <v>BALE</v>
      </c>
      <c r="E392">
        <v>89</v>
      </c>
    </row>
    <row r="393" spans="1:5" x14ac:dyDescent="0.2">
      <c r="A393" s="3">
        <v>45623</v>
      </c>
      <c r="B393" t="s">
        <v>1</v>
      </c>
      <c r="C393">
        <v>1</v>
      </c>
      <c r="D393" t="str">
        <f>_xlfn.XLOOKUP(RW_DT_PRODUCTION[[#This Row],[MATERIAL_ID]],DIM_MATERIAL[MATERIAL_ID],DIM_MATERIAL[UOM_AFTER_PROCESS])</f>
        <v>BALE</v>
      </c>
      <c r="E393">
        <v>75</v>
      </c>
    </row>
    <row r="394" spans="1:5" x14ac:dyDescent="0.2">
      <c r="A394" s="3">
        <v>45623</v>
      </c>
      <c r="B394" t="s">
        <v>1</v>
      </c>
      <c r="C394">
        <v>1</v>
      </c>
      <c r="D394" t="str">
        <f>_xlfn.XLOOKUP(RW_DT_PRODUCTION[[#This Row],[MATERIAL_ID]],DIM_MATERIAL[MATERIAL_ID],DIM_MATERIAL[UOM_AFTER_PROCESS])</f>
        <v>BALE</v>
      </c>
      <c r="E394">
        <v>89</v>
      </c>
    </row>
    <row r="395" spans="1:5" x14ac:dyDescent="0.2">
      <c r="A395" s="3">
        <v>45623</v>
      </c>
      <c r="B395" t="s">
        <v>1</v>
      </c>
      <c r="C395">
        <v>1</v>
      </c>
      <c r="D395" t="str">
        <f>_xlfn.XLOOKUP(RW_DT_PRODUCTION[[#This Row],[MATERIAL_ID]],DIM_MATERIAL[MATERIAL_ID],DIM_MATERIAL[UOM_AFTER_PROCESS])</f>
        <v>BALE</v>
      </c>
      <c r="E395">
        <v>74</v>
      </c>
    </row>
    <row r="396" spans="1:5" x14ac:dyDescent="0.2">
      <c r="A396" s="3">
        <v>45623</v>
      </c>
      <c r="B396" t="s">
        <v>1</v>
      </c>
      <c r="C396">
        <v>1</v>
      </c>
      <c r="D396" t="str">
        <f>_xlfn.XLOOKUP(RW_DT_PRODUCTION[[#This Row],[MATERIAL_ID]],DIM_MATERIAL[MATERIAL_ID],DIM_MATERIAL[UOM_AFTER_PROCESS])</f>
        <v>BALE</v>
      </c>
      <c r="E396">
        <v>89</v>
      </c>
    </row>
    <row r="397" spans="1:5" x14ac:dyDescent="0.2">
      <c r="A397" s="3">
        <v>45623</v>
      </c>
      <c r="B397" t="s">
        <v>1</v>
      </c>
      <c r="C397">
        <v>1</v>
      </c>
      <c r="D397" t="str">
        <f>_xlfn.XLOOKUP(RW_DT_PRODUCTION[[#This Row],[MATERIAL_ID]],DIM_MATERIAL[MATERIAL_ID],DIM_MATERIAL[UOM_AFTER_PROCESS])</f>
        <v>BALE</v>
      </c>
      <c r="E397">
        <v>63</v>
      </c>
    </row>
    <row r="398" spans="1:5" x14ac:dyDescent="0.2">
      <c r="A398" s="3">
        <v>45623</v>
      </c>
      <c r="B398" t="s">
        <v>1</v>
      </c>
      <c r="C398">
        <v>1</v>
      </c>
      <c r="D398" t="str">
        <f>_xlfn.XLOOKUP(RW_DT_PRODUCTION[[#This Row],[MATERIAL_ID]],DIM_MATERIAL[MATERIAL_ID],DIM_MATERIAL[UOM_AFTER_PROCESS])</f>
        <v>BALE</v>
      </c>
      <c r="E398">
        <v>81</v>
      </c>
    </row>
    <row r="399" spans="1:5" x14ac:dyDescent="0.2">
      <c r="A399" s="3">
        <v>45623</v>
      </c>
      <c r="B399" t="s">
        <v>1</v>
      </c>
      <c r="C399">
        <v>1</v>
      </c>
      <c r="D399" t="str">
        <f>_xlfn.XLOOKUP(RW_DT_PRODUCTION[[#This Row],[MATERIAL_ID]],DIM_MATERIAL[MATERIAL_ID],DIM_MATERIAL[UOM_AFTER_PROCESS])</f>
        <v>BALE</v>
      </c>
      <c r="E399">
        <v>63</v>
      </c>
    </row>
    <row r="400" spans="1:5" x14ac:dyDescent="0.2">
      <c r="A400" s="3">
        <v>45623</v>
      </c>
      <c r="B400" t="s">
        <v>1</v>
      </c>
      <c r="C400">
        <v>1</v>
      </c>
      <c r="D400" t="str">
        <f>_xlfn.XLOOKUP(RW_DT_PRODUCTION[[#This Row],[MATERIAL_ID]],DIM_MATERIAL[MATERIAL_ID],DIM_MATERIAL[UOM_AFTER_PROCESS])</f>
        <v>BALE</v>
      </c>
      <c r="E400">
        <v>89</v>
      </c>
    </row>
    <row r="401" spans="1:5" x14ac:dyDescent="0.2">
      <c r="A401" s="3">
        <v>45623</v>
      </c>
      <c r="B401" t="s">
        <v>1</v>
      </c>
      <c r="C401">
        <v>1</v>
      </c>
      <c r="D401" t="str">
        <f>_xlfn.XLOOKUP(RW_DT_PRODUCTION[[#This Row],[MATERIAL_ID]],DIM_MATERIAL[MATERIAL_ID],DIM_MATERIAL[UOM_AFTER_PROCESS])</f>
        <v>BALE</v>
      </c>
      <c r="E401">
        <v>76</v>
      </c>
    </row>
    <row r="402" spans="1:5" x14ac:dyDescent="0.2">
      <c r="A402" s="3">
        <v>45623</v>
      </c>
      <c r="B402" t="s">
        <v>1</v>
      </c>
      <c r="C402">
        <v>1</v>
      </c>
      <c r="D402" t="str">
        <f>_xlfn.XLOOKUP(RW_DT_PRODUCTION[[#This Row],[MATERIAL_ID]],DIM_MATERIAL[MATERIAL_ID],DIM_MATERIAL[UOM_AFTER_PROCESS])</f>
        <v>BALE</v>
      </c>
      <c r="E402">
        <v>65</v>
      </c>
    </row>
    <row r="403" spans="1:5" x14ac:dyDescent="0.2">
      <c r="A403" s="3">
        <v>45623</v>
      </c>
      <c r="B403" t="s">
        <v>1</v>
      </c>
      <c r="C403">
        <v>1</v>
      </c>
      <c r="D403" t="str">
        <f>_xlfn.XLOOKUP(RW_DT_PRODUCTION[[#This Row],[MATERIAL_ID]],DIM_MATERIAL[MATERIAL_ID],DIM_MATERIAL[UOM_AFTER_PROCESS])</f>
        <v>BALE</v>
      </c>
      <c r="E403">
        <v>85</v>
      </c>
    </row>
    <row r="404" spans="1:5" x14ac:dyDescent="0.2">
      <c r="A404" s="3">
        <v>45623</v>
      </c>
      <c r="B404" t="s">
        <v>1</v>
      </c>
      <c r="C404">
        <v>1</v>
      </c>
      <c r="D404" t="str">
        <f>_xlfn.XLOOKUP(RW_DT_PRODUCTION[[#This Row],[MATERIAL_ID]],DIM_MATERIAL[MATERIAL_ID],DIM_MATERIAL[UOM_AFTER_PROCESS])</f>
        <v>BALE</v>
      </c>
      <c r="E404">
        <v>69</v>
      </c>
    </row>
    <row r="405" spans="1:5" x14ac:dyDescent="0.2">
      <c r="A405" s="3">
        <v>45623</v>
      </c>
      <c r="B405" t="s">
        <v>1</v>
      </c>
      <c r="C405">
        <v>1</v>
      </c>
      <c r="D405" t="str">
        <f>_xlfn.XLOOKUP(RW_DT_PRODUCTION[[#This Row],[MATERIAL_ID]],DIM_MATERIAL[MATERIAL_ID],DIM_MATERIAL[UOM_AFTER_PROCESS])</f>
        <v>BALE</v>
      </c>
      <c r="E405">
        <v>84</v>
      </c>
    </row>
    <row r="406" spans="1:5" x14ac:dyDescent="0.2">
      <c r="A406" s="3">
        <v>45624</v>
      </c>
      <c r="B406" t="s">
        <v>1</v>
      </c>
      <c r="C406">
        <v>1</v>
      </c>
      <c r="D406" t="str">
        <f>_xlfn.XLOOKUP(RW_DT_PRODUCTION[[#This Row],[MATERIAL_ID]],DIM_MATERIAL[MATERIAL_ID],DIM_MATERIAL[UOM_AFTER_PROCESS])</f>
        <v>BALE</v>
      </c>
      <c r="E406">
        <v>80</v>
      </c>
    </row>
    <row r="407" spans="1:5" x14ac:dyDescent="0.2">
      <c r="A407" s="3">
        <v>45624</v>
      </c>
      <c r="B407" t="s">
        <v>1</v>
      </c>
      <c r="C407">
        <v>1</v>
      </c>
      <c r="D407" t="str">
        <f>_xlfn.XLOOKUP(RW_DT_PRODUCTION[[#This Row],[MATERIAL_ID]],DIM_MATERIAL[MATERIAL_ID],DIM_MATERIAL[UOM_AFTER_PROCESS])</f>
        <v>BALE</v>
      </c>
      <c r="E407">
        <v>87</v>
      </c>
    </row>
    <row r="408" spans="1:5" x14ac:dyDescent="0.2">
      <c r="A408" s="3">
        <v>45624</v>
      </c>
      <c r="B408" t="s">
        <v>1</v>
      </c>
      <c r="C408">
        <v>1</v>
      </c>
      <c r="D408" t="str">
        <f>_xlfn.XLOOKUP(RW_DT_PRODUCTION[[#This Row],[MATERIAL_ID]],DIM_MATERIAL[MATERIAL_ID],DIM_MATERIAL[UOM_AFTER_PROCESS])</f>
        <v>BALE</v>
      </c>
      <c r="E408">
        <v>64</v>
      </c>
    </row>
    <row r="409" spans="1:5" x14ac:dyDescent="0.2">
      <c r="A409" s="3">
        <v>45625</v>
      </c>
      <c r="B409" t="s">
        <v>1</v>
      </c>
      <c r="C409">
        <v>1</v>
      </c>
      <c r="D409" t="str">
        <f>_xlfn.XLOOKUP(RW_DT_PRODUCTION[[#This Row],[MATERIAL_ID]],DIM_MATERIAL[MATERIAL_ID],DIM_MATERIAL[UOM_AFTER_PROCESS])</f>
        <v>BALE</v>
      </c>
      <c r="E409">
        <v>81</v>
      </c>
    </row>
    <row r="410" spans="1:5" x14ac:dyDescent="0.2">
      <c r="A410" s="3">
        <v>45625</v>
      </c>
      <c r="B410" t="s">
        <v>1</v>
      </c>
      <c r="C410">
        <v>1</v>
      </c>
      <c r="D410" t="str">
        <f>_xlfn.XLOOKUP(RW_DT_PRODUCTION[[#This Row],[MATERIAL_ID]],DIM_MATERIAL[MATERIAL_ID],DIM_MATERIAL[UOM_AFTER_PROCESS])</f>
        <v>BALE</v>
      </c>
      <c r="E410">
        <v>64</v>
      </c>
    </row>
    <row r="411" spans="1:5" x14ac:dyDescent="0.2">
      <c r="A411" s="3">
        <v>45625</v>
      </c>
      <c r="B411" t="s">
        <v>1</v>
      </c>
      <c r="C411">
        <v>1</v>
      </c>
      <c r="D411" t="str">
        <f>_xlfn.XLOOKUP(RW_DT_PRODUCTION[[#This Row],[MATERIAL_ID]],DIM_MATERIAL[MATERIAL_ID],DIM_MATERIAL[UOM_AFTER_PROCESS])</f>
        <v>BALE</v>
      </c>
      <c r="E411">
        <v>71</v>
      </c>
    </row>
    <row r="412" spans="1:5" x14ac:dyDescent="0.2">
      <c r="A412" s="3">
        <v>45625</v>
      </c>
      <c r="B412" t="s">
        <v>1</v>
      </c>
      <c r="C412">
        <v>1</v>
      </c>
      <c r="D412" t="str">
        <f>_xlfn.XLOOKUP(RW_DT_PRODUCTION[[#This Row],[MATERIAL_ID]],DIM_MATERIAL[MATERIAL_ID],DIM_MATERIAL[UOM_AFTER_PROCESS])</f>
        <v>BALE</v>
      </c>
      <c r="E412">
        <v>64</v>
      </c>
    </row>
    <row r="413" spans="1:5" x14ac:dyDescent="0.2">
      <c r="A413" s="3">
        <v>45625</v>
      </c>
      <c r="B413" t="s">
        <v>1</v>
      </c>
      <c r="C413">
        <v>1</v>
      </c>
      <c r="D413" t="str">
        <f>_xlfn.XLOOKUP(RW_DT_PRODUCTION[[#This Row],[MATERIAL_ID]],DIM_MATERIAL[MATERIAL_ID],DIM_MATERIAL[UOM_AFTER_PROCESS])</f>
        <v>BALE</v>
      </c>
      <c r="E413">
        <v>65</v>
      </c>
    </row>
    <row r="414" spans="1:5" x14ac:dyDescent="0.2">
      <c r="A414" s="3">
        <v>45625</v>
      </c>
      <c r="B414" t="s">
        <v>1</v>
      </c>
      <c r="C414">
        <v>1</v>
      </c>
      <c r="D414" t="str">
        <f>_xlfn.XLOOKUP(RW_DT_PRODUCTION[[#This Row],[MATERIAL_ID]],DIM_MATERIAL[MATERIAL_ID],DIM_MATERIAL[UOM_AFTER_PROCESS])</f>
        <v>BALE</v>
      </c>
      <c r="E414">
        <v>64</v>
      </c>
    </row>
    <row r="415" spans="1:5" x14ac:dyDescent="0.2">
      <c r="A415" s="3">
        <v>45625</v>
      </c>
      <c r="B415" t="s">
        <v>1</v>
      </c>
      <c r="C415">
        <v>1</v>
      </c>
      <c r="D415" t="str">
        <f>_xlfn.XLOOKUP(RW_DT_PRODUCTION[[#This Row],[MATERIAL_ID]],DIM_MATERIAL[MATERIAL_ID],DIM_MATERIAL[UOM_AFTER_PROCESS])</f>
        <v>BALE</v>
      </c>
      <c r="E415">
        <v>70</v>
      </c>
    </row>
    <row r="416" spans="1:5" x14ac:dyDescent="0.2">
      <c r="A416" s="3">
        <v>45625</v>
      </c>
      <c r="B416" t="s">
        <v>2</v>
      </c>
      <c r="C416">
        <v>1</v>
      </c>
      <c r="D416" t="str">
        <f>_xlfn.XLOOKUP(RW_DT_PRODUCTION[[#This Row],[MATERIAL_ID]],DIM_MATERIAL[MATERIAL_ID],DIM_MATERIAL[UOM_AFTER_PROCESS])</f>
        <v>BAG</v>
      </c>
      <c r="E416">
        <v>22</v>
      </c>
    </row>
    <row r="417" spans="1:5" x14ac:dyDescent="0.2">
      <c r="A417" s="3">
        <v>45625</v>
      </c>
      <c r="B417" t="s">
        <v>2</v>
      </c>
      <c r="C417">
        <v>1</v>
      </c>
      <c r="D417" t="str">
        <f>_xlfn.XLOOKUP(RW_DT_PRODUCTION[[#This Row],[MATERIAL_ID]],DIM_MATERIAL[MATERIAL_ID],DIM_MATERIAL[UOM_AFTER_PROCESS])</f>
        <v>BAG</v>
      </c>
      <c r="E417">
        <v>22</v>
      </c>
    </row>
    <row r="418" spans="1:5" x14ac:dyDescent="0.2">
      <c r="A418" s="3">
        <v>45626</v>
      </c>
      <c r="B418" t="s">
        <v>1</v>
      </c>
      <c r="C418">
        <v>1</v>
      </c>
      <c r="D418" t="str">
        <f>_xlfn.XLOOKUP(RW_DT_PRODUCTION[[#This Row],[MATERIAL_ID]],DIM_MATERIAL[MATERIAL_ID],DIM_MATERIAL[UOM_AFTER_PROCESS])</f>
        <v>BALE</v>
      </c>
      <c r="E418">
        <v>83</v>
      </c>
    </row>
    <row r="419" spans="1:5" x14ac:dyDescent="0.2">
      <c r="A419" s="3">
        <v>45626</v>
      </c>
      <c r="B419" t="s">
        <v>1</v>
      </c>
      <c r="C419">
        <v>1</v>
      </c>
      <c r="D419" t="str">
        <f>_xlfn.XLOOKUP(RW_DT_PRODUCTION[[#This Row],[MATERIAL_ID]],DIM_MATERIAL[MATERIAL_ID],DIM_MATERIAL[UOM_AFTER_PROCESS])</f>
        <v>BALE</v>
      </c>
      <c r="E419">
        <v>80</v>
      </c>
    </row>
    <row r="420" spans="1:5" x14ac:dyDescent="0.2">
      <c r="A420" s="3">
        <v>45626</v>
      </c>
      <c r="B420" t="s">
        <v>1</v>
      </c>
      <c r="C420">
        <v>1</v>
      </c>
      <c r="D420" t="str">
        <f>_xlfn.XLOOKUP(RW_DT_PRODUCTION[[#This Row],[MATERIAL_ID]],DIM_MATERIAL[MATERIAL_ID],DIM_MATERIAL[UOM_AFTER_PROCESS])</f>
        <v>BALE</v>
      </c>
      <c r="E420">
        <v>61</v>
      </c>
    </row>
    <row r="421" spans="1:5" x14ac:dyDescent="0.2">
      <c r="A421" s="3">
        <v>45626</v>
      </c>
      <c r="B421" t="s">
        <v>1</v>
      </c>
      <c r="C421">
        <v>1</v>
      </c>
      <c r="D421" t="str">
        <f>_xlfn.XLOOKUP(RW_DT_PRODUCTION[[#This Row],[MATERIAL_ID]],DIM_MATERIAL[MATERIAL_ID],DIM_MATERIAL[UOM_AFTER_PROCESS])</f>
        <v>BALE</v>
      </c>
      <c r="E421">
        <v>84</v>
      </c>
    </row>
    <row r="422" spans="1:5" x14ac:dyDescent="0.2">
      <c r="A422" s="3">
        <v>45626</v>
      </c>
      <c r="B422" t="s">
        <v>1</v>
      </c>
      <c r="C422">
        <v>1</v>
      </c>
      <c r="D422" t="str">
        <f>_xlfn.XLOOKUP(RW_DT_PRODUCTION[[#This Row],[MATERIAL_ID]],DIM_MATERIAL[MATERIAL_ID],DIM_MATERIAL[UOM_AFTER_PROCESS])</f>
        <v>BALE</v>
      </c>
      <c r="E422">
        <v>68</v>
      </c>
    </row>
    <row r="423" spans="1:5" x14ac:dyDescent="0.2">
      <c r="A423" s="3">
        <v>45626</v>
      </c>
      <c r="B423" t="s">
        <v>1</v>
      </c>
      <c r="C423">
        <v>1</v>
      </c>
      <c r="D423" t="str">
        <f>_xlfn.XLOOKUP(RW_DT_PRODUCTION[[#This Row],[MATERIAL_ID]],DIM_MATERIAL[MATERIAL_ID],DIM_MATERIAL[UOM_AFTER_PROCESS])</f>
        <v>BALE</v>
      </c>
      <c r="E423">
        <v>80</v>
      </c>
    </row>
    <row r="424" spans="1:5" x14ac:dyDescent="0.2">
      <c r="A424" s="3">
        <v>45628</v>
      </c>
      <c r="B424" t="s">
        <v>1</v>
      </c>
      <c r="C424">
        <v>1</v>
      </c>
      <c r="D424" t="str">
        <f>_xlfn.XLOOKUP(RW_DT_PRODUCTION[[#This Row],[MATERIAL_ID]],DIM_MATERIAL[MATERIAL_ID],DIM_MATERIAL[UOM_AFTER_PROCESS])</f>
        <v>BALE</v>
      </c>
      <c r="E424">
        <v>67</v>
      </c>
    </row>
    <row r="425" spans="1:5" x14ac:dyDescent="0.2">
      <c r="A425" s="3">
        <v>45628</v>
      </c>
      <c r="B425" t="s">
        <v>1</v>
      </c>
      <c r="C425">
        <v>1</v>
      </c>
      <c r="D425" t="str">
        <f>_xlfn.XLOOKUP(RW_DT_PRODUCTION[[#This Row],[MATERIAL_ID]],DIM_MATERIAL[MATERIAL_ID],DIM_MATERIAL[UOM_AFTER_PROCESS])</f>
        <v>BALE</v>
      </c>
      <c r="E425">
        <v>82</v>
      </c>
    </row>
    <row r="426" spans="1:5" x14ac:dyDescent="0.2">
      <c r="A426" s="3">
        <v>45628</v>
      </c>
      <c r="B426" t="s">
        <v>1</v>
      </c>
      <c r="C426">
        <v>1</v>
      </c>
      <c r="D426" t="str">
        <f>_xlfn.XLOOKUP(RW_DT_PRODUCTION[[#This Row],[MATERIAL_ID]],DIM_MATERIAL[MATERIAL_ID],DIM_MATERIAL[UOM_AFTER_PROCESS])</f>
        <v>BALE</v>
      </c>
      <c r="E426">
        <v>80</v>
      </c>
    </row>
    <row r="427" spans="1:5" x14ac:dyDescent="0.2">
      <c r="A427" s="3">
        <v>45628</v>
      </c>
      <c r="B427" t="s">
        <v>1</v>
      </c>
      <c r="C427">
        <v>1</v>
      </c>
      <c r="D427" t="str">
        <f>_xlfn.XLOOKUP(RW_DT_PRODUCTION[[#This Row],[MATERIAL_ID]],DIM_MATERIAL[MATERIAL_ID],DIM_MATERIAL[UOM_AFTER_PROCESS])</f>
        <v>BALE</v>
      </c>
      <c r="E427">
        <v>68</v>
      </c>
    </row>
    <row r="428" spans="1:5" x14ac:dyDescent="0.2">
      <c r="A428" s="3">
        <v>45628</v>
      </c>
      <c r="B428" t="s">
        <v>1</v>
      </c>
      <c r="C428">
        <v>1</v>
      </c>
      <c r="D428" t="str">
        <f>_xlfn.XLOOKUP(RW_DT_PRODUCTION[[#This Row],[MATERIAL_ID]],DIM_MATERIAL[MATERIAL_ID],DIM_MATERIAL[UOM_AFTER_PROCESS])</f>
        <v>BALE</v>
      </c>
      <c r="E428">
        <v>74</v>
      </c>
    </row>
    <row r="429" spans="1:5" x14ac:dyDescent="0.2">
      <c r="A429" s="3">
        <v>45628</v>
      </c>
      <c r="B429" t="s">
        <v>1</v>
      </c>
      <c r="C429">
        <v>1</v>
      </c>
      <c r="D429" t="str">
        <f>_xlfn.XLOOKUP(RW_DT_PRODUCTION[[#This Row],[MATERIAL_ID]],DIM_MATERIAL[MATERIAL_ID],DIM_MATERIAL[UOM_AFTER_PROCESS])</f>
        <v>BALE</v>
      </c>
      <c r="E429">
        <v>70</v>
      </c>
    </row>
    <row r="430" spans="1:5" x14ac:dyDescent="0.2">
      <c r="A430" s="3">
        <v>45628</v>
      </c>
      <c r="B430" t="s">
        <v>1</v>
      </c>
      <c r="C430">
        <v>1</v>
      </c>
      <c r="D430" t="str">
        <f>_xlfn.XLOOKUP(RW_DT_PRODUCTION[[#This Row],[MATERIAL_ID]],DIM_MATERIAL[MATERIAL_ID],DIM_MATERIAL[UOM_AFTER_PROCESS])</f>
        <v>BALE</v>
      </c>
      <c r="E430">
        <v>64</v>
      </c>
    </row>
    <row r="431" spans="1:5" x14ac:dyDescent="0.2">
      <c r="A431" s="3">
        <v>45628</v>
      </c>
      <c r="B431" t="s">
        <v>1</v>
      </c>
      <c r="C431">
        <v>1</v>
      </c>
      <c r="D431" t="str">
        <f>_xlfn.XLOOKUP(RW_DT_PRODUCTION[[#This Row],[MATERIAL_ID]],DIM_MATERIAL[MATERIAL_ID],DIM_MATERIAL[UOM_AFTER_PROCESS])</f>
        <v>BALE</v>
      </c>
      <c r="E431">
        <v>83</v>
      </c>
    </row>
    <row r="432" spans="1:5" x14ac:dyDescent="0.2">
      <c r="A432" s="3">
        <v>45628</v>
      </c>
      <c r="B432" t="s">
        <v>1</v>
      </c>
      <c r="C432">
        <v>1</v>
      </c>
      <c r="D432" t="str">
        <f>_xlfn.XLOOKUP(RW_DT_PRODUCTION[[#This Row],[MATERIAL_ID]],DIM_MATERIAL[MATERIAL_ID],DIM_MATERIAL[UOM_AFTER_PROCESS])</f>
        <v>BALE</v>
      </c>
      <c r="E432">
        <v>79</v>
      </c>
    </row>
    <row r="433" spans="1:5" x14ac:dyDescent="0.2">
      <c r="A433" s="3">
        <v>45628</v>
      </c>
      <c r="B433" t="s">
        <v>1</v>
      </c>
      <c r="C433">
        <v>1</v>
      </c>
      <c r="D433" t="str">
        <f>_xlfn.XLOOKUP(RW_DT_PRODUCTION[[#This Row],[MATERIAL_ID]],DIM_MATERIAL[MATERIAL_ID],DIM_MATERIAL[UOM_AFTER_PROCESS])</f>
        <v>BALE</v>
      </c>
      <c r="E433">
        <v>78</v>
      </c>
    </row>
    <row r="434" spans="1:5" x14ac:dyDescent="0.2">
      <c r="A434" s="3">
        <v>45628</v>
      </c>
      <c r="B434" t="s">
        <v>1</v>
      </c>
      <c r="C434">
        <v>1</v>
      </c>
      <c r="D434" t="str">
        <f>_xlfn.XLOOKUP(RW_DT_PRODUCTION[[#This Row],[MATERIAL_ID]],DIM_MATERIAL[MATERIAL_ID],DIM_MATERIAL[UOM_AFTER_PROCESS])</f>
        <v>BALE</v>
      </c>
      <c r="E434">
        <v>74</v>
      </c>
    </row>
    <row r="435" spans="1:5" x14ac:dyDescent="0.2">
      <c r="A435" s="3">
        <v>45628</v>
      </c>
      <c r="B435" t="s">
        <v>1</v>
      </c>
      <c r="C435">
        <v>1</v>
      </c>
      <c r="D435" t="str">
        <f>_xlfn.XLOOKUP(RW_DT_PRODUCTION[[#This Row],[MATERIAL_ID]],DIM_MATERIAL[MATERIAL_ID],DIM_MATERIAL[UOM_AFTER_PROCESS])</f>
        <v>BALE</v>
      </c>
      <c r="E435">
        <v>80</v>
      </c>
    </row>
    <row r="436" spans="1:5" x14ac:dyDescent="0.2">
      <c r="A436" s="3">
        <v>45628</v>
      </c>
      <c r="B436" t="s">
        <v>1</v>
      </c>
      <c r="C436">
        <v>1</v>
      </c>
      <c r="D436" t="str">
        <f>_xlfn.XLOOKUP(RW_DT_PRODUCTION[[#This Row],[MATERIAL_ID]],DIM_MATERIAL[MATERIAL_ID],DIM_MATERIAL[UOM_AFTER_PROCESS])</f>
        <v>BALE</v>
      </c>
      <c r="E436">
        <v>82</v>
      </c>
    </row>
    <row r="437" spans="1:5" x14ac:dyDescent="0.2">
      <c r="A437" s="3">
        <v>45628</v>
      </c>
      <c r="B437" t="s">
        <v>1</v>
      </c>
      <c r="C437">
        <v>1</v>
      </c>
      <c r="D437" t="str">
        <f>_xlfn.XLOOKUP(RW_DT_PRODUCTION[[#This Row],[MATERIAL_ID]],DIM_MATERIAL[MATERIAL_ID],DIM_MATERIAL[UOM_AFTER_PROCESS])</f>
        <v>BALE</v>
      </c>
      <c r="E437">
        <v>72</v>
      </c>
    </row>
    <row r="438" spans="1:5" x14ac:dyDescent="0.2">
      <c r="A438" s="3">
        <v>45628</v>
      </c>
      <c r="B438" t="s">
        <v>1</v>
      </c>
      <c r="C438">
        <v>1</v>
      </c>
      <c r="D438" t="str">
        <f>_xlfn.XLOOKUP(RW_DT_PRODUCTION[[#This Row],[MATERIAL_ID]],DIM_MATERIAL[MATERIAL_ID],DIM_MATERIAL[UOM_AFTER_PROCESS])</f>
        <v>BALE</v>
      </c>
      <c r="E438">
        <v>73</v>
      </c>
    </row>
    <row r="439" spans="1:5" x14ac:dyDescent="0.2">
      <c r="A439" s="3">
        <v>45628</v>
      </c>
      <c r="B439" t="s">
        <v>1</v>
      </c>
      <c r="C439">
        <v>1</v>
      </c>
      <c r="D439" t="str">
        <f>_xlfn.XLOOKUP(RW_DT_PRODUCTION[[#This Row],[MATERIAL_ID]],DIM_MATERIAL[MATERIAL_ID],DIM_MATERIAL[UOM_AFTER_PROCESS])</f>
        <v>BALE</v>
      </c>
      <c r="E439">
        <v>65</v>
      </c>
    </row>
    <row r="440" spans="1:5" x14ac:dyDescent="0.2">
      <c r="A440" s="3">
        <v>45628</v>
      </c>
      <c r="B440" t="s">
        <v>1</v>
      </c>
      <c r="C440">
        <v>1</v>
      </c>
      <c r="D440" t="str">
        <f>_xlfn.XLOOKUP(RW_DT_PRODUCTION[[#This Row],[MATERIAL_ID]],DIM_MATERIAL[MATERIAL_ID],DIM_MATERIAL[UOM_AFTER_PROCESS])</f>
        <v>BALE</v>
      </c>
      <c r="E440">
        <v>87</v>
      </c>
    </row>
    <row r="441" spans="1:5" x14ac:dyDescent="0.2">
      <c r="A441" s="3">
        <v>45628</v>
      </c>
      <c r="B441" t="s">
        <v>1</v>
      </c>
      <c r="C441">
        <v>1</v>
      </c>
      <c r="D441" t="str">
        <f>_xlfn.XLOOKUP(RW_DT_PRODUCTION[[#This Row],[MATERIAL_ID]],DIM_MATERIAL[MATERIAL_ID],DIM_MATERIAL[UOM_AFTER_PROCESS])</f>
        <v>BALE</v>
      </c>
      <c r="E441">
        <v>65</v>
      </c>
    </row>
    <row r="442" spans="1:5" x14ac:dyDescent="0.2">
      <c r="A442" s="3">
        <v>45628</v>
      </c>
      <c r="B442" t="s">
        <v>1</v>
      </c>
      <c r="C442">
        <v>1</v>
      </c>
      <c r="D442" t="str">
        <f>_xlfn.XLOOKUP(RW_DT_PRODUCTION[[#This Row],[MATERIAL_ID]],DIM_MATERIAL[MATERIAL_ID],DIM_MATERIAL[UOM_AFTER_PROCESS])</f>
        <v>BALE</v>
      </c>
      <c r="E442">
        <v>79</v>
      </c>
    </row>
    <row r="443" spans="1:5" x14ac:dyDescent="0.2">
      <c r="A443" s="3">
        <v>45629</v>
      </c>
      <c r="B443" t="s">
        <v>1</v>
      </c>
      <c r="C443">
        <v>1</v>
      </c>
      <c r="D443" t="str">
        <f>_xlfn.XLOOKUP(RW_DT_PRODUCTION[[#This Row],[MATERIAL_ID]],DIM_MATERIAL[MATERIAL_ID],DIM_MATERIAL[UOM_AFTER_PROCESS])</f>
        <v>BALE</v>
      </c>
      <c r="E443">
        <v>84</v>
      </c>
    </row>
    <row r="444" spans="1:5" x14ac:dyDescent="0.2">
      <c r="A444" s="3">
        <v>45629</v>
      </c>
      <c r="B444" t="s">
        <v>1</v>
      </c>
      <c r="C444">
        <v>1</v>
      </c>
      <c r="D444" t="str">
        <f>_xlfn.XLOOKUP(RW_DT_PRODUCTION[[#This Row],[MATERIAL_ID]],DIM_MATERIAL[MATERIAL_ID],DIM_MATERIAL[UOM_AFTER_PROCESS])</f>
        <v>BALE</v>
      </c>
      <c r="E444">
        <v>84</v>
      </c>
    </row>
    <row r="445" spans="1:5" x14ac:dyDescent="0.2">
      <c r="A445" s="3">
        <v>45629</v>
      </c>
      <c r="B445" t="s">
        <v>1</v>
      </c>
      <c r="C445">
        <v>1</v>
      </c>
      <c r="D445" t="str">
        <f>_xlfn.XLOOKUP(RW_DT_PRODUCTION[[#This Row],[MATERIAL_ID]],DIM_MATERIAL[MATERIAL_ID],DIM_MATERIAL[UOM_AFTER_PROCESS])</f>
        <v>BALE</v>
      </c>
      <c r="E445">
        <v>60</v>
      </c>
    </row>
    <row r="446" spans="1:5" x14ac:dyDescent="0.2">
      <c r="A446" s="3">
        <v>45629</v>
      </c>
      <c r="B446" t="s">
        <v>1</v>
      </c>
      <c r="C446">
        <v>1</v>
      </c>
      <c r="D446" t="str">
        <f>_xlfn.XLOOKUP(RW_DT_PRODUCTION[[#This Row],[MATERIAL_ID]],DIM_MATERIAL[MATERIAL_ID],DIM_MATERIAL[UOM_AFTER_PROCESS])</f>
        <v>BALE</v>
      </c>
      <c r="E446">
        <v>75</v>
      </c>
    </row>
    <row r="447" spans="1:5" x14ac:dyDescent="0.2">
      <c r="A447" s="3">
        <v>45629</v>
      </c>
      <c r="B447" t="s">
        <v>1</v>
      </c>
      <c r="C447">
        <v>1</v>
      </c>
      <c r="D447" t="str">
        <f>_xlfn.XLOOKUP(RW_DT_PRODUCTION[[#This Row],[MATERIAL_ID]],DIM_MATERIAL[MATERIAL_ID],DIM_MATERIAL[UOM_AFTER_PROCESS])</f>
        <v>BALE</v>
      </c>
      <c r="E447">
        <v>79</v>
      </c>
    </row>
    <row r="448" spans="1:5" x14ac:dyDescent="0.2">
      <c r="A448" s="3">
        <v>45629</v>
      </c>
      <c r="B448" t="s">
        <v>1</v>
      </c>
      <c r="C448">
        <v>1</v>
      </c>
      <c r="D448" t="str">
        <f>_xlfn.XLOOKUP(RW_DT_PRODUCTION[[#This Row],[MATERIAL_ID]],DIM_MATERIAL[MATERIAL_ID],DIM_MATERIAL[UOM_AFTER_PROCESS])</f>
        <v>BALE</v>
      </c>
      <c r="E448">
        <v>69</v>
      </c>
    </row>
    <row r="449" spans="1:5" x14ac:dyDescent="0.2">
      <c r="A449" s="3">
        <v>45629</v>
      </c>
      <c r="B449" t="s">
        <v>1</v>
      </c>
      <c r="C449">
        <v>1</v>
      </c>
      <c r="D449" t="str">
        <f>_xlfn.XLOOKUP(RW_DT_PRODUCTION[[#This Row],[MATERIAL_ID]],DIM_MATERIAL[MATERIAL_ID],DIM_MATERIAL[UOM_AFTER_PROCESS])</f>
        <v>BALE</v>
      </c>
      <c r="E449">
        <v>75</v>
      </c>
    </row>
    <row r="450" spans="1:5" x14ac:dyDescent="0.2">
      <c r="A450" s="3">
        <v>45629</v>
      </c>
      <c r="B450" t="s">
        <v>1</v>
      </c>
      <c r="C450">
        <v>1</v>
      </c>
      <c r="D450" t="str">
        <f>_xlfn.XLOOKUP(RW_DT_PRODUCTION[[#This Row],[MATERIAL_ID]],DIM_MATERIAL[MATERIAL_ID],DIM_MATERIAL[UOM_AFTER_PROCESS])</f>
        <v>BALE</v>
      </c>
      <c r="E450">
        <v>69</v>
      </c>
    </row>
    <row r="451" spans="1:5" x14ac:dyDescent="0.2">
      <c r="A451" s="3">
        <v>45629</v>
      </c>
      <c r="B451" t="s">
        <v>1</v>
      </c>
      <c r="C451">
        <v>1</v>
      </c>
      <c r="D451" t="str">
        <f>_xlfn.XLOOKUP(RW_DT_PRODUCTION[[#This Row],[MATERIAL_ID]],DIM_MATERIAL[MATERIAL_ID],DIM_MATERIAL[UOM_AFTER_PROCESS])</f>
        <v>BALE</v>
      </c>
      <c r="E451">
        <v>77</v>
      </c>
    </row>
    <row r="452" spans="1:5" x14ac:dyDescent="0.2">
      <c r="A452" s="3">
        <v>45630</v>
      </c>
      <c r="B452" t="s">
        <v>1</v>
      </c>
      <c r="C452">
        <v>1</v>
      </c>
      <c r="D452" t="str">
        <f>_xlfn.XLOOKUP(RW_DT_PRODUCTION[[#This Row],[MATERIAL_ID]],DIM_MATERIAL[MATERIAL_ID],DIM_MATERIAL[UOM_AFTER_PROCESS])</f>
        <v>BALE</v>
      </c>
      <c r="E452">
        <v>86</v>
      </c>
    </row>
    <row r="453" spans="1:5" x14ac:dyDescent="0.2">
      <c r="A453" s="3">
        <v>45630</v>
      </c>
      <c r="B453" t="s">
        <v>1</v>
      </c>
      <c r="C453">
        <v>1</v>
      </c>
      <c r="D453" t="str">
        <f>_xlfn.XLOOKUP(RW_DT_PRODUCTION[[#This Row],[MATERIAL_ID]],DIM_MATERIAL[MATERIAL_ID],DIM_MATERIAL[UOM_AFTER_PROCESS])</f>
        <v>BALE</v>
      </c>
      <c r="E453">
        <v>79</v>
      </c>
    </row>
    <row r="454" spans="1:5" x14ac:dyDescent="0.2">
      <c r="A454" s="3">
        <v>45630</v>
      </c>
      <c r="B454" t="s">
        <v>1</v>
      </c>
      <c r="C454">
        <v>1</v>
      </c>
      <c r="D454" t="str">
        <f>_xlfn.XLOOKUP(RW_DT_PRODUCTION[[#This Row],[MATERIAL_ID]],DIM_MATERIAL[MATERIAL_ID],DIM_MATERIAL[UOM_AFTER_PROCESS])</f>
        <v>BALE</v>
      </c>
      <c r="E454">
        <v>86</v>
      </c>
    </row>
    <row r="455" spans="1:5" x14ac:dyDescent="0.2">
      <c r="A455" s="3">
        <v>45630</v>
      </c>
      <c r="B455" t="s">
        <v>1</v>
      </c>
      <c r="C455">
        <v>1</v>
      </c>
      <c r="D455" t="str">
        <f>_xlfn.XLOOKUP(RW_DT_PRODUCTION[[#This Row],[MATERIAL_ID]],DIM_MATERIAL[MATERIAL_ID],DIM_MATERIAL[UOM_AFTER_PROCESS])</f>
        <v>BALE</v>
      </c>
      <c r="E455">
        <v>61</v>
      </c>
    </row>
    <row r="456" spans="1:5" x14ac:dyDescent="0.2">
      <c r="A456" s="3">
        <v>45630</v>
      </c>
      <c r="B456" t="s">
        <v>1</v>
      </c>
      <c r="C456">
        <v>1</v>
      </c>
      <c r="D456" t="str">
        <f>_xlfn.XLOOKUP(RW_DT_PRODUCTION[[#This Row],[MATERIAL_ID]],DIM_MATERIAL[MATERIAL_ID],DIM_MATERIAL[UOM_AFTER_PROCESS])</f>
        <v>BALE</v>
      </c>
      <c r="E456">
        <v>74</v>
      </c>
    </row>
    <row r="457" spans="1:5" x14ac:dyDescent="0.2">
      <c r="A457" s="3">
        <v>45630</v>
      </c>
      <c r="B457" t="s">
        <v>1</v>
      </c>
      <c r="C457">
        <v>1</v>
      </c>
      <c r="D457" t="str">
        <f>_xlfn.XLOOKUP(RW_DT_PRODUCTION[[#This Row],[MATERIAL_ID]],DIM_MATERIAL[MATERIAL_ID],DIM_MATERIAL[UOM_AFTER_PROCESS])</f>
        <v>BALE</v>
      </c>
      <c r="E457">
        <v>70</v>
      </c>
    </row>
    <row r="458" spans="1:5" x14ac:dyDescent="0.2">
      <c r="A458" s="3">
        <v>45630</v>
      </c>
      <c r="B458" t="s">
        <v>1</v>
      </c>
      <c r="C458">
        <v>1</v>
      </c>
      <c r="D458" t="str">
        <f>_xlfn.XLOOKUP(RW_DT_PRODUCTION[[#This Row],[MATERIAL_ID]],DIM_MATERIAL[MATERIAL_ID],DIM_MATERIAL[UOM_AFTER_PROCESS])</f>
        <v>BALE</v>
      </c>
      <c r="E458">
        <v>62</v>
      </c>
    </row>
    <row r="459" spans="1:5" x14ac:dyDescent="0.2">
      <c r="A459" s="3">
        <v>45630</v>
      </c>
      <c r="B459" t="s">
        <v>1</v>
      </c>
      <c r="C459">
        <v>1</v>
      </c>
      <c r="D459" t="str">
        <f>_xlfn.XLOOKUP(RW_DT_PRODUCTION[[#This Row],[MATERIAL_ID]],DIM_MATERIAL[MATERIAL_ID],DIM_MATERIAL[UOM_AFTER_PROCESS])</f>
        <v>BALE</v>
      </c>
      <c r="E459">
        <v>62</v>
      </c>
    </row>
    <row r="460" spans="1:5" x14ac:dyDescent="0.2">
      <c r="A460" s="3">
        <v>45630</v>
      </c>
      <c r="B460" t="s">
        <v>1</v>
      </c>
      <c r="C460">
        <v>1</v>
      </c>
      <c r="D460" t="str">
        <f>_xlfn.XLOOKUP(RW_DT_PRODUCTION[[#This Row],[MATERIAL_ID]],DIM_MATERIAL[MATERIAL_ID],DIM_MATERIAL[UOM_AFTER_PROCESS])</f>
        <v>BALE</v>
      </c>
      <c r="E460">
        <v>70</v>
      </c>
    </row>
    <row r="461" spans="1:5" x14ac:dyDescent="0.2">
      <c r="A461" s="3">
        <v>45630</v>
      </c>
      <c r="B461" t="s">
        <v>1</v>
      </c>
      <c r="C461">
        <v>1</v>
      </c>
      <c r="D461" t="str">
        <f>_xlfn.XLOOKUP(RW_DT_PRODUCTION[[#This Row],[MATERIAL_ID]],DIM_MATERIAL[MATERIAL_ID],DIM_MATERIAL[UOM_AFTER_PROCESS])</f>
        <v>BALE</v>
      </c>
      <c r="E461">
        <v>69</v>
      </c>
    </row>
    <row r="462" spans="1:5" x14ac:dyDescent="0.2">
      <c r="A462" s="3">
        <v>45630</v>
      </c>
      <c r="B462" t="s">
        <v>1</v>
      </c>
      <c r="C462">
        <v>1</v>
      </c>
      <c r="D462" t="str">
        <f>_xlfn.XLOOKUP(RW_DT_PRODUCTION[[#This Row],[MATERIAL_ID]],DIM_MATERIAL[MATERIAL_ID],DIM_MATERIAL[UOM_AFTER_PROCESS])</f>
        <v>BALE</v>
      </c>
      <c r="E462">
        <v>71</v>
      </c>
    </row>
    <row r="463" spans="1:5" x14ac:dyDescent="0.2">
      <c r="A463" s="3">
        <v>45630</v>
      </c>
      <c r="B463" t="s">
        <v>2</v>
      </c>
      <c r="C463">
        <v>1</v>
      </c>
      <c r="D463" t="str">
        <f>_xlfn.XLOOKUP(RW_DT_PRODUCTION[[#This Row],[MATERIAL_ID]],DIM_MATERIAL[MATERIAL_ID],DIM_MATERIAL[UOM_AFTER_PROCESS])</f>
        <v>BAG</v>
      </c>
      <c r="E463">
        <v>22</v>
      </c>
    </row>
    <row r="464" spans="1:5" x14ac:dyDescent="0.2">
      <c r="A464" s="3">
        <v>45630</v>
      </c>
      <c r="B464" t="s">
        <v>2</v>
      </c>
      <c r="C464">
        <v>1</v>
      </c>
      <c r="D464" t="str">
        <f>_xlfn.XLOOKUP(RW_DT_PRODUCTION[[#This Row],[MATERIAL_ID]],DIM_MATERIAL[MATERIAL_ID],DIM_MATERIAL[UOM_AFTER_PROCESS])</f>
        <v>BAG</v>
      </c>
      <c r="E464">
        <v>22</v>
      </c>
    </row>
    <row r="465" spans="1:5" x14ac:dyDescent="0.2">
      <c r="A465" s="3">
        <v>45630</v>
      </c>
      <c r="B465" t="s">
        <v>2</v>
      </c>
      <c r="C465">
        <v>1</v>
      </c>
      <c r="D465" t="str">
        <f>_xlfn.XLOOKUP(RW_DT_PRODUCTION[[#This Row],[MATERIAL_ID]],DIM_MATERIAL[MATERIAL_ID],DIM_MATERIAL[UOM_AFTER_PROCESS])</f>
        <v>BAG</v>
      </c>
      <c r="E465">
        <v>22</v>
      </c>
    </row>
    <row r="466" spans="1:5" x14ac:dyDescent="0.2">
      <c r="A466" s="3">
        <v>45630</v>
      </c>
      <c r="B466" t="s">
        <v>2</v>
      </c>
      <c r="C466">
        <v>1</v>
      </c>
      <c r="D466" t="str">
        <f>_xlfn.XLOOKUP(RW_DT_PRODUCTION[[#This Row],[MATERIAL_ID]],DIM_MATERIAL[MATERIAL_ID],DIM_MATERIAL[UOM_AFTER_PROCESS])</f>
        <v>BAG</v>
      </c>
      <c r="E466">
        <v>22</v>
      </c>
    </row>
    <row r="467" spans="1:5" x14ac:dyDescent="0.2">
      <c r="A467" s="3">
        <v>45630</v>
      </c>
      <c r="B467" t="s">
        <v>2</v>
      </c>
      <c r="C467">
        <v>1</v>
      </c>
      <c r="D467" t="str">
        <f>_xlfn.XLOOKUP(RW_DT_PRODUCTION[[#This Row],[MATERIAL_ID]],DIM_MATERIAL[MATERIAL_ID],DIM_MATERIAL[UOM_AFTER_PROCESS])</f>
        <v>BAG</v>
      </c>
      <c r="E467">
        <v>22</v>
      </c>
    </row>
    <row r="468" spans="1:5" x14ac:dyDescent="0.2">
      <c r="A468" s="3">
        <v>45630</v>
      </c>
      <c r="B468" t="s">
        <v>2</v>
      </c>
      <c r="C468">
        <v>1</v>
      </c>
      <c r="D468" t="str">
        <f>_xlfn.XLOOKUP(RW_DT_PRODUCTION[[#This Row],[MATERIAL_ID]],DIM_MATERIAL[MATERIAL_ID],DIM_MATERIAL[UOM_AFTER_PROCESS])</f>
        <v>BAG</v>
      </c>
      <c r="E468">
        <v>22</v>
      </c>
    </row>
    <row r="469" spans="1:5" x14ac:dyDescent="0.2">
      <c r="A469" s="3">
        <v>45631</v>
      </c>
      <c r="B469" t="s">
        <v>1</v>
      </c>
      <c r="C469">
        <v>1</v>
      </c>
      <c r="D469" t="str">
        <f>_xlfn.XLOOKUP(RW_DT_PRODUCTION[[#This Row],[MATERIAL_ID]],DIM_MATERIAL[MATERIAL_ID],DIM_MATERIAL[UOM_AFTER_PROCESS])</f>
        <v>BALE</v>
      </c>
      <c r="E469">
        <v>80</v>
      </c>
    </row>
    <row r="470" spans="1:5" x14ac:dyDescent="0.2">
      <c r="A470" s="3">
        <v>45631</v>
      </c>
      <c r="B470" t="s">
        <v>1</v>
      </c>
      <c r="C470">
        <v>1</v>
      </c>
      <c r="D470" t="str">
        <f>_xlfn.XLOOKUP(RW_DT_PRODUCTION[[#This Row],[MATERIAL_ID]],DIM_MATERIAL[MATERIAL_ID],DIM_MATERIAL[UOM_AFTER_PROCESS])</f>
        <v>BALE</v>
      </c>
      <c r="E470">
        <v>88</v>
      </c>
    </row>
    <row r="471" spans="1:5" x14ac:dyDescent="0.2">
      <c r="A471" s="3">
        <v>45631</v>
      </c>
      <c r="B471" t="s">
        <v>1</v>
      </c>
      <c r="C471">
        <v>1</v>
      </c>
      <c r="D471" t="str">
        <f>_xlfn.XLOOKUP(RW_DT_PRODUCTION[[#This Row],[MATERIAL_ID]],DIM_MATERIAL[MATERIAL_ID],DIM_MATERIAL[UOM_AFTER_PROCESS])</f>
        <v>BALE</v>
      </c>
      <c r="E471">
        <v>61</v>
      </c>
    </row>
    <row r="472" spans="1:5" x14ac:dyDescent="0.2">
      <c r="A472" s="3">
        <v>45631</v>
      </c>
      <c r="B472" t="s">
        <v>1</v>
      </c>
      <c r="C472">
        <v>1</v>
      </c>
      <c r="D472" t="str">
        <f>_xlfn.XLOOKUP(RW_DT_PRODUCTION[[#This Row],[MATERIAL_ID]],DIM_MATERIAL[MATERIAL_ID],DIM_MATERIAL[UOM_AFTER_PROCESS])</f>
        <v>BALE</v>
      </c>
      <c r="E472">
        <v>66</v>
      </c>
    </row>
    <row r="473" spans="1:5" x14ac:dyDescent="0.2">
      <c r="A473" s="3">
        <v>45631</v>
      </c>
      <c r="B473" t="s">
        <v>1</v>
      </c>
      <c r="C473">
        <v>1</v>
      </c>
      <c r="D473" t="str">
        <f>_xlfn.XLOOKUP(RW_DT_PRODUCTION[[#This Row],[MATERIAL_ID]],DIM_MATERIAL[MATERIAL_ID],DIM_MATERIAL[UOM_AFTER_PROCESS])</f>
        <v>BALE</v>
      </c>
      <c r="E473">
        <v>86</v>
      </c>
    </row>
    <row r="474" spans="1:5" x14ac:dyDescent="0.2">
      <c r="A474" s="3">
        <v>45631</v>
      </c>
      <c r="B474" t="s">
        <v>1</v>
      </c>
      <c r="C474">
        <v>1</v>
      </c>
      <c r="D474" t="str">
        <f>_xlfn.XLOOKUP(RW_DT_PRODUCTION[[#This Row],[MATERIAL_ID]],DIM_MATERIAL[MATERIAL_ID],DIM_MATERIAL[UOM_AFTER_PROCESS])</f>
        <v>BALE</v>
      </c>
      <c r="E474">
        <v>70</v>
      </c>
    </row>
    <row r="475" spans="1:5" x14ac:dyDescent="0.2">
      <c r="A475" s="3">
        <v>45631</v>
      </c>
      <c r="B475" t="s">
        <v>1</v>
      </c>
      <c r="C475">
        <v>1</v>
      </c>
      <c r="D475" t="str">
        <f>_xlfn.XLOOKUP(RW_DT_PRODUCTION[[#This Row],[MATERIAL_ID]],DIM_MATERIAL[MATERIAL_ID],DIM_MATERIAL[UOM_AFTER_PROCESS])</f>
        <v>BALE</v>
      </c>
      <c r="E475">
        <v>62</v>
      </c>
    </row>
    <row r="476" spans="1:5" x14ac:dyDescent="0.2">
      <c r="A476" s="3">
        <v>45632</v>
      </c>
      <c r="B476" t="s">
        <v>1</v>
      </c>
      <c r="C476">
        <v>1</v>
      </c>
      <c r="D476" t="str">
        <f>_xlfn.XLOOKUP(RW_DT_PRODUCTION[[#This Row],[MATERIAL_ID]],DIM_MATERIAL[MATERIAL_ID],DIM_MATERIAL[UOM_AFTER_PROCESS])</f>
        <v>BALE</v>
      </c>
      <c r="E476">
        <v>83</v>
      </c>
    </row>
    <row r="477" spans="1:5" x14ac:dyDescent="0.2">
      <c r="A477" s="3">
        <v>45632</v>
      </c>
      <c r="B477" t="s">
        <v>1</v>
      </c>
      <c r="C477">
        <v>1</v>
      </c>
      <c r="D477" t="str">
        <f>_xlfn.XLOOKUP(RW_DT_PRODUCTION[[#This Row],[MATERIAL_ID]],DIM_MATERIAL[MATERIAL_ID],DIM_MATERIAL[UOM_AFTER_PROCESS])</f>
        <v>BALE</v>
      </c>
      <c r="E477">
        <v>79</v>
      </c>
    </row>
    <row r="478" spans="1:5" x14ac:dyDescent="0.2">
      <c r="A478" s="3">
        <v>45632</v>
      </c>
      <c r="B478" t="s">
        <v>1</v>
      </c>
      <c r="C478">
        <v>1</v>
      </c>
      <c r="D478" t="str">
        <f>_xlfn.XLOOKUP(RW_DT_PRODUCTION[[#This Row],[MATERIAL_ID]],DIM_MATERIAL[MATERIAL_ID],DIM_MATERIAL[UOM_AFTER_PROCESS])</f>
        <v>BALE</v>
      </c>
      <c r="E478">
        <v>81</v>
      </c>
    </row>
    <row r="479" spans="1:5" x14ac:dyDescent="0.2">
      <c r="A479" s="3">
        <v>45632</v>
      </c>
      <c r="B479" t="s">
        <v>1</v>
      </c>
      <c r="C479">
        <v>1</v>
      </c>
      <c r="D479" t="str">
        <f>_xlfn.XLOOKUP(RW_DT_PRODUCTION[[#This Row],[MATERIAL_ID]],DIM_MATERIAL[MATERIAL_ID],DIM_MATERIAL[UOM_AFTER_PROCESS])</f>
        <v>BALE</v>
      </c>
      <c r="E479">
        <v>82</v>
      </c>
    </row>
    <row r="480" spans="1:5" x14ac:dyDescent="0.2">
      <c r="A480" s="3">
        <v>45632</v>
      </c>
      <c r="B480" t="s">
        <v>1</v>
      </c>
      <c r="C480">
        <v>1</v>
      </c>
      <c r="D480" t="str">
        <f>_xlfn.XLOOKUP(RW_DT_PRODUCTION[[#This Row],[MATERIAL_ID]],DIM_MATERIAL[MATERIAL_ID],DIM_MATERIAL[UOM_AFTER_PROCESS])</f>
        <v>BALE</v>
      </c>
      <c r="E480">
        <v>89</v>
      </c>
    </row>
    <row r="481" spans="1:5" x14ac:dyDescent="0.2">
      <c r="A481" s="3">
        <v>45632</v>
      </c>
      <c r="B481" t="s">
        <v>1</v>
      </c>
      <c r="C481">
        <v>1</v>
      </c>
      <c r="D481" t="str">
        <f>_xlfn.XLOOKUP(RW_DT_PRODUCTION[[#This Row],[MATERIAL_ID]],DIM_MATERIAL[MATERIAL_ID],DIM_MATERIAL[UOM_AFTER_PROCESS])</f>
        <v>BALE</v>
      </c>
      <c r="E481">
        <v>69</v>
      </c>
    </row>
    <row r="482" spans="1:5" x14ac:dyDescent="0.2">
      <c r="A482" s="3">
        <v>45632</v>
      </c>
      <c r="B482" t="s">
        <v>1</v>
      </c>
      <c r="C482">
        <v>1</v>
      </c>
      <c r="D482" t="str">
        <f>_xlfn.XLOOKUP(RW_DT_PRODUCTION[[#This Row],[MATERIAL_ID]],DIM_MATERIAL[MATERIAL_ID],DIM_MATERIAL[UOM_AFTER_PROCESS])</f>
        <v>BALE</v>
      </c>
      <c r="E482">
        <v>62</v>
      </c>
    </row>
    <row r="483" spans="1:5" x14ac:dyDescent="0.2">
      <c r="A483" s="3">
        <v>45632</v>
      </c>
      <c r="B483" t="s">
        <v>1</v>
      </c>
      <c r="C483">
        <v>1</v>
      </c>
      <c r="D483" t="str">
        <f>_xlfn.XLOOKUP(RW_DT_PRODUCTION[[#This Row],[MATERIAL_ID]],DIM_MATERIAL[MATERIAL_ID],DIM_MATERIAL[UOM_AFTER_PROCESS])</f>
        <v>BALE</v>
      </c>
      <c r="E483">
        <v>84</v>
      </c>
    </row>
    <row r="484" spans="1:5" x14ac:dyDescent="0.2">
      <c r="A484" s="3">
        <v>45632</v>
      </c>
      <c r="B484" t="s">
        <v>1</v>
      </c>
      <c r="C484">
        <v>1</v>
      </c>
      <c r="D484" t="str">
        <f>_xlfn.XLOOKUP(RW_DT_PRODUCTION[[#This Row],[MATERIAL_ID]],DIM_MATERIAL[MATERIAL_ID],DIM_MATERIAL[UOM_AFTER_PROCESS])</f>
        <v>BALE</v>
      </c>
      <c r="E484">
        <v>85</v>
      </c>
    </row>
    <row r="485" spans="1:5" x14ac:dyDescent="0.2">
      <c r="A485" s="3">
        <v>45632</v>
      </c>
      <c r="B485" t="s">
        <v>1</v>
      </c>
      <c r="C485">
        <v>1</v>
      </c>
      <c r="D485" t="str">
        <f>_xlfn.XLOOKUP(RW_DT_PRODUCTION[[#This Row],[MATERIAL_ID]],DIM_MATERIAL[MATERIAL_ID],DIM_MATERIAL[UOM_AFTER_PROCESS])</f>
        <v>BALE</v>
      </c>
      <c r="E485">
        <v>64</v>
      </c>
    </row>
    <row r="486" spans="1:5" x14ac:dyDescent="0.2">
      <c r="A486" s="3">
        <v>45632</v>
      </c>
      <c r="B486" t="s">
        <v>1</v>
      </c>
      <c r="C486">
        <v>1</v>
      </c>
      <c r="D486" t="str">
        <f>_xlfn.XLOOKUP(RW_DT_PRODUCTION[[#This Row],[MATERIAL_ID]],DIM_MATERIAL[MATERIAL_ID],DIM_MATERIAL[UOM_AFTER_PROCESS])</f>
        <v>BALE</v>
      </c>
      <c r="E486">
        <v>78</v>
      </c>
    </row>
    <row r="487" spans="1:5" x14ac:dyDescent="0.2">
      <c r="A487" s="3">
        <v>45632</v>
      </c>
      <c r="B487" t="s">
        <v>1</v>
      </c>
      <c r="C487">
        <v>1</v>
      </c>
      <c r="D487" t="str">
        <f>_xlfn.XLOOKUP(RW_DT_PRODUCTION[[#This Row],[MATERIAL_ID]],DIM_MATERIAL[MATERIAL_ID],DIM_MATERIAL[UOM_AFTER_PROCESS])</f>
        <v>BALE</v>
      </c>
      <c r="E487">
        <v>85</v>
      </c>
    </row>
    <row r="488" spans="1:5" x14ac:dyDescent="0.2">
      <c r="A488" s="3">
        <v>45632</v>
      </c>
      <c r="B488" t="s">
        <v>1</v>
      </c>
      <c r="C488">
        <v>1</v>
      </c>
      <c r="D488" t="str">
        <f>_xlfn.XLOOKUP(RW_DT_PRODUCTION[[#This Row],[MATERIAL_ID]],DIM_MATERIAL[MATERIAL_ID],DIM_MATERIAL[UOM_AFTER_PROCESS])</f>
        <v>BALE</v>
      </c>
      <c r="E488">
        <v>85</v>
      </c>
    </row>
    <row r="489" spans="1:5" x14ac:dyDescent="0.2">
      <c r="A489" s="3">
        <v>45633</v>
      </c>
      <c r="B489" t="s">
        <v>1</v>
      </c>
      <c r="C489">
        <v>1</v>
      </c>
      <c r="D489" t="str">
        <f>_xlfn.XLOOKUP(RW_DT_PRODUCTION[[#This Row],[MATERIAL_ID]],DIM_MATERIAL[MATERIAL_ID],DIM_MATERIAL[UOM_AFTER_PROCESS])</f>
        <v>BALE</v>
      </c>
      <c r="E489">
        <v>79</v>
      </c>
    </row>
    <row r="490" spans="1:5" x14ac:dyDescent="0.2">
      <c r="A490" s="3">
        <v>45635</v>
      </c>
      <c r="B490" t="s">
        <v>1</v>
      </c>
      <c r="C490">
        <v>1</v>
      </c>
      <c r="D490" t="str">
        <f>_xlfn.XLOOKUP(RW_DT_PRODUCTION[[#This Row],[MATERIAL_ID]],DIM_MATERIAL[MATERIAL_ID],DIM_MATERIAL[UOM_AFTER_PROCESS])</f>
        <v>BALE</v>
      </c>
      <c r="E490">
        <v>72</v>
      </c>
    </row>
    <row r="491" spans="1:5" x14ac:dyDescent="0.2">
      <c r="A491" s="3">
        <v>45635</v>
      </c>
      <c r="B491" t="s">
        <v>1</v>
      </c>
      <c r="C491">
        <v>1</v>
      </c>
      <c r="D491" t="str">
        <f>_xlfn.XLOOKUP(RW_DT_PRODUCTION[[#This Row],[MATERIAL_ID]],DIM_MATERIAL[MATERIAL_ID],DIM_MATERIAL[UOM_AFTER_PROCESS])</f>
        <v>BALE</v>
      </c>
      <c r="E491">
        <v>74</v>
      </c>
    </row>
    <row r="492" spans="1:5" x14ac:dyDescent="0.2">
      <c r="A492" s="3">
        <v>45635</v>
      </c>
      <c r="B492" t="s">
        <v>1</v>
      </c>
      <c r="C492">
        <v>1</v>
      </c>
      <c r="D492" t="str">
        <f>_xlfn.XLOOKUP(RW_DT_PRODUCTION[[#This Row],[MATERIAL_ID]],DIM_MATERIAL[MATERIAL_ID],DIM_MATERIAL[UOM_AFTER_PROCESS])</f>
        <v>BALE</v>
      </c>
      <c r="E492">
        <v>82</v>
      </c>
    </row>
    <row r="493" spans="1:5" x14ac:dyDescent="0.2">
      <c r="A493" s="3">
        <v>45635</v>
      </c>
      <c r="B493" t="s">
        <v>1</v>
      </c>
      <c r="C493">
        <v>1</v>
      </c>
      <c r="D493" t="str">
        <f>_xlfn.XLOOKUP(RW_DT_PRODUCTION[[#This Row],[MATERIAL_ID]],DIM_MATERIAL[MATERIAL_ID],DIM_MATERIAL[UOM_AFTER_PROCESS])</f>
        <v>BALE</v>
      </c>
      <c r="E493">
        <v>78</v>
      </c>
    </row>
    <row r="494" spans="1:5" x14ac:dyDescent="0.2">
      <c r="A494" s="3">
        <v>45635</v>
      </c>
      <c r="B494" t="s">
        <v>1</v>
      </c>
      <c r="C494">
        <v>1</v>
      </c>
      <c r="D494" t="str">
        <f>_xlfn.XLOOKUP(RW_DT_PRODUCTION[[#This Row],[MATERIAL_ID]],DIM_MATERIAL[MATERIAL_ID],DIM_MATERIAL[UOM_AFTER_PROCESS])</f>
        <v>BALE</v>
      </c>
      <c r="E494">
        <v>65</v>
      </c>
    </row>
    <row r="495" spans="1:5" x14ac:dyDescent="0.2">
      <c r="A495" s="3">
        <v>45635</v>
      </c>
      <c r="B495" t="s">
        <v>1</v>
      </c>
      <c r="C495">
        <v>1</v>
      </c>
      <c r="D495" t="str">
        <f>_xlfn.XLOOKUP(RW_DT_PRODUCTION[[#This Row],[MATERIAL_ID]],DIM_MATERIAL[MATERIAL_ID],DIM_MATERIAL[UOM_AFTER_PROCESS])</f>
        <v>BALE</v>
      </c>
      <c r="E495">
        <v>71</v>
      </c>
    </row>
    <row r="496" spans="1:5" x14ac:dyDescent="0.2">
      <c r="A496" s="3">
        <v>45635</v>
      </c>
      <c r="B496" t="s">
        <v>1</v>
      </c>
      <c r="C496">
        <v>1</v>
      </c>
      <c r="D496" t="str">
        <f>_xlfn.XLOOKUP(RW_DT_PRODUCTION[[#This Row],[MATERIAL_ID]],DIM_MATERIAL[MATERIAL_ID],DIM_MATERIAL[UOM_AFTER_PROCESS])</f>
        <v>BALE</v>
      </c>
      <c r="E496">
        <v>73</v>
      </c>
    </row>
    <row r="497" spans="1:5" x14ac:dyDescent="0.2">
      <c r="A497" s="3">
        <v>45635</v>
      </c>
      <c r="B497" t="s">
        <v>1</v>
      </c>
      <c r="C497">
        <v>1</v>
      </c>
      <c r="D497" t="str">
        <f>_xlfn.XLOOKUP(RW_DT_PRODUCTION[[#This Row],[MATERIAL_ID]],DIM_MATERIAL[MATERIAL_ID],DIM_MATERIAL[UOM_AFTER_PROCESS])</f>
        <v>BALE</v>
      </c>
      <c r="E497">
        <v>80</v>
      </c>
    </row>
    <row r="498" spans="1:5" x14ac:dyDescent="0.2">
      <c r="A498" s="3">
        <v>45635</v>
      </c>
      <c r="B498" t="s">
        <v>1</v>
      </c>
      <c r="C498">
        <v>1</v>
      </c>
      <c r="D498" t="str">
        <f>_xlfn.XLOOKUP(RW_DT_PRODUCTION[[#This Row],[MATERIAL_ID]],DIM_MATERIAL[MATERIAL_ID],DIM_MATERIAL[UOM_AFTER_PROCESS])</f>
        <v>BALE</v>
      </c>
      <c r="E498">
        <v>78</v>
      </c>
    </row>
    <row r="499" spans="1:5" x14ac:dyDescent="0.2">
      <c r="A499" s="3">
        <v>45635</v>
      </c>
      <c r="B499" t="s">
        <v>1</v>
      </c>
      <c r="C499">
        <v>1</v>
      </c>
      <c r="D499" t="str">
        <f>_xlfn.XLOOKUP(RW_DT_PRODUCTION[[#This Row],[MATERIAL_ID]],DIM_MATERIAL[MATERIAL_ID],DIM_MATERIAL[UOM_AFTER_PROCESS])</f>
        <v>BALE</v>
      </c>
      <c r="E499">
        <v>74</v>
      </c>
    </row>
    <row r="500" spans="1:5" x14ac:dyDescent="0.2">
      <c r="A500" s="3">
        <v>45635</v>
      </c>
      <c r="B500" t="s">
        <v>2</v>
      </c>
      <c r="C500">
        <v>1</v>
      </c>
      <c r="D500" t="str">
        <f>_xlfn.XLOOKUP(RW_DT_PRODUCTION[[#This Row],[MATERIAL_ID]],DIM_MATERIAL[MATERIAL_ID],DIM_MATERIAL[UOM_AFTER_PROCESS])</f>
        <v>BAG</v>
      </c>
      <c r="E500">
        <v>22</v>
      </c>
    </row>
    <row r="501" spans="1:5" x14ac:dyDescent="0.2">
      <c r="A501" s="3">
        <v>45635</v>
      </c>
      <c r="B501" t="s">
        <v>2</v>
      </c>
      <c r="C501">
        <v>1</v>
      </c>
      <c r="D501" t="str">
        <f>_xlfn.XLOOKUP(RW_DT_PRODUCTION[[#This Row],[MATERIAL_ID]],DIM_MATERIAL[MATERIAL_ID],DIM_MATERIAL[UOM_AFTER_PROCESS])</f>
        <v>BAG</v>
      </c>
      <c r="E501">
        <v>22</v>
      </c>
    </row>
    <row r="502" spans="1:5" x14ac:dyDescent="0.2">
      <c r="A502" s="3">
        <v>45636</v>
      </c>
      <c r="B502" t="s">
        <v>1</v>
      </c>
      <c r="C502">
        <v>1</v>
      </c>
      <c r="D502" t="str">
        <f>_xlfn.XLOOKUP(RW_DT_PRODUCTION[[#This Row],[MATERIAL_ID]],DIM_MATERIAL[MATERIAL_ID],DIM_MATERIAL[UOM_AFTER_PROCESS])</f>
        <v>BALE</v>
      </c>
      <c r="E502">
        <v>86</v>
      </c>
    </row>
    <row r="503" spans="1:5" x14ac:dyDescent="0.2">
      <c r="A503" s="3">
        <v>45636</v>
      </c>
      <c r="B503" t="s">
        <v>1</v>
      </c>
      <c r="C503">
        <v>1</v>
      </c>
      <c r="D503" t="str">
        <f>_xlfn.XLOOKUP(RW_DT_PRODUCTION[[#This Row],[MATERIAL_ID]],DIM_MATERIAL[MATERIAL_ID],DIM_MATERIAL[UOM_AFTER_PROCESS])</f>
        <v>BALE</v>
      </c>
      <c r="E503">
        <v>73</v>
      </c>
    </row>
    <row r="504" spans="1:5" x14ac:dyDescent="0.2">
      <c r="A504" s="3">
        <v>45636</v>
      </c>
      <c r="B504" t="s">
        <v>1</v>
      </c>
      <c r="C504">
        <v>1</v>
      </c>
      <c r="D504" t="str">
        <f>_xlfn.XLOOKUP(RW_DT_PRODUCTION[[#This Row],[MATERIAL_ID]],DIM_MATERIAL[MATERIAL_ID],DIM_MATERIAL[UOM_AFTER_PROCESS])</f>
        <v>BALE</v>
      </c>
      <c r="E504">
        <v>86</v>
      </c>
    </row>
    <row r="505" spans="1:5" x14ac:dyDescent="0.2">
      <c r="A505" s="3">
        <v>45636</v>
      </c>
      <c r="B505" t="s">
        <v>1</v>
      </c>
      <c r="C505">
        <v>1</v>
      </c>
      <c r="D505" t="str">
        <f>_xlfn.XLOOKUP(RW_DT_PRODUCTION[[#This Row],[MATERIAL_ID]],DIM_MATERIAL[MATERIAL_ID],DIM_MATERIAL[UOM_AFTER_PROCESS])</f>
        <v>BALE</v>
      </c>
      <c r="E505">
        <v>62</v>
      </c>
    </row>
    <row r="506" spans="1:5" x14ac:dyDescent="0.2">
      <c r="A506" s="3">
        <v>45636</v>
      </c>
      <c r="B506" t="s">
        <v>1</v>
      </c>
      <c r="C506">
        <v>1</v>
      </c>
      <c r="D506" t="str">
        <f>_xlfn.XLOOKUP(RW_DT_PRODUCTION[[#This Row],[MATERIAL_ID]],DIM_MATERIAL[MATERIAL_ID],DIM_MATERIAL[UOM_AFTER_PROCESS])</f>
        <v>BALE</v>
      </c>
      <c r="E506">
        <v>80</v>
      </c>
    </row>
    <row r="507" spans="1:5" x14ac:dyDescent="0.2">
      <c r="A507" s="3">
        <v>45636</v>
      </c>
      <c r="B507" t="s">
        <v>1</v>
      </c>
      <c r="C507">
        <v>1</v>
      </c>
      <c r="D507" t="str">
        <f>_xlfn.XLOOKUP(RW_DT_PRODUCTION[[#This Row],[MATERIAL_ID]],DIM_MATERIAL[MATERIAL_ID],DIM_MATERIAL[UOM_AFTER_PROCESS])</f>
        <v>BALE</v>
      </c>
      <c r="E507">
        <v>79</v>
      </c>
    </row>
    <row r="508" spans="1:5" x14ac:dyDescent="0.2">
      <c r="A508" s="3">
        <v>45636</v>
      </c>
      <c r="B508" t="s">
        <v>1</v>
      </c>
      <c r="C508">
        <v>1</v>
      </c>
      <c r="D508" t="str">
        <f>_xlfn.XLOOKUP(RW_DT_PRODUCTION[[#This Row],[MATERIAL_ID]],DIM_MATERIAL[MATERIAL_ID],DIM_MATERIAL[UOM_AFTER_PROCESS])</f>
        <v>BALE</v>
      </c>
      <c r="E508">
        <v>63</v>
      </c>
    </row>
    <row r="509" spans="1:5" x14ac:dyDescent="0.2">
      <c r="A509" s="3">
        <v>45637</v>
      </c>
      <c r="B509" t="s">
        <v>1</v>
      </c>
      <c r="C509">
        <v>1</v>
      </c>
      <c r="D509" t="str">
        <f>_xlfn.XLOOKUP(RW_DT_PRODUCTION[[#This Row],[MATERIAL_ID]],DIM_MATERIAL[MATERIAL_ID],DIM_MATERIAL[UOM_AFTER_PROCESS])</f>
        <v>BALE</v>
      </c>
      <c r="E509">
        <v>61</v>
      </c>
    </row>
    <row r="510" spans="1:5" x14ac:dyDescent="0.2">
      <c r="A510" s="3">
        <v>45637</v>
      </c>
      <c r="B510" t="s">
        <v>1</v>
      </c>
      <c r="C510">
        <v>1</v>
      </c>
      <c r="D510" t="str">
        <f>_xlfn.XLOOKUP(RW_DT_PRODUCTION[[#This Row],[MATERIAL_ID]],DIM_MATERIAL[MATERIAL_ID],DIM_MATERIAL[UOM_AFTER_PROCESS])</f>
        <v>BALE</v>
      </c>
      <c r="E510">
        <v>65</v>
      </c>
    </row>
    <row r="511" spans="1:5" x14ac:dyDescent="0.2">
      <c r="A511" s="3">
        <v>45637</v>
      </c>
      <c r="B511" t="s">
        <v>1</v>
      </c>
      <c r="C511">
        <v>1</v>
      </c>
      <c r="D511" t="str">
        <f>_xlfn.XLOOKUP(RW_DT_PRODUCTION[[#This Row],[MATERIAL_ID]],DIM_MATERIAL[MATERIAL_ID],DIM_MATERIAL[UOM_AFTER_PROCESS])</f>
        <v>BALE</v>
      </c>
      <c r="E511">
        <v>62</v>
      </c>
    </row>
    <row r="512" spans="1:5" x14ac:dyDescent="0.2">
      <c r="A512" s="3">
        <v>45637</v>
      </c>
      <c r="B512" t="s">
        <v>1</v>
      </c>
      <c r="C512">
        <v>1</v>
      </c>
      <c r="D512" t="str">
        <f>_xlfn.XLOOKUP(RW_DT_PRODUCTION[[#This Row],[MATERIAL_ID]],DIM_MATERIAL[MATERIAL_ID],DIM_MATERIAL[UOM_AFTER_PROCESS])</f>
        <v>BALE</v>
      </c>
      <c r="E512">
        <v>82</v>
      </c>
    </row>
    <row r="513" spans="1:5" x14ac:dyDescent="0.2">
      <c r="A513" s="3">
        <v>45637</v>
      </c>
      <c r="B513" t="s">
        <v>1</v>
      </c>
      <c r="C513">
        <v>1</v>
      </c>
      <c r="D513" t="str">
        <f>_xlfn.XLOOKUP(RW_DT_PRODUCTION[[#This Row],[MATERIAL_ID]],DIM_MATERIAL[MATERIAL_ID],DIM_MATERIAL[UOM_AFTER_PROCESS])</f>
        <v>BALE</v>
      </c>
      <c r="E513">
        <v>60</v>
      </c>
    </row>
    <row r="514" spans="1:5" x14ac:dyDescent="0.2">
      <c r="A514" s="3">
        <v>45637</v>
      </c>
      <c r="B514" t="s">
        <v>1</v>
      </c>
      <c r="C514">
        <v>1</v>
      </c>
      <c r="D514" t="str">
        <f>_xlfn.XLOOKUP(RW_DT_PRODUCTION[[#This Row],[MATERIAL_ID]],DIM_MATERIAL[MATERIAL_ID],DIM_MATERIAL[UOM_AFTER_PROCESS])</f>
        <v>BALE</v>
      </c>
      <c r="E514">
        <v>83</v>
      </c>
    </row>
    <row r="515" spans="1:5" x14ac:dyDescent="0.2">
      <c r="A515" s="3">
        <v>45637</v>
      </c>
      <c r="B515" t="s">
        <v>1</v>
      </c>
      <c r="C515">
        <v>1</v>
      </c>
      <c r="D515" t="str">
        <f>_xlfn.XLOOKUP(RW_DT_PRODUCTION[[#This Row],[MATERIAL_ID]],DIM_MATERIAL[MATERIAL_ID],DIM_MATERIAL[UOM_AFTER_PROCESS])</f>
        <v>BALE</v>
      </c>
      <c r="E515">
        <v>86</v>
      </c>
    </row>
    <row r="516" spans="1:5" x14ac:dyDescent="0.2">
      <c r="A516" s="3">
        <v>45637</v>
      </c>
      <c r="B516" t="s">
        <v>1</v>
      </c>
      <c r="C516">
        <v>1</v>
      </c>
      <c r="D516" t="str">
        <f>_xlfn.XLOOKUP(RW_DT_PRODUCTION[[#This Row],[MATERIAL_ID]],DIM_MATERIAL[MATERIAL_ID],DIM_MATERIAL[UOM_AFTER_PROCESS])</f>
        <v>BALE</v>
      </c>
      <c r="E516">
        <v>76</v>
      </c>
    </row>
    <row r="517" spans="1:5" x14ac:dyDescent="0.2">
      <c r="A517" s="3">
        <v>45637</v>
      </c>
      <c r="B517" t="s">
        <v>1</v>
      </c>
      <c r="C517">
        <v>1</v>
      </c>
      <c r="D517" t="str">
        <f>_xlfn.XLOOKUP(RW_DT_PRODUCTION[[#This Row],[MATERIAL_ID]],DIM_MATERIAL[MATERIAL_ID],DIM_MATERIAL[UOM_AFTER_PROCESS])</f>
        <v>BALE</v>
      </c>
      <c r="E517">
        <v>89</v>
      </c>
    </row>
    <row r="518" spans="1:5" x14ac:dyDescent="0.2">
      <c r="A518" s="3">
        <v>45637</v>
      </c>
      <c r="B518" t="s">
        <v>1</v>
      </c>
      <c r="C518">
        <v>1</v>
      </c>
      <c r="D518" t="str">
        <f>_xlfn.XLOOKUP(RW_DT_PRODUCTION[[#This Row],[MATERIAL_ID]],DIM_MATERIAL[MATERIAL_ID],DIM_MATERIAL[UOM_AFTER_PROCESS])</f>
        <v>BALE</v>
      </c>
      <c r="E518">
        <v>76</v>
      </c>
    </row>
    <row r="519" spans="1:5" x14ac:dyDescent="0.2">
      <c r="A519" s="3">
        <v>45637</v>
      </c>
      <c r="B519" t="s">
        <v>1</v>
      </c>
      <c r="C519">
        <v>1</v>
      </c>
      <c r="D519" t="str">
        <f>_xlfn.XLOOKUP(RW_DT_PRODUCTION[[#This Row],[MATERIAL_ID]],DIM_MATERIAL[MATERIAL_ID],DIM_MATERIAL[UOM_AFTER_PROCESS])</f>
        <v>BALE</v>
      </c>
      <c r="E519">
        <v>65</v>
      </c>
    </row>
    <row r="520" spans="1:5" x14ac:dyDescent="0.2">
      <c r="A520" s="3">
        <v>45637</v>
      </c>
      <c r="B520" t="s">
        <v>2</v>
      </c>
      <c r="C520">
        <v>1</v>
      </c>
      <c r="D520" t="str">
        <f>_xlfn.XLOOKUP(RW_DT_PRODUCTION[[#This Row],[MATERIAL_ID]],DIM_MATERIAL[MATERIAL_ID],DIM_MATERIAL[UOM_AFTER_PROCESS])</f>
        <v>BAG</v>
      </c>
      <c r="E520">
        <v>22</v>
      </c>
    </row>
    <row r="521" spans="1:5" x14ac:dyDescent="0.2">
      <c r="A521" s="3">
        <v>45637</v>
      </c>
      <c r="B521" t="s">
        <v>2</v>
      </c>
      <c r="C521">
        <v>1</v>
      </c>
      <c r="D521" t="str">
        <f>_xlfn.XLOOKUP(RW_DT_PRODUCTION[[#This Row],[MATERIAL_ID]],DIM_MATERIAL[MATERIAL_ID],DIM_MATERIAL[UOM_AFTER_PROCESS])</f>
        <v>BAG</v>
      </c>
      <c r="E521">
        <v>22</v>
      </c>
    </row>
    <row r="522" spans="1:5" x14ac:dyDescent="0.2">
      <c r="A522" s="3">
        <v>45638</v>
      </c>
      <c r="B522" t="s">
        <v>1</v>
      </c>
      <c r="C522">
        <v>1</v>
      </c>
      <c r="D522" t="str">
        <f>_xlfn.XLOOKUP(RW_DT_PRODUCTION[[#This Row],[MATERIAL_ID]],DIM_MATERIAL[MATERIAL_ID],DIM_MATERIAL[UOM_AFTER_PROCESS])</f>
        <v>BALE</v>
      </c>
      <c r="E522">
        <v>83</v>
      </c>
    </row>
    <row r="523" spans="1:5" x14ac:dyDescent="0.2">
      <c r="A523" s="3">
        <v>45638</v>
      </c>
      <c r="B523" t="s">
        <v>1</v>
      </c>
      <c r="C523">
        <v>1</v>
      </c>
      <c r="D523" t="str">
        <f>_xlfn.XLOOKUP(RW_DT_PRODUCTION[[#This Row],[MATERIAL_ID]],DIM_MATERIAL[MATERIAL_ID],DIM_MATERIAL[UOM_AFTER_PROCESS])</f>
        <v>BALE</v>
      </c>
      <c r="E523">
        <v>84</v>
      </c>
    </row>
    <row r="524" spans="1:5" x14ac:dyDescent="0.2">
      <c r="A524" s="3">
        <v>45638</v>
      </c>
      <c r="B524" t="s">
        <v>1</v>
      </c>
      <c r="C524">
        <v>1</v>
      </c>
      <c r="D524" t="str">
        <f>_xlfn.XLOOKUP(RW_DT_PRODUCTION[[#This Row],[MATERIAL_ID]],DIM_MATERIAL[MATERIAL_ID],DIM_MATERIAL[UOM_AFTER_PROCESS])</f>
        <v>BALE</v>
      </c>
      <c r="E524">
        <v>79</v>
      </c>
    </row>
    <row r="525" spans="1:5" x14ac:dyDescent="0.2">
      <c r="A525" s="3">
        <v>45638</v>
      </c>
      <c r="B525" t="s">
        <v>1</v>
      </c>
      <c r="C525">
        <v>1</v>
      </c>
      <c r="D525" t="str">
        <f>_xlfn.XLOOKUP(RW_DT_PRODUCTION[[#This Row],[MATERIAL_ID]],DIM_MATERIAL[MATERIAL_ID],DIM_MATERIAL[UOM_AFTER_PROCESS])</f>
        <v>BALE</v>
      </c>
      <c r="E525">
        <v>67</v>
      </c>
    </row>
    <row r="526" spans="1:5" x14ac:dyDescent="0.2">
      <c r="A526" s="3">
        <v>45638</v>
      </c>
      <c r="B526" t="s">
        <v>1</v>
      </c>
      <c r="C526">
        <v>1</v>
      </c>
      <c r="D526" t="str">
        <f>_xlfn.XLOOKUP(RW_DT_PRODUCTION[[#This Row],[MATERIAL_ID]],DIM_MATERIAL[MATERIAL_ID],DIM_MATERIAL[UOM_AFTER_PROCESS])</f>
        <v>BALE</v>
      </c>
      <c r="E526">
        <v>68</v>
      </c>
    </row>
    <row r="527" spans="1:5" x14ac:dyDescent="0.2">
      <c r="A527" s="3">
        <v>45638</v>
      </c>
      <c r="B527" t="s">
        <v>1</v>
      </c>
      <c r="C527">
        <v>1</v>
      </c>
      <c r="D527" t="str">
        <f>_xlfn.XLOOKUP(RW_DT_PRODUCTION[[#This Row],[MATERIAL_ID]],DIM_MATERIAL[MATERIAL_ID],DIM_MATERIAL[UOM_AFTER_PROCESS])</f>
        <v>BALE</v>
      </c>
      <c r="E527">
        <v>82</v>
      </c>
    </row>
    <row r="528" spans="1:5" x14ac:dyDescent="0.2">
      <c r="A528" s="3">
        <v>45638</v>
      </c>
      <c r="B528" t="s">
        <v>1</v>
      </c>
      <c r="C528">
        <v>1</v>
      </c>
      <c r="D528" t="str">
        <f>_xlfn.XLOOKUP(RW_DT_PRODUCTION[[#This Row],[MATERIAL_ID]],DIM_MATERIAL[MATERIAL_ID],DIM_MATERIAL[UOM_AFTER_PROCESS])</f>
        <v>BALE</v>
      </c>
      <c r="E528">
        <v>74</v>
      </c>
    </row>
    <row r="529" spans="1:5" x14ac:dyDescent="0.2">
      <c r="A529" s="3">
        <v>45638</v>
      </c>
      <c r="B529" t="s">
        <v>1</v>
      </c>
      <c r="C529">
        <v>1</v>
      </c>
      <c r="D529" t="str">
        <f>_xlfn.XLOOKUP(RW_DT_PRODUCTION[[#This Row],[MATERIAL_ID]],DIM_MATERIAL[MATERIAL_ID],DIM_MATERIAL[UOM_AFTER_PROCESS])</f>
        <v>BALE</v>
      </c>
      <c r="E529">
        <v>71</v>
      </c>
    </row>
    <row r="530" spans="1:5" x14ac:dyDescent="0.2">
      <c r="A530" s="3">
        <v>45638</v>
      </c>
      <c r="B530" t="s">
        <v>1</v>
      </c>
      <c r="C530">
        <v>1</v>
      </c>
      <c r="D530" t="str">
        <f>_xlfn.XLOOKUP(RW_DT_PRODUCTION[[#This Row],[MATERIAL_ID]],DIM_MATERIAL[MATERIAL_ID],DIM_MATERIAL[UOM_AFTER_PROCESS])</f>
        <v>BALE</v>
      </c>
      <c r="E530">
        <v>85</v>
      </c>
    </row>
    <row r="531" spans="1:5" x14ac:dyDescent="0.2">
      <c r="A531" s="3">
        <v>45639</v>
      </c>
      <c r="B531" t="s">
        <v>1</v>
      </c>
      <c r="C531">
        <v>1</v>
      </c>
      <c r="D531" t="str">
        <f>_xlfn.XLOOKUP(RW_DT_PRODUCTION[[#This Row],[MATERIAL_ID]],DIM_MATERIAL[MATERIAL_ID],DIM_MATERIAL[UOM_AFTER_PROCESS])</f>
        <v>BALE</v>
      </c>
      <c r="E531">
        <v>72</v>
      </c>
    </row>
    <row r="532" spans="1:5" x14ac:dyDescent="0.2">
      <c r="A532" s="3">
        <v>45639</v>
      </c>
      <c r="B532" t="s">
        <v>1</v>
      </c>
      <c r="C532">
        <v>1</v>
      </c>
      <c r="D532" t="str">
        <f>_xlfn.XLOOKUP(RW_DT_PRODUCTION[[#This Row],[MATERIAL_ID]],DIM_MATERIAL[MATERIAL_ID],DIM_MATERIAL[UOM_AFTER_PROCESS])</f>
        <v>BALE</v>
      </c>
      <c r="E532">
        <v>83</v>
      </c>
    </row>
    <row r="533" spans="1:5" x14ac:dyDescent="0.2">
      <c r="A533" s="3">
        <v>45639</v>
      </c>
      <c r="B533" t="s">
        <v>1</v>
      </c>
      <c r="C533">
        <v>1</v>
      </c>
      <c r="D533" t="str">
        <f>_xlfn.XLOOKUP(RW_DT_PRODUCTION[[#This Row],[MATERIAL_ID]],DIM_MATERIAL[MATERIAL_ID],DIM_MATERIAL[UOM_AFTER_PROCESS])</f>
        <v>BALE</v>
      </c>
      <c r="E533">
        <v>82</v>
      </c>
    </row>
    <row r="534" spans="1:5" x14ac:dyDescent="0.2">
      <c r="A534" s="3">
        <v>45639</v>
      </c>
      <c r="B534" t="s">
        <v>1</v>
      </c>
      <c r="C534">
        <v>1</v>
      </c>
      <c r="D534" t="str">
        <f>_xlfn.XLOOKUP(RW_DT_PRODUCTION[[#This Row],[MATERIAL_ID]],DIM_MATERIAL[MATERIAL_ID],DIM_MATERIAL[UOM_AFTER_PROCESS])</f>
        <v>BALE</v>
      </c>
      <c r="E534">
        <v>88</v>
      </c>
    </row>
    <row r="535" spans="1:5" x14ac:dyDescent="0.2">
      <c r="A535" s="3">
        <v>45639</v>
      </c>
      <c r="B535" t="s">
        <v>1</v>
      </c>
      <c r="C535">
        <v>1</v>
      </c>
      <c r="D535" t="str">
        <f>_xlfn.XLOOKUP(RW_DT_PRODUCTION[[#This Row],[MATERIAL_ID]],DIM_MATERIAL[MATERIAL_ID],DIM_MATERIAL[UOM_AFTER_PROCESS])</f>
        <v>BALE</v>
      </c>
      <c r="E535">
        <v>74</v>
      </c>
    </row>
    <row r="536" spans="1:5" x14ac:dyDescent="0.2">
      <c r="A536" s="3">
        <v>45639</v>
      </c>
      <c r="B536" t="s">
        <v>1</v>
      </c>
      <c r="C536">
        <v>1</v>
      </c>
      <c r="D536" t="str">
        <f>_xlfn.XLOOKUP(RW_DT_PRODUCTION[[#This Row],[MATERIAL_ID]],DIM_MATERIAL[MATERIAL_ID],DIM_MATERIAL[UOM_AFTER_PROCESS])</f>
        <v>BALE</v>
      </c>
      <c r="E536">
        <v>85</v>
      </c>
    </row>
    <row r="537" spans="1:5" x14ac:dyDescent="0.2">
      <c r="A537" s="3">
        <v>45639</v>
      </c>
      <c r="B537" t="s">
        <v>1</v>
      </c>
      <c r="C537">
        <v>1</v>
      </c>
      <c r="D537" t="str">
        <f>_xlfn.XLOOKUP(RW_DT_PRODUCTION[[#This Row],[MATERIAL_ID]],DIM_MATERIAL[MATERIAL_ID],DIM_MATERIAL[UOM_AFTER_PROCESS])</f>
        <v>BALE</v>
      </c>
      <c r="E537">
        <v>82</v>
      </c>
    </row>
    <row r="538" spans="1:5" x14ac:dyDescent="0.2">
      <c r="A538" s="3">
        <v>45639</v>
      </c>
      <c r="B538" t="s">
        <v>1</v>
      </c>
      <c r="C538">
        <v>1</v>
      </c>
      <c r="D538" t="str">
        <f>_xlfn.XLOOKUP(RW_DT_PRODUCTION[[#This Row],[MATERIAL_ID]],DIM_MATERIAL[MATERIAL_ID],DIM_MATERIAL[UOM_AFTER_PROCESS])</f>
        <v>BALE</v>
      </c>
      <c r="E538">
        <v>70</v>
      </c>
    </row>
    <row r="539" spans="1:5" x14ac:dyDescent="0.2">
      <c r="A539" s="3">
        <v>45639</v>
      </c>
      <c r="B539" t="s">
        <v>1</v>
      </c>
      <c r="C539">
        <v>1</v>
      </c>
      <c r="D539" t="str">
        <f>_xlfn.XLOOKUP(RW_DT_PRODUCTION[[#This Row],[MATERIAL_ID]],DIM_MATERIAL[MATERIAL_ID],DIM_MATERIAL[UOM_AFTER_PROCESS])</f>
        <v>BALE</v>
      </c>
      <c r="E539">
        <v>83</v>
      </c>
    </row>
    <row r="540" spans="1:5" x14ac:dyDescent="0.2">
      <c r="A540" s="3">
        <v>45639</v>
      </c>
      <c r="B540" t="s">
        <v>1</v>
      </c>
      <c r="C540">
        <v>1</v>
      </c>
      <c r="D540" t="str">
        <f>_xlfn.XLOOKUP(RW_DT_PRODUCTION[[#This Row],[MATERIAL_ID]],DIM_MATERIAL[MATERIAL_ID],DIM_MATERIAL[UOM_AFTER_PROCESS])</f>
        <v>BALE</v>
      </c>
      <c r="E540">
        <v>64</v>
      </c>
    </row>
    <row r="541" spans="1:5" x14ac:dyDescent="0.2">
      <c r="A541" s="3">
        <v>45639</v>
      </c>
      <c r="B541" t="s">
        <v>1</v>
      </c>
      <c r="C541">
        <v>1</v>
      </c>
      <c r="D541" t="str">
        <f>_xlfn.XLOOKUP(RW_DT_PRODUCTION[[#This Row],[MATERIAL_ID]],DIM_MATERIAL[MATERIAL_ID],DIM_MATERIAL[UOM_AFTER_PROCESS])</f>
        <v>BALE</v>
      </c>
      <c r="E541">
        <v>70</v>
      </c>
    </row>
    <row r="542" spans="1:5" x14ac:dyDescent="0.2">
      <c r="A542" s="3">
        <v>45639</v>
      </c>
      <c r="B542" t="s">
        <v>1</v>
      </c>
      <c r="C542">
        <v>1</v>
      </c>
      <c r="D542" t="str">
        <f>_xlfn.XLOOKUP(RW_DT_PRODUCTION[[#This Row],[MATERIAL_ID]],DIM_MATERIAL[MATERIAL_ID],DIM_MATERIAL[UOM_AFTER_PROCESS])</f>
        <v>BALE</v>
      </c>
      <c r="E542">
        <v>75</v>
      </c>
    </row>
    <row r="543" spans="1:5" x14ac:dyDescent="0.2">
      <c r="A543" s="3">
        <v>45642</v>
      </c>
      <c r="B543" t="s">
        <v>1</v>
      </c>
      <c r="C543">
        <v>1</v>
      </c>
      <c r="D543" t="str">
        <f>_xlfn.XLOOKUP(RW_DT_PRODUCTION[[#This Row],[MATERIAL_ID]],DIM_MATERIAL[MATERIAL_ID],DIM_MATERIAL[UOM_AFTER_PROCESS])</f>
        <v>BALE</v>
      </c>
      <c r="E543">
        <v>85</v>
      </c>
    </row>
    <row r="544" spans="1:5" x14ac:dyDescent="0.2">
      <c r="A544" s="3">
        <v>45642</v>
      </c>
      <c r="B544" t="s">
        <v>1</v>
      </c>
      <c r="C544">
        <v>1</v>
      </c>
      <c r="D544" t="str">
        <f>_xlfn.XLOOKUP(RW_DT_PRODUCTION[[#This Row],[MATERIAL_ID]],DIM_MATERIAL[MATERIAL_ID],DIM_MATERIAL[UOM_AFTER_PROCESS])</f>
        <v>BALE</v>
      </c>
      <c r="E544">
        <v>63</v>
      </c>
    </row>
    <row r="545" spans="1:5" x14ac:dyDescent="0.2">
      <c r="A545" s="3">
        <v>45642</v>
      </c>
      <c r="B545" t="s">
        <v>1</v>
      </c>
      <c r="C545">
        <v>1</v>
      </c>
      <c r="D545" t="str">
        <f>_xlfn.XLOOKUP(RW_DT_PRODUCTION[[#This Row],[MATERIAL_ID]],DIM_MATERIAL[MATERIAL_ID],DIM_MATERIAL[UOM_AFTER_PROCESS])</f>
        <v>BALE</v>
      </c>
      <c r="E545">
        <v>71</v>
      </c>
    </row>
    <row r="546" spans="1:5" x14ac:dyDescent="0.2">
      <c r="A546" s="3">
        <v>45642</v>
      </c>
      <c r="B546" t="s">
        <v>1</v>
      </c>
      <c r="C546">
        <v>1</v>
      </c>
      <c r="D546" t="str">
        <f>_xlfn.XLOOKUP(RW_DT_PRODUCTION[[#This Row],[MATERIAL_ID]],DIM_MATERIAL[MATERIAL_ID],DIM_MATERIAL[UOM_AFTER_PROCESS])</f>
        <v>BALE</v>
      </c>
      <c r="E546">
        <v>66</v>
      </c>
    </row>
    <row r="547" spans="1:5" x14ac:dyDescent="0.2">
      <c r="A547" s="3">
        <v>45642</v>
      </c>
      <c r="B547" t="s">
        <v>1</v>
      </c>
      <c r="C547">
        <v>1</v>
      </c>
      <c r="D547" t="str">
        <f>_xlfn.XLOOKUP(RW_DT_PRODUCTION[[#This Row],[MATERIAL_ID]],DIM_MATERIAL[MATERIAL_ID],DIM_MATERIAL[UOM_AFTER_PROCESS])</f>
        <v>BALE</v>
      </c>
      <c r="E547">
        <v>81</v>
      </c>
    </row>
    <row r="548" spans="1:5" x14ac:dyDescent="0.2">
      <c r="A548" s="3">
        <v>45642</v>
      </c>
      <c r="B548" t="s">
        <v>1</v>
      </c>
      <c r="C548">
        <v>1</v>
      </c>
      <c r="D548" t="str">
        <f>_xlfn.XLOOKUP(RW_DT_PRODUCTION[[#This Row],[MATERIAL_ID]],DIM_MATERIAL[MATERIAL_ID],DIM_MATERIAL[UOM_AFTER_PROCESS])</f>
        <v>BALE</v>
      </c>
      <c r="E548">
        <v>84</v>
      </c>
    </row>
    <row r="549" spans="1:5" x14ac:dyDescent="0.2">
      <c r="A549" s="3">
        <v>45642</v>
      </c>
      <c r="B549" t="s">
        <v>1</v>
      </c>
      <c r="C549">
        <v>1</v>
      </c>
      <c r="D549" t="str">
        <f>_xlfn.XLOOKUP(RW_DT_PRODUCTION[[#This Row],[MATERIAL_ID]],DIM_MATERIAL[MATERIAL_ID],DIM_MATERIAL[UOM_AFTER_PROCESS])</f>
        <v>BALE</v>
      </c>
      <c r="E549">
        <v>76</v>
      </c>
    </row>
    <row r="550" spans="1:5" x14ac:dyDescent="0.2">
      <c r="A550" s="3">
        <v>45642</v>
      </c>
      <c r="B550" t="s">
        <v>1</v>
      </c>
      <c r="C550">
        <v>1</v>
      </c>
      <c r="D550" t="str">
        <f>_xlfn.XLOOKUP(RW_DT_PRODUCTION[[#This Row],[MATERIAL_ID]],DIM_MATERIAL[MATERIAL_ID],DIM_MATERIAL[UOM_AFTER_PROCESS])</f>
        <v>BALE</v>
      </c>
      <c r="E550">
        <v>86</v>
      </c>
    </row>
    <row r="551" spans="1:5" x14ac:dyDescent="0.2">
      <c r="A551" s="3">
        <v>45642</v>
      </c>
      <c r="B551" t="s">
        <v>2</v>
      </c>
      <c r="C551">
        <v>1</v>
      </c>
      <c r="D551" t="str">
        <f>_xlfn.XLOOKUP(RW_DT_PRODUCTION[[#This Row],[MATERIAL_ID]],DIM_MATERIAL[MATERIAL_ID],DIM_MATERIAL[UOM_AFTER_PROCESS])</f>
        <v>BAG</v>
      </c>
      <c r="E551">
        <v>22</v>
      </c>
    </row>
    <row r="552" spans="1:5" x14ac:dyDescent="0.2">
      <c r="A552" s="3">
        <v>45643</v>
      </c>
      <c r="B552" t="s">
        <v>1</v>
      </c>
      <c r="C552">
        <v>1</v>
      </c>
      <c r="D552" t="str">
        <f>_xlfn.XLOOKUP(RW_DT_PRODUCTION[[#This Row],[MATERIAL_ID]],DIM_MATERIAL[MATERIAL_ID],DIM_MATERIAL[UOM_AFTER_PROCESS])</f>
        <v>BALE</v>
      </c>
      <c r="E552">
        <v>83</v>
      </c>
    </row>
    <row r="553" spans="1:5" x14ac:dyDescent="0.2">
      <c r="A553" s="3">
        <v>45643</v>
      </c>
      <c r="B553" t="s">
        <v>1</v>
      </c>
      <c r="C553">
        <v>1</v>
      </c>
      <c r="D553" t="str">
        <f>_xlfn.XLOOKUP(RW_DT_PRODUCTION[[#This Row],[MATERIAL_ID]],DIM_MATERIAL[MATERIAL_ID],DIM_MATERIAL[UOM_AFTER_PROCESS])</f>
        <v>BALE</v>
      </c>
      <c r="E553">
        <v>80</v>
      </c>
    </row>
    <row r="554" spans="1:5" x14ac:dyDescent="0.2">
      <c r="A554" s="3">
        <v>45643</v>
      </c>
      <c r="B554" t="s">
        <v>1</v>
      </c>
      <c r="C554">
        <v>1</v>
      </c>
      <c r="D554" t="str">
        <f>_xlfn.XLOOKUP(RW_DT_PRODUCTION[[#This Row],[MATERIAL_ID]],DIM_MATERIAL[MATERIAL_ID],DIM_MATERIAL[UOM_AFTER_PROCESS])</f>
        <v>BALE</v>
      </c>
      <c r="E554">
        <v>62</v>
      </c>
    </row>
    <row r="555" spans="1:5" x14ac:dyDescent="0.2">
      <c r="A555" s="3">
        <v>45643</v>
      </c>
      <c r="B555" t="s">
        <v>1</v>
      </c>
      <c r="C555">
        <v>1</v>
      </c>
      <c r="D555" t="str">
        <f>_xlfn.XLOOKUP(RW_DT_PRODUCTION[[#This Row],[MATERIAL_ID]],DIM_MATERIAL[MATERIAL_ID],DIM_MATERIAL[UOM_AFTER_PROCESS])</f>
        <v>BALE</v>
      </c>
      <c r="E555">
        <v>72</v>
      </c>
    </row>
    <row r="556" spans="1:5" x14ac:dyDescent="0.2">
      <c r="A556" s="3">
        <v>45643</v>
      </c>
      <c r="B556" t="s">
        <v>1</v>
      </c>
      <c r="C556">
        <v>1</v>
      </c>
      <c r="D556" t="str">
        <f>_xlfn.XLOOKUP(RW_DT_PRODUCTION[[#This Row],[MATERIAL_ID]],DIM_MATERIAL[MATERIAL_ID],DIM_MATERIAL[UOM_AFTER_PROCESS])</f>
        <v>BALE</v>
      </c>
      <c r="E556">
        <v>76</v>
      </c>
    </row>
    <row r="557" spans="1:5" x14ac:dyDescent="0.2">
      <c r="A557" s="3">
        <v>45643</v>
      </c>
      <c r="B557" t="s">
        <v>1</v>
      </c>
      <c r="C557">
        <v>1</v>
      </c>
      <c r="D557" t="str">
        <f>_xlfn.XLOOKUP(RW_DT_PRODUCTION[[#This Row],[MATERIAL_ID]],DIM_MATERIAL[MATERIAL_ID],DIM_MATERIAL[UOM_AFTER_PROCESS])</f>
        <v>BALE</v>
      </c>
      <c r="E557">
        <v>72</v>
      </c>
    </row>
    <row r="558" spans="1:5" x14ac:dyDescent="0.2">
      <c r="A558" s="3">
        <v>45643</v>
      </c>
      <c r="B558" t="s">
        <v>1</v>
      </c>
      <c r="C558">
        <v>1</v>
      </c>
      <c r="D558" t="str">
        <f>_xlfn.XLOOKUP(RW_DT_PRODUCTION[[#This Row],[MATERIAL_ID]],DIM_MATERIAL[MATERIAL_ID],DIM_MATERIAL[UOM_AFTER_PROCESS])</f>
        <v>BALE</v>
      </c>
      <c r="E558">
        <v>72</v>
      </c>
    </row>
    <row r="559" spans="1:5" x14ac:dyDescent="0.2">
      <c r="A559" s="3">
        <v>45643</v>
      </c>
      <c r="B559" t="s">
        <v>2</v>
      </c>
      <c r="C559">
        <v>1</v>
      </c>
      <c r="D559" t="str">
        <f>_xlfn.XLOOKUP(RW_DT_PRODUCTION[[#This Row],[MATERIAL_ID]],DIM_MATERIAL[MATERIAL_ID],DIM_MATERIAL[UOM_AFTER_PROCESS])</f>
        <v>BAG</v>
      </c>
      <c r="E559">
        <v>22</v>
      </c>
    </row>
    <row r="560" spans="1:5" x14ac:dyDescent="0.2">
      <c r="A560" s="3">
        <v>45644</v>
      </c>
      <c r="B560" t="s">
        <v>1</v>
      </c>
      <c r="C560">
        <v>1</v>
      </c>
      <c r="D560" t="str">
        <f>_xlfn.XLOOKUP(RW_DT_PRODUCTION[[#This Row],[MATERIAL_ID]],DIM_MATERIAL[MATERIAL_ID],DIM_MATERIAL[UOM_AFTER_PROCESS])</f>
        <v>BALE</v>
      </c>
      <c r="E560">
        <v>63</v>
      </c>
    </row>
    <row r="561" spans="1:5" x14ac:dyDescent="0.2">
      <c r="A561" s="3">
        <v>45644</v>
      </c>
      <c r="B561" t="s">
        <v>1</v>
      </c>
      <c r="C561">
        <v>1</v>
      </c>
      <c r="D561" t="str">
        <f>_xlfn.XLOOKUP(RW_DT_PRODUCTION[[#This Row],[MATERIAL_ID]],DIM_MATERIAL[MATERIAL_ID],DIM_MATERIAL[UOM_AFTER_PROCESS])</f>
        <v>BALE</v>
      </c>
      <c r="E561">
        <v>75</v>
      </c>
    </row>
    <row r="562" spans="1:5" x14ac:dyDescent="0.2">
      <c r="A562" s="3">
        <v>45644</v>
      </c>
      <c r="B562" t="s">
        <v>1</v>
      </c>
      <c r="C562">
        <v>1</v>
      </c>
      <c r="D562" t="str">
        <f>_xlfn.XLOOKUP(RW_DT_PRODUCTION[[#This Row],[MATERIAL_ID]],DIM_MATERIAL[MATERIAL_ID],DIM_MATERIAL[UOM_AFTER_PROCESS])</f>
        <v>BALE</v>
      </c>
      <c r="E562">
        <v>87</v>
      </c>
    </row>
    <row r="563" spans="1:5" x14ac:dyDescent="0.2">
      <c r="A563" s="3">
        <v>45644</v>
      </c>
      <c r="B563" t="s">
        <v>1</v>
      </c>
      <c r="C563">
        <v>1</v>
      </c>
      <c r="D563" t="str">
        <f>_xlfn.XLOOKUP(RW_DT_PRODUCTION[[#This Row],[MATERIAL_ID]],DIM_MATERIAL[MATERIAL_ID],DIM_MATERIAL[UOM_AFTER_PROCESS])</f>
        <v>BALE</v>
      </c>
      <c r="E563">
        <v>73</v>
      </c>
    </row>
    <row r="564" spans="1:5" x14ac:dyDescent="0.2">
      <c r="A564" s="3">
        <v>45644</v>
      </c>
      <c r="B564" t="s">
        <v>1</v>
      </c>
      <c r="C564">
        <v>1</v>
      </c>
      <c r="D564" t="str">
        <f>_xlfn.XLOOKUP(RW_DT_PRODUCTION[[#This Row],[MATERIAL_ID]],DIM_MATERIAL[MATERIAL_ID],DIM_MATERIAL[UOM_AFTER_PROCESS])</f>
        <v>BALE</v>
      </c>
      <c r="E564">
        <v>77</v>
      </c>
    </row>
    <row r="565" spans="1:5" x14ac:dyDescent="0.2">
      <c r="A565" s="3">
        <v>45644</v>
      </c>
      <c r="B565" t="s">
        <v>1</v>
      </c>
      <c r="C565">
        <v>1</v>
      </c>
      <c r="D565" t="str">
        <f>_xlfn.XLOOKUP(RW_DT_PRODUCTION[[#This Row],[MATERIAL_ID]],DIM_MATERIAL[MATERIAL_ID],DIM_MATERIAL[UOM_AFTER_PROCESS])</f>
        <v>BALE</v>
      </c>
      <c r="E565">
        <v>69</v>
      </c>
    </row>
    <row r="566" spans="1:5" x14ac:dyDescent="0.2">
      <c r="A566" s="3">
        <v>45644</v>
      </c>
      <c r="B566" t="s">
        <v>1</v>
      </c>
      <c r="C566">
        <v>1</v>
      </c>
      <c r="D566" t="str">
        <f>_xlfn.XLOOKUP(RW_DT_PRODUCTION[[#This Row],[MATERIAL_ID]],DIM_MATERIAL[MATERIAL_ID],DIM_MATERIAL[UOM_AFTER_PROCESS])</f>
        <v>BALE</v>
      </c>
      <c r="E566">
        <v>68</v>
      </c>
    </row>
    <row r="567" spans="1:5" x14ac:dyDescent="0.2">
      <c r="A567" s="3">
        <v>45644</v>
      </c>
      <c r="B567" t="s">
        <v>1</v>
      </c>
      <c r="C567">
        <v>1</v>
      </c>
      <c r="D567" t="str">
        <f>_xlfn.XLOOKUP(RW_DT_PRODUCTION[[#This Row],[MATERIAL_ID]],DIM_MATERIAL[MATERIAL_ID],DIM_MATERIAL[UOM_AFTER_PROCESS])</f>
        <v>BALE</v>
      </c>
      <c r="E567">
        <v>80</v>
      </c>
    </row>
    <row r="568" spans="1:5" x14ac:dyDescent="0.2">
      <c r="A568" s="3">
        <v>45644</v>
      </c>
      <c r="B568" t="s">
        <v>1</v>
      </c>
      <c r="C568">
        <v>1</v>
      </c>
      <c r="D568" t="str">
        <f>_xlfn.XLOOKUP(RW_DT_PRODUCTION[[#This Row],[MATERIAL_ID]],DIM_MATERIAL[MATERIAL_ID],DIM_MATERIAL[UOM_AFTER_PROCESS])</f>
        <v>BALE</v>
      </c>
      <c r="E568">
        <v>75</v>
      </c>
    </row>
    <row r="569" spans="1:5" x14ac:dyDescent="0.2">
      <c r="A569" s="3">
        <v>45644</v>
      </c>
      <c r="B569" t="s">
        <v>1</v>
      </c>
      <c r="C569">
        <v>1</v>
      </c>
      <c r="D569" t="str">
        <f>_xlfn.XLOOKUP(RW_DT_PRODUCTION[[#This Row],[MATERIAL_ID]],DIM_MATERIAL[MATERIAL_ID],DIM_MATERIAL[UOM_AFTER_PROCESS])</f>
        <v>BALE</v>
      </c>
      <c r="E569">
        <v>75</v>
      </c>
    </row>
    <row r="570" spans="1:5" x14ac:dyDescent="0.2">
      <c r="A570" s="3">
        <v>45644</v>
      </c>
      <c r="B570" t="s">
        <v>1</v>
      </c>
      <c r="C570">
        <v>1</v>
      </c>
      <c r="D570" t="str">
        <f>_xlfn.XLOOKUP(RW_DT_PRODUCTION[[#This Row],[MATERIAL_ID]],DIM_MATERIAL[MATERIAL_ID],DIM_MATERIAL[UOM_AFTER_PROCESS])</f>
        <v>BALE</v>
      </c>
      <c r="E570">
        <v>78</v>
      </c>
    </row>
    <row r="571" spans="1:5" x14ac:dyDescent="0.2">
      <c r="A571" s="1">
        <v>45645</v>
      </c>
      <c r="B571" t="s">
        <v>1</v>
      </c>
      <c r="C571">
        <v>1</v>
      </c>
      <c r="D571" t="str">
        <f>_xlfn.XLOOKUP(RW_DT_PRODUCTION[[#This Row],[MATERIAL_ID]],DIM_MATERIAL[MATERIAL_ID],DIM_MATERIAL[UOM_AFTER_PROCESS])</f>
        <v>BALE</v>
      </c>
      <c r="E571">
        <v>60</v>
      </c>
    </row>
    <row r="572" spans="1:5" x14ac:dyDescent="0.2">
      <c r="A572" s="3">
        <v>45645</v>
      </c>
      <c r="B572" t="s">
        <v>1</v>
      </c>
      <c r="C572">
        <v>1</v>
      </c>
      <c r="D572" t="str">
        <f>_xlfn.XLOOKUP(RW_DT_PRODUCTION[[#This Row],[MATERIAL_ID]],DIM_MATERIAL[MATERIAL_ID],DIM_MATERIAL[UOM_AFTER_PROCESS])</f>
        <v>BALE</v>
      </c>
      <c r="E572">
        <v>70</v>
      </c>
    </row>
    <row r="573" spans="1:5" x14ac:dyDescent="0.2">
      <c r="A573" s="3">
        <v>45645</v>
      </c>
      <c r="B573" t="s">
        <v>1</v>
      </c>
      <c r="C573">
        <v>1</v>
      </c>
      <c r="D573" t="str">
        <f>_xlfn.XLOOKUP(RW_DT_PRODUCTION[[#This Row],[MATERIAL_ID]],DIM_MATERIAL[MATERIAL_ID],DIM_MATERIAL[UOM_AFTER_PROCESS])</f>
        <v>BALE</v>
      </c>
      <c r="E573">
        <v>76</v>
      </c>
    </row>
    <row r="574" spans="1:5" x14ac:dyDescent="0.2">
      <c r="A574" s="3">
        <v>45645</v>
      </c>
      <c r="B574" t="s">
        <v>1</v>
      </c>
      <c r="C574">
        <v>1</v>
      </c>
      <c r="D574" t="str">
        <f>_xlfn.XLOOKUP(RW_DT_PRODUCTION[[#This Row],[MATERIAL_ID]],DIM_MATERIAL[MATERIAL_ID],DIM_MATERIAL[UOM_AFTER_PROCESS])</f>
        <v>BALE</v>
      </c>
      <c r="E574">
        <v>81</v>
      </c>
    </row>
    <row r="575" spans="1:5" x14ac:dyDescent="0.2">
      <c r="A575" s="3">
        <v>45645</v>
      </c>
      <c r="B575" t="s">
        <v>1</v>
      </c>
      <c r="C575">
        <v>1</v>
      </c>
      <c r="D575" t="str">
        <f>_xlfn.XLOOKUP(RW_DT_PRODUCTION[[#This Row],[MATERIAL_ID]],DIM_MATERIAL[MATERIAL_ID],DIM_MATERIAL[UOM_AFTER_PROCESS])</f>
        <v>BALE</v>
      </c>
      <c r="E575">
        <v>79</v>
      </c>
    </row>
    <row r="576" spans="1:5" x14ac:dyDescent="0.2">
      <c r="A576" s="3">
        <v>45645</v>
      </c>
      <c r="B576" t="s">
        <v>1</v>
      </c>
      <c r="C576">
        <v>1</v>
      </c>
      <c r="D576" t="str">
        <f>_xlfn.XLOOKUP(RW_DT_PRODUCTION[[#This Row],[MATERIAL_ID]],DIM_MATERIAL[MATERIAL_ID],DIM_MATERIAL[UOM_AFTER_PROCESS])</f>
        <v>BALE</v>
      </c>
      <c r="E576">
        <v>82</v>
      </c>
    </row>
    <row r="577" spans="1:5" x14ac:dyDescent="0.2">
      <c r="A577" s="3">
        <v>45645</v>
      </c>
      <c r="B577" t="s">
        <v>1</v>
      </c>
      <c r="C577">
        <v>1</v>
      </c>
      <c r="D577" t="str">
        <f>_xlfn.XLOOKUP(RW_DT_PRODUCTION[[#This Row],[MATERIAL_ID]],DIM_MATERIAL[MATERIAL_ID],DIM_MATERIAL[UOM_AFTER_PROCESS])</f>
        <v>BALE</v>
      </c>
      <c r="E577">
        <v>64</v>
      </c>
    </row>
    <row r="578" spans="1:5" x14ac:dyDescent="0.2">
      <c r="A578" s="3">
        <v>45645</v>
      </c>
      <c r="B578" t="s">
        <v>1</v>
      </c>
      <c r="C578">
        <v>1</v>
      </c>
      <c r="D578" t="str">
        <f>_xlfn.XLOOKUP(RW_DT_PRODUCTION[[#This Row],[MATERIAL_ID]],DIM_MATERIAL[MATERIAL_ID],DIM_MATERIAL[UOM_AFTER_PROCESS])</f>
        <v>BALE</v>
      </c>
      <c r="E578">
        <v>69</v>
      </c>
    </row>
    <row r="579" spans="1:5" x14ac:dyDescent="0.2">
      <c r="A579" s="3">
        <v>45645</v>
      </c>
      <c r="B579" t="s">
        <v>1</v>
      </c>
      <c r="C579">
        <v>1</v>
      </c>
      <c r="D579" t="str">
        <f>_xlfn.XLOOKUP(RW_DT_PRODUCTION[[#This Row],[MATERIAL_ID]],DIM_MATERIAL[MATERIAL_ID],DIM_MATERIAL[UOM_AFTER_PROCESS])</f>
        <v>BALE</v>
      </c>
      <c r="E579">
        <v>67</v>
      </c>
    </row>
    <row r="580" spans="1:5" x14ac:dyDescent="0.2">
      <c r="A580" s="3">
        <v>45645</v>
      </c>
      <c r="B580" t="s">
        <v>1</v>
      </c>
      <c r="C580">
        <v>1</v>
      </c>
      <c r="D580" t="str">
        <f>_xlfn.XLOOKUP(RW_DT_PRODUCTION[[#This Row],[MATERIAL_ID]],DIM_MATERIAL[MATERIAL_ID],DIM_MATERIAL[UOM_AFTER_PROCESS])</f>
        <v>BALE</v>
      </c>
      <c r="E580">
        <v>84</v>
      </c>
    </row>
    <row r="581" spans="1:5" x14ac:dyDescent="0.2">
      <c r="A581" s="3">
        <v>45645</v>
      </c>
      <c r="B581" t="s">
        <v>1</v>
      </c>
      <c r="C581">
        <v>1</v>
      </c>
      <c r="D581" t="str">
        <f>_xlfn.XLOOKUP(RW_DT_PRODUCTION[[#This Row],[MATERIAL_ID]],DIM_MATERIAL[MATERIAL_ID],DIM_MATERIAL[UOM_AFTER_PROCESS])</f>
        <v>BALE</v>
      </c>
      <c r="E581">
        <v>75</v>
      </c>
    </row>
    <row r="582" spans="1:5" x14ac:dyDescent="0.2">
      <c r="A582" s="3">
        <v>45645</v>
      </c>
      <c r="B582" t="s">
        <v>1</v>
      </c>
      <c r="C582">
        <v>1</v>
      </c>
      <c r="D582" t="str">
        <f>_xlfn.XLOOKUP(RW_DT_PRODUCTION[[#This Row],[MATERIAL_ID]],DIM_MATERIAL[MATERIAL_ID],DIM_MATERIAL[UOM_AFTER_PROCESS])</f>
        <v>BALE</v>
      </c>
      <c r="E582">
        <v>87</v>
      </c>
    </row>
    <row r="583" spans="1:5" x14ac:dyDescent="0.2">
      <c r="A583" s="3">
        <v>45646</v>
      </c>
      <c r="B583" t="s">
        <v>1</v>
      </c>
      <c r="C583">
        <v>1</v>
      </c>
      <c r="D583" t="str">
        <f>_xlfn.XLOOKUP(RW_DT_PRODUCTION[[#This Row],[MATERIAL_ID]],DIM_MATERIAL[MATERIAL_ID],DIM_MATERIAL[UOM_AFTER_PROCESS])</f>
        <v>BALE</v>
      </c>
      <c r="E583">
        <v>72</v>
      </c>
    </row>
    <row r="584" spans="1:5" x14ac:dyDescent="0.2">
      <c r="A584" s="3">
        <v>45646</v>
      </c>
      <c r="B584" t="s">
        <v>1</v>
      </c>
      <c r="C584">
        <v>1</v>
      </c>
      <c r="D584" t="str">
        <f>_xlfn.XLOOKUP(RW_DT_PRODUCTION[[#This Row],[MATERIAL_ID]],DIM_MATERIAL[MATERIAL_ID],DIM_MATERIAL[UOM_AFTER_PROCESS])</f>
        <v>BALE</v>
      </c>
      <c r="E584">
        <v>67</v>
      </c>
    </row>
    <row r="585" spans="1:5" x14ac:dyDescent="0.2">
      <c r="A585" s="3">
        <v>45646</v>
      </c>
      <c r="B585" t="s">
        <v>1</v>
      </c>
      <c r="C585">
        <v>1</v>
      </c>
      <c r="D585" t="str">
        <f>_xlfn.XLOOKUP(RW_DT_PRODUCTION[[#This Row],[MATERIAL_ID]],DIM_MATERIAL[MATERIAL_ID],DIM_MATERIAL[UOM_AFTER_PROCESS])</f>
        <v>BALE</v>
      </c>
      <c r="E585">
        <v>75</v>
      </c>
    </row>
    <row r="586" spans="1:5" x14ac:dyDescent="0.2">
      <c r="A586" s="3">
        <v>45646</v>
      </c>
      <c r="B586" t="s">
        <v>1</v>
      </c>
      <c r="C586">
        <v>1</v>
      </c>
      <c r="D586" t="str">
        <f>_xlfn.XLOOKUP(RW_DT_PRODUCTION[[#This Row],[MATERIAL_ID]],DIM_MATERIAL[MATERIAL_ID],DIM_MATERIAL[UOM_AFTER_PROCESS])</f>
        <v>BALE</v>
      </c>
      <c r="E586">
        <v>80</v>
      </c>
    </row>
    <row r="587" spans="1:5" x14ac:dyDescent="0.2">
      <c r="A587" s="3">
        <v>45646</v>
      </c>
      <c r="B587" t="s">
        <v>1</v>
      </c>
      <c r="C587">
        <v>1</v>
      </c>
      <c r="D587" t="str">
        <f>_xlfn.XLOOKUP(RW_DT_PRODUCTION[[#This Row],[MATERIAL_ID]],DIM_MATERIAL[MATERIAL_ID],DIM_MATERIAL[UOM_AFTER_PROCESS])</f>
        <v>BALE</v>
      </c>
      <c r="E587">
        <v>67</v>
      </c>
    </row>
    <row r="588" spans="1:5" x14ac:dyDescent="0.2">
      <c r="A588" s="3">
        <v>45646</v>
      </c>
      <c r="B588" t="s">
        <v>1</v>
      </c>
      <c r="C588">
        <v>1</v>
      </c>
      <c r="D588" t="str">
        <f>_xlfn.XLOOKUP(RW_DT_PRODUCTION[[#This Row],[MATERIAL_ID]],DIM_MATERIAL[MATERIAL_ID],DIM_MATERIAL[UOM_AFTER_PROCESS])</f>
        <v>BALE</v>
      </c>
      <c r="E588">
        <v>75</v>
      </c>
    </row>
    <row r="589" spans="1:5" x14ac:dyDescent="0.2">
      <c r="A589" s="3">
        <v>45646</v>
      </c>
      <c r="B589" t="s">
        <v>1</v>
      </c>
      <c r="C589">
        <v>1</v>
      </c>
      <c r="D589" t="str">
        <f>_xlfn.XLOOKUP(RW_DT_PRODUCTION[[#This Row],[MATERIAL_ID]],DIM_MATERIAL[MATERIAL_ID],DIM_MATERIAL[UOM_AFTER_PROCESS])</f>
        <v>BALE</v>
      </c>
      <c r="E589">
        <v>83</v>
      </c>
    </row>
    <row r="590" spans="1:5" x14ac:dyDescent="0.2">
      <c r="A590" s="3">
        <v>45646</v>
      </c>
      <c r="B590" t="s">
        <v>1</v>
      </c>
      <c r="C590">
        <v>1</v>
      </c>
      <c r="D590" t="str">
        <f>_xlfn.XLOOKUP(RW_DT_PRODUCTION[[#This Row],[MATERIAL_ID]],DIM_MATERIAL[MATERIAL_ID],DIM_MATERIAL[UOM_AFTER_PROCESS])</f>
        <v>BALE</v>
      </c>
      <c r="E590">
        <v>86</v>
      </c>
    </row>
    <row r="591" spans="1:5" x14ac:dyDescent="0.2">
      <c r="A591" s="3">
        <v>45646</v>
      </c>
      <c r="B591" t="s">
        <v>1</v>
      </c>
      <c r="C591">
        <v>1</v>
      </c>
      <c r="D591" t="str">
        <f>_xlfn.XLOOKUP(RW_DT_PRODUCTION[[#This Row],[MATERIAL_ID]],DIM_MATERIAL[MATERIAL_ID],DIM_MATERIAL[UOM_AFTER_PROCESS])</f>
        <v>BALE</v>
      </c>
      <c r="E591">
        <v>67</v>
      </c>
    </row>
    <row r="592" spans="1:5" x14ac:dyDescent="0.2">
      <c r="A592" s="3">
        <v>45646</v>
      </c>
      <c r="B592" t="s">
        <v>1</v>
      </c>
      <c r="C592">
        <v>1</v>
      </c>
      <c r="D592" t="str">
        <f>_xlfn.XLOOKUP(RW_DT_PRODUCTION[[#This Row],[MATERIAL_ID]],DIM_MATERIAL[MATERIAL_ID],DIM_MATERIAL[UOM_AFTER_PROCESS])</f>
        <v>BALE</v>
      </c>
      <c r="E592">
        <v>71</v>
      </c>
    </row>
    <row r="593" spans="1:5" x14ac:dyDescent="0.2">
      <c r="A593" s="3">
        <v>45646</v>
      </c>
      <c r="B593" t="s">
        <v>1</v>
      </c>
      <c r="C593">
        <v>1</v>
      </c>
      <c r="D593" t="str">
        <f>_xlfn.XLOOKUP(RW_DT_PRODUCTION[[#This Row],[MATERIAL_ID]],DIM_MATERIAL[MATERIAL_ID],DIM_MATERIAL[UOM_AFTER_PROCESS])</f>
        <v>BALE</v>
      </c>
      <c r="E593">
        <v>69</v>
      </c>
    </row>
    <row r="594" spans="1:5" x14ac:dyDescent="0.2">
      <c r="A594" s="3">
        <v>45646</v>
      </c>
      <c r="B594" t="s">
        <v>1</v>
      </c>
      <c r="C594">
        <v>1</v>
      </c>
      <c r="D594" t="str">
        <f>_xlfn.XLOOKUP(RW_DT_PRODUCTION[[#This Row],[MATERIAL_ID]],DIM_MATERIAL[MATERIAL_ID],DIM_MATERIAL[UOM_AFTER_PROCESS])</f>
        <v>BALE</v>
      </c>
      <c r="E594">
        <v>61</v>
      </c>
    </row>
    <row r="595" spans="1:5" x14ac:dyDescent="0.2">
      <c r="A595" s="3">
        <v>45646</v>
      </c>
      <c r="B595" t="s">
        <v>1</v>
      </c>
      <c r="C595">
        <v>1</v>
      </c>
      <c r="D595" t="str">
        <f>_xlfn.XLOOKUP(RW_DT_PRODUCTION[[#This Row],[MATERIAL_ID]],DIM_MATERIAL[MATERIAL_ID],DIM_MATERIAL[UOM_AFTER_PROCESS])</f>
        <v>BALE</v>
      </c>
      <c r="E595">
        <v>72</v>
      </c>
    </row>
    <row r="596" spans="1:5" x14ac:dyDescent="0.2">
      <c r="A596" s="3">
        <v>45646</v>
      </c>
      <c r="B596" t="s">
        <v>1</v>
      </c>
      <c r="C596">
        <v>1</v>
      </c>
      <c r="D596" t="str">
        <f>_xlfn.XLOOKUP(RW_DT_PRODUCTION[[#This Row],[MATERIAL_ID]],DIM_MATERIAL[MATERIAL_ID],DIM_MATERIAL[UOM_AFTER_PROCESS])</f>
        <v>BALE</v>
      </c>
      <c r="E596">
        <v>70</v>
      </c>
    </row>
    <row r="597" spans="1:5" x14ac:dyDescent="0.2">
      <c r="A597" s="3">
        <v>45646</v>
      </c>
      <c r="B597" t="s">
        <v>1</v>
      </c>
      <c r="C597">
        <v>1</v>
      </c>
      <c r="D597" t="str">
        <f>_xlfn.XLOOKUP(RW_DT_PRODUCTION[[#This Row],[MATERIAL_ID]],DIM_MATERIAL[MATERIAL_ID],DIM_MATERIAL[UOM_AFTER_PROCESS])</f>
        <v>BALE</v>
      </c>
      <c r="E597">
        <v>87</v>
      </c>
    </row>
    <row r="598" spans="1:5" x14ac:dyDescent="0.2">
      <c r="A598" s="3">
        <v>45650</v>
      </c>
      <c r="B598" t="s">
        <v>1</v>
      </c>
      <c r="C598">
        <v>1</v>
      </c>
      <c r="D598" t="str">
        <f>_xlfn.XLOOKUP(RW_DT_PRODUCTION[[#This Row],[MATERIAL_ID]],DIM_MATERIAL[MATERIAL_ID],DIM_MATERIAL[UOM_AFTER_PROCESS])</f>
        <v>BALE</v>
      </c>
      <c r="E598">
        <v>63</v>
      </c>
    </row>
    <row r="599" spans="1:5" x14ac:dyDescent="0.2">
      <c r="A599" s="3">
        <v>45650</v>
      </c>
      <c r="B599" t="s">
        <v>1</v>
      </c>
      <c r="C599">
        <v>1</v>
      </c>
      <c r="D599" t="str">
        <f>_xlfn.XLOOKUP(RW_DT_PRODUCTION[[#This Row],[MATERIAL_ID]],DIM_MATERIAL[MATERIAL_ID],DIM_MATERIAL[UOM_AFTER_PROCESS])</f>
        <v>BALE</v>
      </c>
      <c r="E599">
        <v>65</v>
      </c>
    </row>
    <row r="600" spans="1:5" x14ac:dyDescent="0.2">
      <c r="A600" s="3">
        <v>45650</v>
      </c>
      <c r="B600" t="s">
        <v>1</v>
      </c>
      <c r="C600">
        <v>1</v>
      </c>
      <c r="D600" t="str">
        <f>_xlfn.XLOOKUP(RW_DT_PRODUCTION[[#This Row],[MATERIAL_ID]],DIM_MATERIAL[MATERIAL_ID],DIM_MATERIAL[UOM_AFTER_PROCESS])</f>
        <v>BALE</v>
      </c>
      <c r="E600">
        <v>70</v>
      </c>
    </row>
    <row r="601" spans="1:5" x14ac:dyDescent="0.2">
      <c r="A601" s="3">
        <v>45650</v>
      </c>
      <c r="B601" t="s">
        <v>1</v>
      </c>
      <c r="C601">
        <v>1</v>
      </c>
      <c r="D601" t="str">
        <f>_xlfn.XLOOKUP(RW_DT_PRODUCTION[[#This Row],[MATERIAL_ID]],DIM_MATERIAL[MATERIAL_ID],DIM_MATERIAL[UOM_AFTER_PROCESS])</f>
        <v>BALE</v>
      </c>
      <c r="E601">
        <v>65</v>
      </c>
    </row>
    <row r="602" spans="1:5" x14ac:dyDescent="0.2">
      <c r="A602" s="3">
        <v>45650</v>
      </c>
      <c r="B602" t="s">
        <v>1</v>
      </c>
      <c r="C602">
        <v>1</v>
      </c>
      <c r="D602" t="str">
        <f>_xlfn.XLOOKUP(RW_DT_PRODUCTION[[#This Row],[MATERIAL_ID]],DIM_MATERIAL[MATERIAL_ID],DIM_MATERIAL[UOM_AFTER_PROCESS])</f>
        <v>BALE</v>
      </c>
      <c r="E602">
        <v>87</v>
      </c>
    </row>
    <row r="603" spans="1:5" x14ac:dyDescent="0.2">
      <c r="A603" s="3">
        <v>45650</v>
      </c>
      <c r="B603" t="s">
        <v>1</v>
      </c>
      <c r="C603">
        <v>1</v>
      </c>
      <c r="D603" t="str">
        <f>_xlfn.XLOOKUP(RW_DT_PRODUCTION[[#This Row],[MATERIAL_ID]],DIM_MATERIAL[MATERIAL_ID],DIM_MATERIAL[UOM_AFTER_PROCESS])</f>
        <v>BALE</v>
      </c>
      <c r="E603">
        <v>73</v>
      </c>
    </row>
    <row r="604" spans="1:5" x14ac:dyDescent="0.2">
      <c r="A604" s="3">
        <v>45652</v>
      </c>
      <c r="B604" t="s">
        <v>1</v>
      </c>
      <c r="C604">
        <v>1</v>
      </c>
      <c r="D604" t="str">
        <f>_xlfn.XLOOKUP(RW_DT_PRODUCTION[[#This Row],[MATERIAL_ID]],DIM_MATERIAL[MATERIAL_ID],DIM_MATERIAL[UOM_AFTER_PROCESS])</f>
        <v>BALE</v>
      </c>
      <c r="E604">
        <v>68</v>
      </c>
    </row>
    <row r="605" spans="1:5" x14ac:dyDescent="0.2">
      <c r="A605" s="3">
        <v>45652</v>
      </c>
      <c r="B605" t="s">
        <v>1</v>
      </c>
      <c r="C605">
        <v>1</v>
      </c>
      <c r="D605" t="str">
        <f>_xlfn.XLOOKUP(RW_DT_PRODUCTION[[#This Row],[MATERIAL_ID]],DIM_MATERIAL[MATERIAL_ID],DIM_MATERIAL[UOM_AFTER_PROCESS])</f>
        <v>BALE</v>
      </c>
      <c r="E605">
        <v>85</v>
      </c>
    </row>
    <row r="606" spans="1:5" x14ac:dyDescent="0.2">
      <c r="A606" s="3">
        <v>45652</v>
      </c>
      <c r="B606" t="s">
        <v>1</v>
      </c>
      <c r="C606">
        <v>1</v>
      </c>
      <c r="D606" t="str">
        <f>_xlfn.XLOOKUP(RW_DT_PRODUCTION[[#This Row],[MATERIAL_ID]],DIM_MATERIAL[MATERIAL_ID],DIM_MATERIAL[UOM_AFTER_PROCESS])</f>
        <v>BALE</v>
      </c>
      <c r="E606">
        <v>64</v>
      </c>
    </row>
    <row r="607" spans="1:5" x14ac:dyDescent="0.2">
      <c r="A607" s="3">
        <v>45652</v>
      </c>
      <c r="B607" t="s">
        <v>1</v>
      </c>
      <c r="C607">
        <v>1</v>
      </c>
      <c r="D607" t="str">
        <f>_xlfn.XLOOKUP(RW_DT_PRODUCTION[[#This Row],[MATERIAL_ID]],DIM_MATERIAL[MATERIAL_ID],DIM_MATERIAL[UOM_AFTER_PROCESS])</f>
        <v>BALE</v>
      </c>
      <c r="E607">
        <v>70</v>
      </c>
    </row>
    <row r="608" spans="1:5" x14ac:dyDescent="0.2">
      <c r="A608" s="3">
        <v>45652</v>
      </c>
      <c r="B608" t="s">
        <v>1</v>
      </c>
      <c r="C608">
        <v>1</v>
      </c>
      <c r="D608" t="str">
        <f>_xlfn.XLOOKUP(RW_DT_PRODUCTION[[#This Row],[MATERIAL_ID]],DIM_MATERIAL[MATERIAL_ID],DIM_MATERIAL[UOM_AFTER_PROCESS])</f>
        <v>BALE</v>
      </c>
      <c r="E608">
        <v>63</v>
      </c>
    </row>
    <row r="609" spans="1:5" x14ac:dyDescent="0.2">
      <c r="A609" s="3">
        <v>45652</v>
      </c>
      <c r="B609" t="s">
        <v>1</v>
      </c>
      <c r="C609">
        <v>1</v>
      </c>
      <c r="D609" t="str">
        <f>_xlfn.XLOOKUP(RW_DT_PRODUCTION[[#This Row],[MATERIAL_ID]],DIM_MATERIAL[MATERIAL_ID],DIM_MATERIAL[UOM_AFTER_PROCESS])</f>
        <v>BALE</v>
      </c>
      <c r="E609">
        <v>84</v>
      </c>
    </row>
    <row r="610" spans="1:5" x14ac:dyDescent="0.2">
      <c r="A610" s="3">
        <v>45652</v>
      </c>
      <c r="B610" t="s">
        <v>1</v>
      </c>
      <c r="C610">
        <v>1</v>
      </c>
      <c r="D610" t="str">
        <f>_xlfn.XLOOKUP(RW_DT_PRODUCTION[[#This Row],[MATERIAL_ID]],DIM_MATERIAL[MATERIAL_ID],DIM_MATERIAL[UOM_AFTER_PROCESS])</f>
        <v>BALE</v>
      </c>
      <c r="E610">
        <v>65</v>
      </c>
    </row>
    <row r="611" spans="1:5" x14ac:dyDescent="0.2">
      <c r="A611" s="3">
        <v>45652</v>
      </c>
      <c r="B611" t="s">
        <v>1</v>
      </c>
      <c r="C611">
        <v>1</v>
      </c>
      <c r="D611" t="str">
        <f>_xlfn.XLOOKUP(RW_DT_PRODUCTION[[#This Row],[MATERIAL_ID]],DIM_MATERIAL[MATERIAL_ID],DIM_MATERIAL[UOM_AFTER_PROCESS])</f>
        <v>BALE</v>
      </c>
      <c r="E611">
        <v>73</v>
      </c>
    </row>
    <row r="612" spans="1:5" x14ac:dyDescent="0.2">
      <c r="A612" s="3">
        <v>45652</v>
      </c>
      <c r="B612" t="s">
        <v>1</v>
      </c>
      <c r="C612">
        <v>1</v>
      </c>
      <c r="D612" t="str">
        <f>_xlfn.XLOOKUP(RW_DT_PRODUCTION[[#This Row],[MATERIAL_ID]],DIM_MATERIAL[MATERIAL_ID],DIM_MATERIAL[UOM_AFTER_PROCESS])</f>
        <v>BALE</v>
      </c>
      <c r="E612">
        <v>88</v>
      </c>
    </row>
    <row r="613" spans="1:5" x14ac:dyDescent="0.2">
      <c r="A613" s="3">
        <v>45652</v>
      </c>
      <c r="B613" t="s">
        <v>1</v>
      </c>
      <c r="C613">
        <v>1</v>
      </c>
      <c r="D613" t="str">
        <f>_xlfn.XLOOKUP(RW_DT_PRODUCTION[[#This Row],[MATERIAL_ID]],DIM_MATERIAL[MATERIAL_ID],DIM_MATERIAL[UOM_AFTER_PROCESS])</f>
        <v>BALE</v>
      </c>
      <c r="E613">
        <v>69</v>
      </c>
    </row>
    <row r="614" spans="1:5" x14ac:dyDescent="0.2">
      <c r="A614" s="3">
        <v>45652</v>
      </c>
      <c r="B614" t="s">
        <v>1</v>
      </c>
      <c r="C614">
        <v>1</v>
      </c>
      <c r="D614" t="str">
        <f>_xlfn.XLOOKUP(RW_DT_PRODUCTION[[#This Row],[MATERIAL_ID]],DIM_MATERIAL[MATERIAL_ID],DIM_MATERIAL[UOM_AFTER_PROCESS])</f>
        <v>BALE</v>
      </c>
      <c r="E614">
        <v>74</v>
      </c>
    </row>
    <row r="615" spans="1:5" x14ac:dyDescent="0.2">
      <c r="A615" s="3">
        <v>45652</v>
      </c>
      <c r="B615" t="s">
        <v>2</v>
      </c>
      <c r="C615">
        <v>1</v>
      </c>
      <c r="D615" t="str">
        <f>_xlfn.XLOOKUP(RW_DT_PRODUCTION[[#This Row],[MATERIAL_ID]],DIM_MATERIAL[MATERIAL_ID],DIM_MATERIAL[UOM_AFTER_PROCESS])</f>
        <v>BAG</v>
      </c>
      <c r="E615">
        <v>22</v>
      </c>
    </row>
    <row r="616" spans="1:5" x14ac:dyDescent="0.2">
      <c r="A616" s="3">
        <v>45653</v>
      </c>
      <c r="B616" t="s">
        <v>1</v>
      </c>
      <c r="C616">
        <v>1</v>
      </c>
      <c r="D616" t="str">
        <f>_xlfn.XLOOKUP(RW_DT_PRODUCTION[[#This Row],[MATERIAL_ID]],DIM_MATERIAL[MATERIAL_ID],DIM_MATERIAL[UOM_AFTER_PROCESS])</f>
        <v>BALE</v>
      </c>
      <c r="E616">
        <v>78</v>
      </c>
    </row>
    <row r="617" spans="1:5" x14ac:dyDescent="0.2">
      <c r="A617" s="3">
        <v>45653</v>
      </c>
      <c r="B617" t="s">
        <v>1</v>
      </c>
      <c r="C617">
        <v>1</v>
      </c>
      <c r="D617" t="str">
        <f>_xlfn.XLOOKUP(RW_DT_PRODUCTION[[#This Row],[MATERIAL_ID]],DIM_MATERIAL[MATERIAL_ID],DIM_MATERIAL[UOM_AFTER_PROCESS])</f>
        <v>BALE</v>
      </c>
      <c r="E617">
        <v>85</v>
      </c>
    </row>
    <row r="618" spans="1:5" x14ac:dyDescent="0.2">
      <c r="A618" s="3">
        <v>45653</v>
      </c>
      <c r="B618" t="s">
        <v>1</v>
      </c>
      <c r="C618">
        <v>1</v>
      </c>
      <c r="D618" t="str">
        <f>_xlfn.XLOOKUP(RW_DT_PRODUCTION[[#This Row],[MATERIAL_ID]],DIM_MATERIAL[MATERIAL_ID],DIM_MATERIAL[UOM_AFTER_PROCESS])</f>
        <v>BALE</v>
      </c>
      <c r="E618">
        <v>62</v>
      </c>
    </row>
    <row r="619" spans="1:5" x14ac:dyDescent="0.2">
      <c r="A619" s="3">
        <v>45653</v>
      </c>
      <c r="B619" t="s">
        <v>1</v>
      </c>
      <c r="C619">
        <v>1</v>
      </c>
      <c r="D619" t="str">
        <f>_xlfn.XLOOKUP(RW_DT_PRODUCTION[[#This Row],[MATERIAL_ID]],DIM_MATERIAL[MATERIAL_ID],DIM_MATERIAL[UOM_AFTER_PROCESS])</f>
        <v>BALE</v>
      </c>
      <c r="E619">
        <v>80</v>
      </c>
    </row>
    <row r="620" spans="1:5" x14ac:dyDescent="0.2">
      <c r="A620" s="3">
        <v>45653</v>
      </c>
      <c r="B620" t="s">
        <v>1</v>
      </c>
      <c r="C620">
        <v>1</v>
      </c>
      <c r="D620" t="str">
        <f>_xlfn.XLOOKUP(RW_DT_PRODUCTION[[#This Row],[MATERIAL_ID]],DIM_MATERIAL[MATERIAL_ID],DIM_MATERIAL[UOM_AFTER_PROCESS])</f>
        <v>BALE</v>
      </c>
      <c r="E620">
        <v>63</v>
      </c>
    </row>
    <row r="621" spans="1:5" x14ac:dyDescent="0.2">
      <c r="A621" s="3">
        <v>45653</v>
      </c>
      <c r="B621" t="s">
        <v>1</v>
      </c>
      <c r="C621">
        <v>1</v>
      </c>
      <c r="D621" t="str">
        <f>_xlfn.XLOOKUP(RW_DT_PRODUCTION[[#This Row],[MATERIAL_ID]],DIM_MATERIAL[MATERIAL_ID],DIM_MATERIAL[UOM_AFTER_PROCESS])</f>
        <v>BALE</v>
      </c>
      <c r="E621">
        <v>84</v>
      </c>
    </row>
    <row r="622" spans="1:5" x14ac:dyDescent="0.2">
      <c r="A622" s="3">
        <v>45653</v>
      </c>
      <c r="B622" t="s">
        <v>1</v>
      </c>
      <c r="C622">
        <v>1</v>
      </c>
      <c r="D622" t="str">
        <f>_xlfn.XLOOKUP(RW_DT_PRODUCTION[[#This Row],[MATERIAL_ID]],DIM_MATERIAL[MATERIAL_ID],DIM_MATERIAL[UOM_AFTER_PROCESS])</f>
        <v>BALE</v>
      </c>
      <c r="E622">
        <v>65</v>
      </c>
    </row>
    <row r="623" spans="1:5" x14ac:dyDescent="0.2">
      <c r="A623" s="3">
        <v>45653</v>
      </c>
      <c r="B623" t="s">
        <v>1</v>
      </c>
      <c r="C623">
        <v>1</v>
      </c>
      <c r="D623" t="str">
        <f>_xlfn.XLOOKUP(RW_DT_PRODUCTION[[#This Row],[MATERIAL_ID]],DIM_MATERIAL[MATERIAL_ID],DIM_MATERIAL[UOM_AFTER_PROCESS])</f>
        <v>BALE</v>
      </c>
      <c r="E623">
        <v>74</v>
      </c>
    </row>
    <row r="624" spans="1:5" x14ac:dyDescent="0.2">
      <c r="A624" s="3">
        <v>45653</v>
      </c>
      <c r="B624" t="s">
        <v>1</v>
      </c>
      <c r="C624">
        <v>1</v>
      </c>
      <c r="D624" t="str">
        <f>_xlfn.XLOOKUP(RW_DT_PRODUCTION[[#This Row],[MATERIAL_ID]],DIM_MATERIAL[MATERIAL_ID],DIM_MATERIAL[UOM_AFTER_PROCESS])</f>
        <v>BALE</v>
      </c>
      <c r="E624">
        <v>82</v>
      </c>
    </row>
    <row r="625" spans="1:5" x14ac:dyDescent="0.2">
      <c r="A625" s="3">
        <v>45653</v>
      </c>
      <c r="B625" t="s">
        <v>1</v>
      </c>
      <c r="C625">
        <v>1</v>
      </c>
      <c r="D625" t="str">
        <f>_xlfn.XLOOKUP(RW_DT_PRODUCTION[[#This Row],[MATERIAL_ID]],DIM_MATERIAL[MATERIAL_ID],DIM_MATERIAL[UOM_AFTER_PROCESS])</f>
        <v>BALE</v>
      </c>
      <c r="E625">
        <v>61</v>
      </c>
    </row>
    <row r="626" spans="1:5" x14ac:dyDescent="0.2">
      <c r="A626" s="3">
        <v>45653</v>
      </c>
      <c r="B626" t="s">
        <v>1</v>
      </c>
      <c r="C626">
        <v>1</v>
      </c>
      <c r="D626" t="str">
        <f>_xlfn.XLOOKUP(RW_DT_PRODUCTION[[#This Row],[MATERIAL_ID]],DIM_MATERIAL[MATERIAL_ID],DIM_MATERIAL[UOM_AFTER_PROCESS])</f>
        <v>BALE</v>
      </c>
      <c r="E626">
        <v>74</v>
      </c>
    </row>
    <row r="627" spans="1:5" x14ac:dyDescent="0.2">
      <c r="A627" s="3">
        <v>45653</v>
      </c>
      <c r="B627" t="s">
        <v>1</v>
      </c>
      <c r="C627">
        <v>1</v>
      </c>
      <c r="D627" t="str">
        <f>_xlfn.XLOOKUP(RW_DT_PRODUCTION[[#This Row],[MATERIAL_ID]],DIM_MATERIAL[MATERIAL_ID],DIM_MATERIAL[UOM_AFTER_PROCESS])</f>
        <v>BALE</v>
      </c>
      <c r="E627">
        <v>82</v>
      </c>
    </row>
    <row r="628" spans="1:5" x14ac:dyDescent="0.2">
      <c r="A628" s="3">
        <v>45653</v>
      </c>
      <c r="B628" t="s">
        <v>1</v>
      </c>
      <c r="C628">
        <v>1</v>
      </c>
      <c r="D628" t="str">
        <f>_xlfn.XLOOKUP(RW_DT_PRODUCTION[[#This Row],[MATERIAL_ID]],DIM_MATERIAL[MATERIAL_ID],DIM_MATERIAL[UOM_AFTER_PROCESS])</f>
        <v>BALE</v>
      </c>
      <c r="E628">
        <v>65</v>
      </c>
    </row>
    <row r="629" spans="1:5" x14ac:dyDescent="0.2">
      <c r="A629" s="3">
        <v>45654</v>
      </c>
      <c r="B629" t="s">
        <v>1</v>
      </c>
      <c r="C629">
        <v>1</v>
      </c>
      <c r="D629" t="str">
        <f>_xlfn.XLOOKUP(RW_DT_PRODUCTION[[#This Row],[MATERIAL_ID]],DIM_MATERIAL[MATERIAL_ID],DIM_MATERIAL[UOM_AFTER_PROCESS])</f>
        <v>BALE</v>
      </c>
      <c r="E629">
        <v>82</v>
      </c>
    </row>
    <row r="630" spans="1:5" x14ac:dyDescent="0.2">
      <c r="A630" s="3">
        <v>45654</v>
      </c>
      <c r="B630" t="s">
        <v>1</v>
      </c>
      <c r="C630">
        <v>1</v>
      </c>
      <c r="D630" t="str">
        <f>_xlfn.XLOOKUP(RW_DT_PRODUCTION[[#This Row],[MATERIAL_ID]],DIM_MATERIAL[MATERIAL_ID],DIM_MATERIAL[UOM_AFTER_PROCESS])</f>
        <v>BALE</v>
      </c>
      <c r="E630">
        <v>62</v>
      </c>
    </row>
    <row r="631" spans="1:5" x14ac:dyDescent="0.2">
      <c r="A631" s="3">
        <v>45654</v>
      </c>
      <c r="B631" t="s">
        <v>1</v>
      </c>
      <c r="C631">
        <v>1</v>
      </c>
      <c r="D631" t="str">
        <f>_xlfn.XLOOKUP(RW_DT_PRODUCTION[[#This Row],[MATERIAL_ID]],DIM_MATERIAL[MATERIAL_ID],DIM_MATERIAL[UOM_AFTER_PROCESS])</f>
        <v>BALE</v>
      </c>
      <c r="E631">
        <v>84</v>
      </c>
    </row>
    <row r="632" spans="1:5" x14ac:dyDescent="0.2">
      <c r="A632" s="3">
        <v>45656</v>
      </c>
      <c r="B632" t="s">
        <v>1</v>
      </c>
      <c r="C632">
        <v>1</v>
      </c>
      <c r="D632" t="str">
        <f>_xlfn.XLOOKUP(RW_DT_PRODUCTION[[#This Row],[MATERIAL_ID]],DIM_MATERIAL[MATERIAL_ID],DIM_MATERIAL[UOM_AFTER_PROCESS])</f>
        <v>BALE</v>
      </c>
      <c r="E632">
        <v>62</v>
      </c>
    </row>
    <row r="633" spans="1:5" x14ac:dyDescent="0.2">
      <c r="A633" s="3">
        <v>45656</v>
      </c>
      <c r="B633" t="s">
        <v>1</v>
      </c>
      <c r="C633">
        <v>1</v>
      </c>
      <c r="D633" t="str">
        <f>_xlfn.XLOOKUP(RW_DT_PRODUCTION[[#This Row],[MATERIAL_ID]],DIM_MATERIAL[MATERIAL_ID],DIM_MATERIAL[UOM_AFTER_PROCESS])</f>
        <v>BALE</v>
      </c>
      <c r="E633">
        <v>68</v>
      </c>
    </row>
    <row r="634" spans="1:5" x14ac:dyDescent="0.2">
      <c r="A634" s="3">
        <v>45656</v>
      </c>
      <c r="B634" t="s">
        <v>1</v>
      </c>
      <c r="C634">
        <v>1</v>
      </c>
      <c r="D634" t="str">
        <f>_xlfn.XLOOKUP(RW_DT_PRODUCTION[[#This Row],[MATERIAL_ID]],DIM_MATERIAL[MATERIAL_ID],DIM_MATERIAL[UOM_AFTER_PROCESS])</f>
        <v>BALE</v>
      </c>
      <c r="E634">
        <v>61</v>
      </c>
    </row>
    <row r="635" spans="1:5" x14ac:dyDescent="0.2">
      <c r="A635" s="3">
        <v>45656</v>
      </c>
      <c r="B635" t="s">
        <v>1</v>
      </c>
      <c r="C635">
        <v>1</v>
      </c>
      <c r="D635" t="str">
        <f>_xlfn.XLOOKUP(RW_DT_PRODUCTION[[#This Row],[MATERIAL_ID]],DIM_MATERIAL[MATERIAL_ID],DIM_MATERIAL[UOM_AFTER_PROCESS])</f>
        <v>BALE</v>
      </c>
      <c r="E635">
        <v>77</v>
      </c>
    </row>
    <row r="636" spans="1:5" x14ac:dyDescent="0.2">
      <c r="A636" s="3">
        <v>45656</v>
      </c>
      <c r="B636" t="s">
        <v>1</v>
      </c>
      <c r="C636">
        <v>1</v>
      </c>
      <c r="D636" t="str">
        <f>_xlfn.XLOOKUP(RW_DT_PRODUCTION[[#This Row],[MATERIAL_ID]],DIM_MATERIAL[MATERIAL_ID],DIM_MATERIAL[UOM_AFTER_PROCESS])</f>
        <v>BALE</v>
      </c>
      <c r="E636">
        <v>63</v>
      </c>
    </row>
    <row r="637" spans="1:5" x14ac:dyDescent="0.2">
      <c r="A637" s="3">
        <v>45657</v>
      </c>
      <c r="B637" t="s">
        <v>1</v>
      </c>
      <c r="C637">
        <v>1</v>
      </c>
      <c r="D637" t="str">
        <f>_xlfn.XLOOKUP(RW_DT_PRODUCTION[[#This Row],[MATERIAL_ID]],DIM_MATERIAL[MATERIAL_ID],DIM_MATERIAL[UOM_AFTER_PROCESS])</f>
        <v>BALE</v>
      </c>
      <c r="E637">
        <v>69</v>
      </c>
    </row>
    <row r="638" spans="1:5" x14ac:dyDescent="0.2">
      <c r="A638" s="3">
        <v>45657</v>
      </c>
      <c r="B638" t="s">
        <v>1</v>
      </c>
      <c r="C638">
        <v>1</v>
      </c>
      <c r="D638" t="str">
        <f>_xlfn.XLOOKUP(RW_DT_PRODUCTION[[#This Row],[MATERIAL_ID]],DIM_MATERIAL[MATERIAL_ID],DIM_MATERIAL[UOM_AFTER_PROCESS])</f>
        <v>BALE</v>
      </c>
      <c r="E638">
        <v>78</v>
      </c>
    </row>
    <row r="639" spans="1:5" x14ac:dyDescent="0.2">
      <c r="A639" s="3">
        <v>45657</v>
      </c>
      <c r="B639" t="s">
        <v>1</v>
      </c>
      <c r="C639">
        <v>1</v>
      </c>
      <c r="D639" t="str">
        <f>_xlfn.XLOOKUP(RW_DT_PRODUCTION[[#This Row],[MATERIAL_ID]],DIM_MATERIAL[MATERIAL_ID],DIM_MATERIAL[UOM_AFTER_PROCESS])</f>
        <v>BALE</v>
      </c>
      <c r="E639">
        <v>84</v>
      </c>
    </row>
    <row r="640" spans="1:5" x14ac:dyDescent="0.2">
      <c r="A640" s="3">
        <v>45657</v>
      </c>
      <c r="B640" t="s">
        <v>1</v>
      </c>
      <c r="C640">
        <v>1</v>
      </c>
      <c r="D640" t="str">
        <f>_xlfn.XLOOKUP(RW_DT_PRODUCTION[[#This Row],[MATERIAL_ID]],DIM_MATERIAL[MATERIAL_ID],DIM_MATERIAL[UOM_AFTER_PROCESS])</f>
        <v>BALE</v>
      </c>
      <c r="E640">
        <v>61</v>
      </c>
    </row>
    <row r="641" spans="1:5" x14ac:dyDescent="0.2">
      <c r="A641" s="3">
        <v>45657</v>
      </c>
      <c r="B641" t="s">
        <v>1</v>
      </c>
      <c r="C641">
        <v>1</v>
      </c>
      <c r="D641" t="str">
        <f>_xlfn.XLOOKUP(RW_DT_PRODUCTION[[#This Row],[MATERIAL_ID]],DIM_MATERIAL[MATERIAL_ID],DIM_MATERIAL[UOM_AFTER_PROCESS])</f>
        <v>BALE</v>
      </c>
      <c r="E641">
        <v>71</v>
      </c>
    </row>
    <row r="642" spans="1:5" x14ac:dyDescent="0.2">
      <c r="A642" s="3">
        <v>45657</v>
      </c>
      <c r="B642" t="s">
        <v>1</v>
      </c>
      <c r="C642">
        <v>1</v>
      </c>
      <c r="D642" t="str">
        <f>_xlfn.XLOOKUP(RW_DT_PRODUCTION[[#This Row],[MATERIAL_ID]],DIM_MATERIAL[MATERIAL_ID],DIM_MATERIAL[UOM_AFTER_PROCESS])</f>
        <v>BALE</v>
      </c>
      <c r="E642">
        <v>83</v>
      </c>
    </row>
    <row r="643" spans="1:5" x14ac:dyDescent="0.2">
      <c r="A643" s="3">
        <v>45657</v>
      </c>
      <c r="B643" t="s">
        <v>1</v>
      </c>
      <c r="C643">
        <v>1</v>
      </c>
      <c r="D643" t="str">
        <f>_xlfn.XLOOKUP(RW_DT_PRODUCTION[[#This Row],[MATERIAL_ID]],DIM_MATERIAL[MATERIAL_ID],DIM_MATERIAL[UOM_AFTER_PROCESS])</f>
        <v>BALE</v>
      </c>
      <c r="E643">
        <v>74</v>
      </c>
    </row>
    <row r="644" spans="1:5" x14ac:dyDescent="0.2">
      <c r="A644" s="3">
        <v>45657</v>
      </c>
      <c r="B644" t="s">
        <v>1</v>
      </c>
      <c r="C644">
        <v>1</v>
      </c>
      <c r="D644" t="str">
        <f>_xlfn.XLOOKUP(RW_DT_PRODUCTION[[#This Row],[MATERIAL_ID]],DIM_MATERIAL[MATERIAL_ID],DIM_MATERIAL[UOM_AFTER_PROCESS])</f>
        <v>BALE</v>
      </c>
      <c r="E644">
        <v>75</v>
      </c>
    </row>
    <row r="645" spans="1:5" x14ac:dyDescent="0.2">
      <c r="A645" s="3">
        <v>45657</v>
      </c>
      <c r="B645" t="s">
        <v>1</v>
      </c>
      <c r="C645">
        <v>1</v>
      </c>
      <c r="D645" t="str">
        <f>_xlfn.XLOOKUP(RW_DT_PRODUCTION[[#This Row],[MATERIAL_ID]],DIM_MATERIAL[MATERIAL_ID],DIM_MATERIAL[UOM_AFTER_PROCESS])</f>
        <v>BALE</v>
      </c>
      <c r="E645">
        <v>60</v>
      </c>
    </row>
    <row r="646" spans="1:5" x14ac:dyDescent="0.2">
      <c r="A646" s="3">
        <v>45657</v>
      </c>
      <c r="B646" t="s">
        <v>2</v>
      </c>
      <c r="C646">
        <v>1</v>
      </c>
      <c r="D646" t="str">
        <f>_xlfn.XLOOKUP(RW_DT_PRODUCTION[[#This Row],[MATERIAL_ID]],DIM_MATERIAL[MATERIAL_ID],DIM_MATERIAL[UOM_AFTER_PROCESS])</f>
        <v>BAG</v>
      </c>
      <c r="E646">
        <v>22</v>
      </c>
    </row>
    <row r="647" spans="1:5" x14ac:dyDescent="0.2">
      <c r="A647" s="3">
        <v>45657</v>
      </c>
      <c r="B647" t="s">
        <v>2</v>
      </c>
      <c r="C647">
        <v>1</v>
      </c>
      <c r="D647" t="str">
        <f>_xlfn.XLOOKUP(RW_DT_PRODUCTION[[#This Row],[MATERIAL_ID]],DIM_MATERIAL[MATERIAL_ID],DIM_MATERIAL[UOM_AFTER_PROCESS])</f>
        <v>BAG</v>
      </c>
      <c r="E647">
        <v>22</v>
      </c>
    </row>
    <row r="648" spans="1:5" x14ac:dyDescent="0.2">
      <c r="A648" s="3">
        <v>45659</v>
      </c>
      <c r="B648" t="s">
        <v>1</v>
      </c>
      <c r="C648">
        <v>1</v>
      </c>
      <c r="D648" t="str">
        <f>_xlfn.XLOOKUP(RW_DT_PRODUCTION[[#This Row],[MATERIAL_ID]],DIM_MATERIAL[MATERIAL_ID],DIM_MATERIAL[UOM_AFTER_PROCESS])</f>
        <v>BALE</v>
      </c>
      <c r="E648">
        <v>65</v>
      </c>
    </row>
    <row r="649" spans="1:5" x14ac:dyDescent="0.2">
      <c r="A649" s="3">
        <v>45659</v>
      </c>
      <c r="B649" t="s">
        <v>1</v>
      </c>
      <c r="C649">
        <v>1</v>
      </c>
      <c r="D649" t="str">
        <f>_xlfn.XLOOKUP(RW_DT_PRODUCTION[[#This Row],[MATERIAL_ID]],DIM_MATERIAL[MATERIAL_ID],DIM_MATERIAL[UOM_AFTER_PROCESS])</f>
        <v>BALE</v>
      </c>
      <c r="E649">
        <v>64</v>
      </c>
    </row>
    <row r="650" spans="1:5" x14ac:dyDescent="0.2">
      <c r="A650" s="3">
        <v>45659</v>
      </c>
      <c r="B650" t="s">
        <v>1</v>
      </c>
      <c r="C650">
        <v>1</v>
      </c>
      <c r="D650" t="str">
        <f>_xlfn.XLOOKUP(RW_DT_PRODUCTION[[#This Row],[MATERIAL_ID]],DIM_MATERIAL[MATERIAL_ID],DIM_MATERIAL[UOM_AFTER_PROCESS])</f>
        <v>BALE</v>
      </c>
      <c r="E650">
        <v>83</v>
      </c>
    </row>
    <row r="651" spans="1:5" x14ac:dyDescent="0.2">
      <c r="A651" s="3">
        <v>45659</v>
      </c>
      <c r="B651" t="s">
        <v>1</v>
      </c>
      <c r="C651">
        <v>1</v>
      </c>
      <c r="D651" t="str">
        <f>_xlfn.XLOOKUP(RW_DT_PRODUCTION[[#This Row],[MATERIAL_ID]],DIM_MATERIAL[MATERIAL_ID],DIM_MATERIAL[UOM_AFTER_PROCESS])</f>
        <v>BALE</v>
      </c>
      <c r="E651">
        <v>87</v>
      </c>
    </row>
    <row r="652" spans="1:5" x14ac:dyDescent="0.2">
      <c r="A652" s="3">
        <v>45660</v>
      </c>
      <c r="B652" t="s">
        <v>1</v>
      </c>
      <c r="C652">
        <v>1</v>
      </c>
      <c r="D652" t="str">
        <f>_xlfn.XLOOKUP(RW_DT_PRODUCTION[[#This Row],[MATERIAL_ID]],DIM_MATERIAL[MATERIAL_ID],DIM_MATERIAL[UOM_AFTER_PROCESS])</f>
        <v>BALE</v>
      </c>
      <c r="E652">
        <v>89</v>
      </c>
    </row>
    <row r="653" spans="1:5" x14ac:dyDescent="0.2">
      <c r="A653" s="3">
        <v>45660</v>
      </c>
      <c r="B653" t="s">
        <v>1</v>
      </c>
      <c r="C653">
        <v>1</v>
      </c>
      <c r="D653" t="str">
        <f>_xlfn.XLOOKUP(RW_DT_PRODUCTION[[#This Row],[MATERIAL_ID]],DIM_MATERIAL[MATERIAL_ID],DIM_MATERIAL[UOM_AFTER_PROCESS])</f>
        <v>BALE</v>
      </c>
      <c r="E653">
        <v>73</v>
      </c>
    </row>
    <row r="654" spans="1:5" x14ac:dyDescent="0.2">
      <c r="A654" s="3">
        <v>45660</v>
      </c>
      <c r="B654" t="s">
        <v>1</v>
      </c>
      <c r="C654">
        <v>1</v>
      </c>
      <c r="D654" t="str">
        <f>_xlfn.XLOOKUP(RW_DT_PRODUCTION[[#This Row],[MATERIAL_ID]],DIM_MATERIAL[MATERIAL_ID],DIM_MATERIAL[UOM_AFTER_PROCESS])</f>
        <v>BALE</v>
      </c>
      <c r="E654">
        <v>65</v>
      </c>
    </row>
    <row r="655" spans="1:5" x14ac:dyDescent="0.2">
      <c r="A655" s="3">
        <v>45660</v>
      </c>
      <c r="B655" t="s">
        <v>1</v>
      </c>
      <c r="C655">
        <v>1</v>
      </c>
      <c r="D655" t="str">
        <f>_xlfn.XLOOKUP(RW_DT_PRODUCTION[[#This Row],[MATERIAL_ID]],DIM_MATERIAL[MATERIAL_ID],DIM_MATERIAL[UOM_AFTER_PROCESS])</f>
        <v>BALE</v>
      </c>
      <c r="E655">
        <v>74</v>
      </c>
    </row>
    <row r="656" spans="1:5" x14ac:dyDescent="0.2">
      <c r="A656" s="3">
        <v>45660</v>
      </c>
      <c r="B656" t="s">
        <v>1</v>
      </c>
      <c r="C656">
        <v>1</v>
      </c>
      <c r="D656" t="str">
        <f>_xlfn.XLOOKUP(RW_DT_PRODUCTION[[#This Row],[MATERIAL_ID]],DIM_MATERIAL[MATERIAL_ID],DIM_MATERIAL[UOM_AFTER_PROCESS])</f>
        <v>BALE</v>
      </c>
      <c r="E656">
        <v>73</v>
      </c>
    </row>
    <row r="657" spans="1:5" x14ac:dyDescent="0.2">
      <c r="A657" s="3">
        <v>45660</v>
      </c>
      <c r="B657" t="s">
        <v>1</v>
      </c>
      <c r="C657">
        <v>1</v>
      </c>
      <c r="D657" t="str">
        <f>_xlfn.XLOOKUP(RW_DT_PRODUCTION[[#This Row],[MATERIAL_ID]],DIM_MATERIAL[MATERIAL_ID],DIM_MATERIAL[UOM_AFTER_PROCESS])</f>
        <v>BALE</v>
      </c>
      <c r="E657">
        <v>64</v>
      </c>
    </row>
    <row r="658" spans="1:5" x14ac:dyDescent="0.2">
      <c r="A658" s="3">
        <v>45660</v>
      </c>
      <c r="B658" t="s">
        <v>1</v>
      </c>
      <c r="C658">
        <v>1</v>
      </c>
      <c r="D658" t="str">
        <f>_xlfn.XLOOKUP(RW_DT_PRODUCTION[[#This Row],[MATERIAL_ID]],DIM_MATERIAL[MATERIAL_ID],DIM_MATERIAL[UOM_AFTER_PROCESS])</f>
        <v>BALE</v>
      </c>
      <c r="E658">
        <v>66</v>
      </c>
    </row>
    <row r="659" spans="1:5" x14ac:dyDescent="0.2">
      <c r="A659" s="3">
        <v>45660</v>
      </c>
      <c r="B659" t="s">
        <v>1</v>
      </c>
      <c r="C659">
        <v>1</v>
      </c>
      <c r="D659" t="str">
        <f>_xlfn.XLOOKUP(RW_DT_PRODUCTION[[#This Row],[MATERIAL_ID]],DIM_MATERIAL[MATERIAL_ID],DIM_MATERIAL[UOM_AFTER_PROCESS])</f>
        <v>BALE</v>
      </c>
      <c r="E659">
        <v>72</v>
      </c>
    </row>
    <row r="660" spans="1:5" x14ac:dyDescent="0.2">
      <c r="A660" s="3">
        <v>45660</v>
      </c>
      <c r="B660" t="s">
        <v>1</v>
      </c>
      <c r="C660">
        <v>1</v>
      </c>
      <c r="D660" t="str">
        <f>_xlfn.XLOOKUP(RW_DT_PRODUCTION[[#This Row],[MATERIAL_ID]],DIM_MATERIAL[MATERIAL_ID],DIM_MATERIAL[UOM_AFTER_PROCESS])</f>
        <v>BALE</v>
      </c>
      <c r="E660">
        <v>77</v>
      </c>
    </row>
    <row r="661" spans="1:5" x14ac:dyDescent="0.2">
      <c r="A661" s="3">
        <v>45660</v>
      </c>
      <c r="B661" t="s">
        <v>1</v>
      </c>
      <c r="C661">
        <v>1</v>
      </c>
      <c r="D661" t="str">
        <f>_xlfn.XLOOKUP(RW_DT_PRODUCTION[[#This Row],[MATERIAL_ID]],DIM_MATERIAL[MATERIAL_ID],DIM_MATERIAL[UOM_AFTER_PROCESS])</f>
        <v>BALE</v>
      </c>
      <c r="E661">
        <v>79</v>
      </c>
    </row>
    <row r="662" spans="1:5" x14ac:dyDescent="0.2">
      <c r="A662" s="3">
        <v>45661</v>
      </c>
      <c r="B662" t="s">
        <v>1</v>
      </c>
      <c r="C662">
        <v>1</v>
      </c>
      <c r="D662" t="str">
        <f>_xlfn.XLOOKUP(RW_DT_PRODUCTION[[#This Row],[MATERIAL_ID]],DIM_MATERIAL[MATERIAL_ID],DIM_MATERIAL[UOM_AFTER_PROCESS])</f>
        <v>BALE</v>
      </c>
      <c r="E662">
        <v>78</v>
      </c>
    </row>
    <row r="663" spans="1:5" x14ac:dyDescent="0.2">
      <c r="A663" s="3">
        <v>45661</v>
      </c>
      <c r="B663" t="s">
        <v>1</v>
      </c>
      <c r="C663">
        <v>1</v>
      </c>
      <c r="D663" t="str">
        <f>_xlfn.XLOOKUP(RW_DT_PRODUCTION[[#This Row],[MATERIAL_ID]],DIM_MATERIAL[MATERIAL_ID],DIM_MATERIAL[UOM_AFTER_PROCESS])</f>
        <v>BALE</v>
      </c>
      <c r="E663">
        <v>73</v>
      </c>
    </row>
    <row r="664" spans="1:5" x14ac:dyDescent="0.2">
      <c r="A664" s="3">
        <v>45661</v>
      </c>
      <c r="B664" t="s">
        <v>1</v>
      </c>
      <c r="C664">
        <v>1</v>
      </c>
      <c r="D664" t="str">
        <f>_xlfn.XLOOKUP(RW_DT_PRODUCTION[[#This Row],[MATERIAL_ID]],DIM_MATERIAL[MATERIAL_ID],DIM_MATERIAL[UOM_AFTER_PROCESS])</f>
        <v>BALE</v>
      </c>
      <c r="E664">
        <v>65</v>
      </c>
    </row>
    <row r="665" spans="1:5" x14ac:dyDescent="0.2">
      <c r="A665" s="3">
        <v>45661</v>
      </c>
      <c r="B665" t="s">
        <v>1</v>
      </c>
      <c r="C665">
        <v>1</v>
      </c>
      <c r="D665" t="str">
        <f>_xlfn.XLOOKUP(RW_DT_PRODUCTION[[#This Row],[MATERIAL_ID]],DIM_MATERIAL[MATERIAL_ID],DIM_MATERIAL[UOM_AFTER_PROCESS])</f>
        <v>BALE</v>
      </c>
      <c r="E665">
        <v>67</v>
      </c>
    </row>
    <row r="666" spans="1:5" x14ac:dyDescent="0.2">
      <c r="A666" s="3">
        <v>45661</v>
      </c>
      <c r="B666" t="s">
        <v>1</v>
      </c>
      <c r="C666">
        <v>1</v>
      </c>
      <c r="D666" t="str">
        <f>_xlfn.XLOOKUP(RW_DT_PRODUCTION[[#This Row],[MATERIAL_ID]],DIM_MATERIAL[MATERIAL_ID],DIM_MATERIAL[UOM_AFTER_PROCESS])</f>
        <v>BALE</v>
      </c>
      <c r="E666">
        <v>69</v>
      </c>
    </row>
    <row r="667" spans="1:5" x14ac:dyDescent="0.2">
      <c r="A667" s="3">
        <v>45661</v>
      </c>
      <c r="B667" t="s">
        <v>1</v>
      </c>
      <c r="C667">
        <v>1</v>
      </c>
      <c r="D667" t="str">
        <f>_xlfn.XLOOKUP(RW_DT_PRODUCTION[[#This Row],[MATERIAL_ID]],DIM_MATERIAL[MATERIAL_ID],DIM_MATERIAL[UOM_AFTER_PROCESS])</f>
        <v>BALE</v>
      </c>
      <c r="E667">
        <v>67</v>
      </c>
    </row>
    <row r="668" spans="1:5" x14ac:dyDescent="0.2">
      <c r="A668" s="3">
        <v>45661</v>
      </c>
      <c r="B668" t="s">
        <v>1</v>
      </c>
      <c r="C668">
        <v>1</v>
      </c>
      <c r="D668" t="str">
        <f>_xlfn.XLOOKUP(RW_DT_PRODUCTION[[#This Row],[MATERIAL_ID]],DIM_MATERIAL[MATERIAL_ID],DIM_MATERIAL[UOM_AFTER_PROCESS])</f>
        <v>BALE</v>
      </c>
      <c r="E668">
        <v>62</v>
      </c>
    </row>
    <row r="669" spans="1:5" x14ac:dyDescent="0.2">
      <c r="A669" s="3">
        <v>45663</v>
      </c>
      <c r="B669" t="s">
        <v>1</v>
      </c>
      <c r="C669">
        <v>1</v>
      </c>
      <c r="D669" t="str">
        <f>_xlfn.XLOOKUP(RW_DT_PRODUCTION[[#This Row],[MATERIAL_ID]],DIM_MATERIAL[MATERIAL_ID],DIM_MATERIAL[UOM_AFTER_PROCESS])</f>
        <v>BALE</v>
      </c>
      <c r="E669">
        <v>83</v>
      </c>
    </row>
    <row r="670" spans="1:5" x14ac:dyDescent="0.2">
      <c r="A670" s="3">
        <v>45663</v>
      </c>
      <c r="B670" t="s">
        <v>1</v>
      </c>
      <c r="C670">
        <v>1</v>
      </c>
      <c r="D670" t="str">
        <f>_xlfn.XLOOKUP(RW_DT_PRODUCTION[[#This Row],[MATERIAL_ID]],DIM_MATERIAL[MATERIAL_ID],DIM_MATERIAL[UOM_AFTER_PROCESS])</f>
        <v>BALE</v>
      </c>
      <c r="E670">
        <v>72</v>
      </c>
    </row>
    <row r="671" spans="1:5" x14ac:dyDescent="0.2">
      <c r="A671" s="3">
        <v>45663</v>
      </c>
      <c r="B671" t="s">
        <v>1</v>
      </c>
      <c r="C671">
        <v>1</v>
      </c>
      <c r="D671" t="str">
        <f>_xlfn.XLOOKUP(RW_DT_PRODUCTION[[#This Row],[MATERIAL_ID]],DIM_MATERIAL[MATERIAL_ID],DIM_MATERIAL[UOM_AFTER_PROCESS])</f>
        <v>BALE</v>
      </c>
      <c r="E671">
        <v>80</v>
      </c>
    </row>
    <row r="672" spans="1:5" x14ac:dyDescent="0.2">
      <c r="A672" s="3">
        <v>45663</v>
      </c>
      <c r="B672" t="s">
        <v>1</v>
      </c>
      <c r="C672">
        <v>1</v>
      </c>
      <c r="D672" t="str">
        <f>_xlfn.XLOOKUP(RW_DT_PRODUCTION[[#This Row],[MATERIAL_ID]],DIM_MATERIAL[MATERIAL_ID],DIM_MATERIAL[UOM_AFTER_PROCESS])</f>
        <v>BALE</v>
      </c>
      <c r="E672">
        <v>71</v>
      </c>
    </row>
    <row r="673" spans="1:5" x14ac:dyDescent="0.2">
      <c r="A673" s="3">
        <v>45663</v>
      </c>
      <c r="B673" t="s">
        <v>1</v>
      </c>
      <c r="C673">
        <v>1</v>
      </c>
      <c r="D673" t="str">
        <f>_xlfn.XLOOKUP(RW_DT_PRODUCTION[[#This Row],[MATERIAL_ID]],DIM_MATERIAL[MATERIAL_ID],DIM_MATERIAL[UOM_AFTER_PROCESS])</f>
        <v>BALE</v>
      </c>
      <c r="E673">
        <v>81</v>
      </c>
    </row>
    <row r="674" spans="1:5" x14ac:dyDescent="0.2">
      <c r="A674" s="3">
        <v>45663</v>
      </c>
      <c r="B674" t="s">
        <v>1</v>
      </c>
      <c r="C674">
        <v>1</v>
      </c>
      <c r="D674" t="str">
        <f>_xlfn.XLOOKUP(RW_DT_PRODUCTION[[#This Row],[MATERIAL_ID]],DIM_MATERIAL[MATERIAL_ID],DIM_MATERIAL[UOM_AFTER_PROCESS])</f>
        <v>BALE</v>
      </c>
      <c r="E674">
        <v>85</v>
      </c>
    </row>
    <row r="675" spans="1:5" x14ac:dyDescent="0.2">
      <c r="A675" s="3">
        <v>45664</v>
      </c>
      <c r="B675" t="s">
        <v>1</v>
      </c>
      <c r="C675">
        <v>1</v>
      </c>
      <c r="D675" t="str">
        <f>_xlfn.XLOOKUP(RW_DT_PRODUCTION[[#This Row],[MATERIAL_ID]],DIM_MATERIAL[MATERIAL_ID],DIM_MATERIAL[UOM_AFTER_PROCESS])</f>
        <v>BALE</v>
      </c>
      <c r="E675">
        <v>62</v>
      </c>
    </row>
    <row r="676" spans="1:5" x14ac:dyDescent="0.2">
      <c r="A676" s="3">
        <v>45664</v>
      </c>
      <c r="B676" t="s">
        <v>1</v>
      </c>
      <c r="C676">
        <v>1</v>
      </c>
      <c r="D676" t="str">
        <f>_xlfn.XLOOKUP(RW_DT_PRODUCTION[[#This Row],[MATERIAL_ID]],DIM_MATERIAL[MATERIAL_ID],DIM_MATERIAL[UOM_AFTER_PROCESS])</f>
        <v>BALE</v>
      </c>
      <c r="E676">
        <v>78</v>
      </c>
    </row>
    <row r="677" spans="1:5" x14ac:dyDescent="0.2">
      <c r="A677" s="3">
        <v>45664</v>
      </c>
      <c r="B677" t="s">
        <v>1</v>
      </c>
      <c r="C677">
        <v>1</v>
      </c>
      <c r="D677" t="str">
        <f>_xlfn.XLOOKUP(RW_DT_PRODUCTION[[#This Row],[MATERIAL_ID]],DIM_MATERIAL[MATERIAL_ID],DIM_MATERIAL[UOM_AFTER_PROCESS])</f>
        <v>BALE</v>
      </c>
      <c r="E677">
        <v>85</v>
      </c>
    </row>
    <row r="678" spans="1:5" x14ac:dyDescent="0.2">
      <c r="A678" s="3">
        <v>45664</v>
      </c>
      <c r="B678" t="s">
        <v>1</v>
      </c>
      <c r="C678">
        <v>1</v>
      </c>
      <c r="D678" t="str">
        <f>_xlfn.XLOOKUP(RW_DT_PRODUCTION[[#This Row],[MATERIAL_ID]],DIM_MATERIAL[MATERIAL_ID],DIM_MATERIAL[UOM_AFTER_PROCESS])</f>
        <v>BALE</v>
      </c>
      <c r="E678">
        <v>78</v>
      </c>
    </row>
    <row r="679" spans="1:5" x14ac:dyDescent="0.2">
      <c r="A679" s="3">
        <v>45664</v>
      </c>
      <c r="B679" t="s">
        <v>1</v>
      </c>
      <c r="C679">
        <v>1</v>
      </c>
      <c r="D679" t="str">
        <f>_xlfn.XLOOKUP(RW_DT_PRODUCTION[[#This Row],[MATERIAL_ID]],DIM_MATERIAL[MATERIAL_ID],DIM_MATERIAL[UOM_AFTER_PROCESS])</f>
        <v>BALE</v>
      </c>
      <c r="E679">
        <v>72</v>
      </c>
    </row>
    <row r="680" spans="1:5" x14ac:dyDescent="0.2">
      <c r="A680" s="3">
        <v>45664</v>
      </c>
      <c r="B680" t="s">
        <v>1</v>
      </c>
      <c r="C680">
        <v>1</v>
      </c>
      <c r="D680" t="str">
        <f>_xlfn.XLOOKUP(RW_DT_PRODUCTION[[#This Row],[MATERIAL_ID]],DIM_MATERIAL[MATERIAL_ID],DIM_MATERIAL[UOM_AFTER_PROCESS])</f>
        <v>BALE</v>
      </c>
      <c r="E680">
        <v>83</v>
      </c>
    </row>
    <row r="681" spans="1:5" x14ac:dyDescent="0.2">
      <c r="A681" s="3">
        <v>45664</v>
      </c>
      <c r="B681" t="s">
        <v>1</v>
      </c>
      <c r="C681">
        <v>1</v>
      </c>
      <c r="D681" t="str">
        <f>_xlfn.XLOOKUP(RW_DT_PRODUCTION[[#This Row],[MATERIAL_ID]],DIM_MATERIAL[MATERIAL_ID],DIM_MATERIAL[UOM_AFTER_PROCESS])</f>
        <v>BALE</v>
      </c>
      <c r="E681">
        <v>81</v>
      </c>
    </row>
    <row r="682" spans="1:5" x14ac:dyDescent="0.2">
      <c r="A682" s="3">
        <v>45664</v>
      </c>
      <c r="B682" t="s">
        <v>1</v>
      </c>
      <c r="C682">
        <v>1</v>
      </c>
      <c r="D682" t="str">
        <f>_xlfn.XLOOKUP(RW_DT_PRODUCTION[[#This Row],[MATERIAL_ID]],DIM_MATERIAL[MATERIAL_ID],DIM_MATERIAL[UOM_AFTER_PROCESS])</f>
        <v>BALE</v>
      </c>
      <c r="E682">
        <v>77</v>
      </c>
    </row>
    <row r="683" spans="1:5" x14ac:dyDescent="0.2">
      <c r="A683" s="3">
        <v>45664</v>
      </c>
      <c r="B683" t="s">
        <v>1</v>
      </c>
      <c r="C683">
        <v>1</v>
      </c>
      <c r="D683" t="str">
        <f>_xlfn.XLOOKUP(RW_DT_PRODUCTION[[#This Row],[MATERIAL_ID]],DIM_MATERIAL[MATERIAL_ID],DIM_MATERIAL[UOM_AFTER_PROCESS])</f>
        <v>BALE</v>
      </c>
      <c r="E683">
        <v>78</v>
      </c>
    </row>
    <row r="684" spans="1:5" x14ac:dyDescent="0.2">
      <c r="A684" s="3">
        <v>45665</v>
      </c>
      <c r="B684" t="s">
        <v>1</v>
      </c>
      <c r="C684">
        <v>1</v>
      </c>
      <c r="D684" t="str">
        <f>_xlfn.XLOOKUP(RW_DT_PRODUCTION[[#This Row],[MATERIAL_ID]],DIM_MATERIAL[MATERIAL_ID],DIM_MATERIAL[UOM_AFTER_PROCESS])</f>
        <v>BALE</v>
      </c>
      <c r="E684">
        <v>68</v>
      </c>
    </row>
    <row r="685" spans="1:5" x14ac:dyDescent="0.2">
      <c r="A685" s="3">
        <v>45665</v>
      </c>
      <c r="B685" t="s">
        <v>1</v>
      </c>
      <c r="C685">
        <v>1</v>
      </c>
      <c r="D685" t="str">
        <f>_xlfn.XLOOKUP(RW_DT_PRODUCTION[[#This Row],[MATERIAL_ID]],DIM_MATERIAL[MATERIAL_ID],DIM_MATERIAL[UOM_AFTER_PROCESS])</f>
        <v>BALE</v>
      </c>
      <c r="E685">
        <v>66</v>
      </c>
    </row>
    <row r="686" spans="1:5" x14ac:dyDescent="0.2">
      <c r="A686" s="3">
        <v>45665</v>
      </c>
      <c r="B686" t="s">
        <v>1</v>
      </c>
      <c r="C686">
        <v>1</v>
      </c>
      <c r="D686" t="str">
        <f>_xlfn.XLOOKUP(RW_DT_PRODUCTION[[#This Row],[MATERIAL_ID]],DIM_MATERIAL[MATERIAL_ID],DIM_MATERIAL[UOM_AFTER_PROCESS])</f>
        <v>BALE</v>
      </c>
      <c r="E686">
        <v>80</v>
      </c>
    </row>
    <row r="687" spans="1:5" x14ac:dyDescent="0.2">
      <c r="A687" s="3">
        <v>45665</v>
      </c>
      <c r="B687" t="s">
        <v>1</v>
      </c>
      <c r="C687">
        <v>1</v>
      </c>
      <c r="D687" t="str">
        <f>_xlfn.XLOOKUP(RW_DT_PRODUCTION[[#This Row],[MATERIAL_ID]],DIM_MATERIAL[MATERIAL_ID],DIM_MATERIAL[UOM_AFTER_PROCESS])</f>
        <v>BALE</v>
      </c>
      <c r="E687">
        <v>69</v>
      </c>
    </row>
    <row r="688" spans="1:5" x14ac:dyDescent="0.2">
      <c r="A688" s="3">
        <v>45665</v>
      </c>
      <c r="B688" t="s">
        <v>1</v>
      </c>
      <c r="C688">
        <v>1</v>
      </c>
      <c r="D688" t="str">
        <f>_xlfn.XLOOKUP(RW_DT_PRODUCTION[[#This Row],[MATERIAL_ID]],DIM_MATERIAL[MATERIAL_ID],DIM_MATERIAL[UOM_AFTER_PROCESS])</f>
        <v>BALE</v>
      </c>
      <c r="E688">
        <v>72</v>
      </c>
    </row>
    <row r="689" spans="1:5" x14ac:dyDescent="0.2">
      <c r="A689" s="3">
        <v>45665</v>
      </c>
      <c r="B689" t="s">
        <v>1</v>
      </c>
      <c r="C689">
        <v>1</v>
      </c>
      <c r="D689" t="str">
        <f>_xlfn.XLOOKUP(RW_DT_PRODUCTION[[#This Row],[MATERIAL_ID]],DIM_MATERIAL[MATERIAL_ID],DIM_MATERIAL[UOM_AFTER_PROCESS])</f>
        <v>BALE</v>
      </c>
      <c r="E689">
        <v>73</v>
      </c>
    </row>
    <row r="690" spans="1:5" x14ac:dyDescent="0.2">
      <c r="A690" s="3">
        <v>45665</v>
      </c>
      <c r="B690" t="s">
        <v>1</v>
      </c>
      <c r="C690">
        <v>1</v>
      </c>
      <c r="D690" t="str">
        <f>_xlfn.XLOOKUP(RW_DT_PRODUCTION[[#This Row],[MATERIAL_ID]],DIM_MATERIAL[MATERIAL_ID],DIM_MATERIAL[UOM_AFTER_PROCESS])</f>
        <v>BALE</v>
      </c>
      <c r="E690">
        <v>77</v>
      </c>
    </row>
    <row r="691" spans="1:5" x14ac:dyDescent="0.2">
      <c r="A691" s="3">
        <v>45665</v>
      </c>
      <c r="B691" t="s">
        <v>1</v>
      </c>
      <c r="C691">
        <v>1</v>
      </c>
      <c r="D691" t="str">
        <f>_xlfn.XLOOKUP(RW_DT_PRODUCTION[[#This Row],[MATERIAL_ID]],DIM_MATERIAL[MATERIAL_ID],DIM_MATERIAL[UOM_AFTER_PROCESS])</f>
        <v>BALE</v>
      </c>
      <c r="E691">
        <v>79</v>
      </c>
    </row>
    <row r="692" spans="1:5" x14ac:dyDescent="0.2">
      <c r="A692" s="3">
        <v>45665</v>
      </c>
      <c r="B692" t="s">
        <v>1</v>
      </c>
      <c r="C692">
        <v>1</v>
      </c>
      <c r="D692" t="str">
        <f>_xlfn.XLOOKUP(RW_DT_PRODUCTION[[#This Row],[MATERIAL_ID]],DIM_MATERIAL[MATERIAL_ID],DIM_MATERIAL[UOM_AFTER_PROCESS])</f>
        <v>BALE</v>
      </c>
      <c r="E692">
        <v>62</v>
      </c>
    </row>
    <row r="693" spans="1:5" x14ac:dyDescent="0.2">
      <c r="A693" s="3">
        <v>45665</v>
      </c>
      <c r="B693" t="s">
        <v>1</v>
      </c>
      <c r="C693">
        <v>1</v>
      </c>
      <c r="D693" t="str">
        <f>_xlfn.XLOOKUP(RW_DT_PRODUCTION[[#This Row],[MATERIAL_ID]],DIM_MATERIAL[MATERIAL_ID],DIM_MATERIAL[UOM_AFTER_PROCESS])</f>
        <v>BALE</v>
      </c>
      <c r="E693">
        <v>66</v>
      </c>
    </row>
    <row r="694" spans="1:5" x14ac:dyDescent="0.2">
      <c r="A694" s="3">
        <v>45665</v>
      </c>
      <c r="B694" t="s">
        <v>1</v>
      </c>
      <c r="C694">
        <v>1</v>
      </c>
      <c r="D694" t="str">
        <f>_xlfn.XLOOKUP(RW_DT_PRODUCTION[[#This Row],[MATERIAL_ID]],DIM_MATERIAL[MATERIAL_ID],DIM_MATERIAL[UOM_AFTER_PROCESS])</f>
        <v>BALE</v>
      </c>
      <c r="E694">
        <v>86</v>
      </c>
    </row>
    <row r="695" spans="1:5" x14ac:dyDescent="0.2">
      <c r="A695" s="3">
        <v>45665</v>
      </c>
      <c r="B695" t="s">
        <v>1</v>
      </c>
      <c r="C695">
        <v>1</v>
      </c>
      <c r="D695" t="str">
        <f>_xlfn.XLOOKUP(RW_DT_PRODUCTION[[#This Row],[MATERIAL_ID]],DIM_MATERIAL[MATERIAL_ID],DIM_MATERIAL[UOM_AFTER_PROCESS])</f>
        <v>BALE</v>
      </c>
      <c r="E695">
        <v>82</v>
      </c>
    </row>
    <row r="696" spans="1:5" x14ac:dyDescent="0.2">
      <c r="A696" s="3">
        <v>45665</v>
      </c>
      <c r="B696" t="s">
        <v>1</v>
      </c>
      <c r="C696">
        <v>1</v>
      </c>
      <c r="D696" t="str">
        <f>_xlfn.XLOOKUP(RW_DT_PRODUCTION[[#This Row],[MATERIAL_ID]],DIM_MATERIAL[MATERIAL_ID],DIM_MATERIAL[UOM_AFTER_PROCESS])</f>
        <v>BALE</v>
      </c>
      <c r="E696">
        <v>61</v>
      </c>
    </row>
    <row r="697" spans="1:5" x14ac:dyDescent="0.2">
      <c r="A697" s="3">
        <v>45665</v>
      </c>
      <c r="B697" t="s">
        <v>1</v>
      </c>
      <c r="C697">
        <v>1</v>
      </c>
      <c r="D697" t="str">
        <f>_xlfn.XLOOKUP(RW_DT_PRODUCTION[[#This Row],[MATERIAL_ID]],DIM_MATERIAL[MATERIAL_ID],DIM_MATERIAL[UOM_AFTER_PROCESS])</f>
        <v>BALE</v>
      </c>
      <c r="E697">
        <v>77</v>
      </c>
    </row>
    <row r="698" spans="1:5" x14ac:dyDescent="0.2">
      <c r="A698" s="3">
        <v>45665</v>
      </c>
      <c r="B698" t="s">
        <v>1</v>
      </c>
      <c r="C698">
        <v>1</v>
      </c>
      <c r="D698" t="str">
        <f>_xlfn.XLOOKUP(RW_DT_PRODUCTION[[#This Row],[MATERIAL_ID]],DIM_MATERIAL[MATERIAL_ID],DIM_MATERIAL[UOM_AFTER_PROCESS])</f>
        <v>BALE</v>
      </c>
      <c r="E698">
        <v>80</v>
      </c>
    </row>
    <row r="699" spans="1:5" x14ac:dyDescent="0.2">
      <c r="A699" s="3">
        <v>45665</v>
      </c>
      <c r="B699" t="s">
        <v>1</v>
      </c>
      <c r="C699">
        <v>1</v>
      </c>
      <c r="D699" t="str">
        <f>_xlfn.XLOOKUP(RW_DT_PRODUCTION[[#This Row],[MATERIAL_ID]],DIM_MATERIAL[MATERIAL_ID],DIM_MATERIAL[UOM_AFTER_PROCESS])</f>
        <v>BALE</v>
      </c>
      <c r="E699">
        <v>85</v>
      </c>
    </row>
    <row r="700" spans="1:5" x14ac:dyDescent="0.2">
      <c r="A700" s="3">
        <v>45665</v>
      </c>
      <c r="B700" t="s">
        <v>2</v>
      </c>
      <c r="C700">
        <v>1</v>
      </c>
      <c r="D700" t="str">
        <f>_xlfn.XLOOKUP(RW_DT_PRODUCTION[[#This Row],[MATERIAL_ID]],DIM_MATERIAL[MATERIAL_ID],DIM_MATERIAL[UOM_AFTER_PROCESS])</f>
        <v>BAG</v>
      </c>
      <c r="E700">
        <v>22</v>
      </c>
    </row>
    <row r="701" spans="1:5" x14ac:dyDescent="0.2">
      <c r="A701" s="3">
        <v>45665</v>
      </c>
      <c r="B701" t="s">
        <v>2</v>
      </c>
      <c r="C701">
        <v>1</v>
      </c>
      <c r="D701" t="str">
        <f>_xlfn.XLOOKUP(RW_DT_PRODUCTION[[#This Row],[MATERIAL_ID]],DIM_MATERIAL[MATERIAL_ID],DIM_MATERIAL[UOM_AFTER_PROCESS])</f>
        <v>BAG</v>
      </c>
      <c r="E701">
        <v>22</v>
      </c>
    </row>
    <row r="702" spans="1:5" x14ac:dyDescent="0.2">
      <c r="A702" s="3">
        <v>45665</v>
      </c>
      <c r="B702" t="s">
        <v>2</v>
      </c>
      <c r="C702">
        <v>1</v>
      </c>
      <c r="D702" t="str">
        <f>_xlfn.XLOOKUP(RW_DT_PRODUCTION[[#This Row],[MATERIAL_ID]],DIM_MATERIAL[MATERIAL_ID],DIM_MATERIAL[UOM_AFTER_PROCESS])</f>
        <v>BAG</v>
      </c>
      <c r="E702">
        <v>22</v>
      </c>
    </row>
    <row r="703" spans="1:5" x14ac:dyDescent="0.2">
      <c r="A703" s="3">
        <v>45666</v>
      </c>
      <c r="B703" t="s">
        <v>1</v>
      </c>
      <c r="C703">
        <v>1</v>
      </c>
      <c r="D703" t="str">
        <f>_xlfn.XLOOKUP(RW_DT_PRODUCTION[[#This Row],[MATERIAL_ID]],DIM_MATERIAL[MATERIAL_ID],DIM_MATERIAL[UOM_AFTER_PROCESS])</f>
        <v>BALE</v>
      </c>
      <c r="E703">
        <v>60</v>
      </c>
    </row>
    <row r="704" spans="1:5" x14ac:dyDescent="0.2">
      <c r="A704" s="3">
        <v>45666</v>
      </c>
      <c r="B704" t="s">
        <v>1</v>
      </c>
      <c r="C704">
        <v>1</v>
      </c>
      <c r="D704" t="str">
        <f>_xlfn.XLOOKUP(RW_DT_PRODUCTION[[#This Row],[MATERIAL_ID]],DIM_MATERIAL[MATERIAL_ID],DIM_MATERIAL[UOM_AFTER_PROCESS])</f>
        <v>BALE</v>
      </c>
      <c r="E704">
        <v>71</v>
      </c>
    </row>
    <row r="705" spans="1:5" x14ac:dyDescent="0.2">
      <c r="A705" s="3">
        <v>45667</v>
      </c>
      <c r="B705" t="s">
        <v>1</v>
      </c>
      <c r="C705">
        <v>1</v>
      </c>
      <c r="D705" t="str">
        <f>_xlfn.XLOOKUP(RW_DT_PRODUCTION[[#This Row],[MATERIAL_ID]],DIM_MATERIAL[MATERIAL_ID],DIM_MATERIAL[UOM_AFTER_PROCESS])</f>
        <v>BALE</v>
      </c>
      <c r="E705">
        <v>73</v>
      </c>
    </row>
    <row r="706" spans="1:5" x14ac:dyDescent="0.2">
      <c r="A706" s="3">
        <v>45667</v>
      </c>
      <c r="B706" t="s">
        <v>1</v>
      </c>
      <c r="C706">
        <v>1</v>
      </c>
      <c r="D706" t="str">
        <f>_xlfn.XLOOKUP(RW_DT_PRODUCTION[[#This Row],[MATERIAL_ID]],DIM_MATERIAL[MATERIAL_ID],DIM_MATERIAL[UOM_AFTER_PROCESS])</f>
        <v>BALE</v>
      </c>
      <c r="E706">
        <v>86</v>
      </c>
    </row>
    <row r="707" spans="1:5" x14ac:dyDescent="0.2">
      <c r="A707" s="3">
        <v>45667</v>
      </c>
      <c r="B707" t="s">
        <v>1</v>
      </c>
      <c r="C707">
        <v>1</v>
      </c>
      <c r="D707" t="str">
        <f>_xlfn.XLOOKUP(RW_DT_PRODUCTION[[#This Row],[MATERIAL_ID]],DIM_MATERIAL[MATERIAL_ID],DIM_MATERIAL[UOM_AFTER_PROCESS])</f>
        <v>BALE</v>
      </c>
      <c r="E707">
        <v>76</v>
      </c>
    </row>
    <row r="708" spans="1:5" x14ac:dyDescent="0.2">
      <c r="A708" s="3">
        <v>45667</v>
      </c>
      <c r="B708" t="s">
        <v>1</v>
      </c>
      <c r="C708">
        <v>1</v>
      </c>
      <c r="D708" t="str">
        <f>_xlfn.XLOOKUP(RW_DT_PRODUCTION[[#This Row],[MATERIAL_ID]],DIM_MATERIAL[MATERIAL_ID],DIM_MATERIAL[UOM_AFTER_PROCESS])</f>
        <v>BALE</v>
      </c>
      <c r="E708">
        <v>65</v>
      </c>
    </row>
    <row r="709" spans="1:5" x14ac:dyDescent="0.2">
      <c r="A709" s="3">
        <v>45667</v>
      </c>
      <c r="B709" t="s">
        <v>1</v>
      </c>
      <c r="C709">
        <v>1</v>
      </c>
      <c r="D709" t="str">
        <f>_xlfn.XLOOKUP(RW_DT_PRODUCTION[[#This Row],[MATERIAL_ID]],DIM_MATERIAL[MATERIAL_ID],DIM_MATERIAL[UOM_AFTER_PROCESS])</f>
        <v>BALE</v>
      </c>
      <c r="E709">
        <v>75</v>
      </c>
    </row>
    <row r="710" spans="1:5" x14ac:dyDescent="0.2">
      <c r="A710" s="3">
        <v>45667</v>
      </c>
      <c r="B710" t="s">
        <v>1</v>
      </c>
      <c r="C710">
        <v>1</v>
      </c>
      <c r="D710" t="str">
        <f>_xlfn.XLOOKUP(RW_DT_PRODUCTION[[#This Row],[MATERIAL_ID]],DIM_MATERIAL[MATERIAL_ID],DIM_MATERIAL[UOM_AFTER_PROCESS])</f>
        <v>BALE</v>
      </c>
      <c r="E710">
        <v>79</v>
      </c>
    </row>
    <row r="711" spans="1:5" x14ac:dyDescent="0.2">
      <c r="A711" s="3">
        <v>45667</v>
      </c>
      <c r="B711" t="s">
        <v>1</v>
      </c>
      <c r="C711">
        <v>1</v>
      </c>
      <c r="D711" t="str">
        <f>_xlfn.XLOOKUP(RW_DT_PRODUCTION[[#This Row],[MATERIAL_ID]],DIM_MATERIAL[MATERIAL_ID],DIM_MATERIAL[UOM_AFTER_PROCESS])</f>
        <v>BALE</v>
      </c>
      <c r="E711">
        <v>67</v>
      </c>
    </row>
    <row r="712" spans="1:5" x14ac:dyDescent="0.2">
      <c r="A712" s="3">
        <v>45668</v>
      </c>
      <c r="B712" t="s">
        <v>1</v>
      </c>
      <c r="C712">
        <v>1</v>
      </c>
      <c r="D712" t="str">
        <f>_xlfn.XLOOKUP(RW_DT_PRODUCTION[[#This Row],[MATERIAL_ID]],DIM_MATERIAL[MATERIAL_ID],DIM_MATERIAL[UOM_AFTER_PROCESS])</f>
        <v>BALE</v>
      </c>
      <c r="E712">
        <v>77</v>
      </c>
    </row>
    <row r="713" spans="1:5" x14ac:dyDescent="0.2">
      <c r="A713" s="3">
        <v>45668</v>
      </c>
      <c r="B713" t="s">
        <v>1</v>
      </c>
      <c r="C713">
        <v>1</v>
      </c>
      <c r="D713" t="str">
        <f>_xlfn.XLOOKUP(RW_DT_PRODUCTION[[#This Row],[MATERIAL_ID]],DIM_MATERIAL[MATERIAL_ID],DIM_MATERIAL[UOM_AFTER_PROCESS])</f>
        <v>BALE</v>
      </c>
      <c r="E713">
        <v>86</v>
      </c>
    </row>
    <row r="714" spans="1:5" x14ac:dyDescent="0.2">
      <c r="A714" s="3">
        <v>45668</v>
      </c>
      <c r="B714" t="s">
        <v>1</v>
      </c>
      <c r="C714">
        <v>1</v>
      </c>
      <c r="D714" t="str">
        <f>_xlfn.XLOOKUP(RW_DT_PRODUCTION[[#This Row],[MATERIAL_ID]],DIM_MATERIAL[MATERIAL_ID],DIM_MATERIAL[UOM_AFTER_PROCESS])</f>
        <v>BALE</v>
      </c>
      <c r="E714">
        <v>69</v>
      </c>
    </row>
    <row r="715" spans="1:5" x14ac:dyDescent="0.2">
      <c r="A715" s="3">
        <v>45668</v>
      </c>
      <c r="B715" t="s">
        <v>1</v>
      </c>
      <c r="C715">
        <v>1</v>
      </c>
      <c r="D715" t="str">
        <f>_xlfn.XLOOKUP(RW_DT_PRODUCTION[[#This Row],[MATERIAL_ID]],DIM_MATERIAL[MATERIAL_ID],DIM_MATERIAL[UOM_AFTER_PROCESS])</f>
        <v>BALE</v>
      </c>
      <c r="E715">
        <v>77</v>
      </c>
    </row>
    <row r="716" spans="1:5" x14ac:dyDescent="0.2">
      <c r="A716" s="3">
        <v>45668</v>
      </c>
      <c r="B716" t="s">
        <v>1</v>
      </c>
      <c r="C716">
        <v>1</v>
      </c>
      <c r="D716" t="str">
        <f>_xlfn.XLOOKUP(RW_DT_PRODUCTION[[#This Row],[MATERIAL_ID]],DIM_MATERIAL[MATERIAL_ID],DIM_MATERIAL[UOM_AFTER_PROCESS])</f>
        <v>BALE</v>
      </c>
      <c r="E716">
        <v>74</v>
      </c>
    </row>
    <row r="717" spans="1:5" x14ac:dyDescent="0.2">
      <c r="A717" s="3">
        <v>45668</v>
      </c>
      <c r="B717" t="s">
        <v>1</v>
      </c>
      <c r="C717">
        <v>1</v>
      </c>
      <c r="D717" t="str">
        <f>_xlfn.XLOOKUP(RW_DT_PRODUCTION[[#This Row],[MATERIAL_ID]],DIM_MATERIAL[MATERIAL_ID],DIM_MATERIAL[UOM_AFTER_PROCESS])</f>
        <v>BALE</v>
      </c>
      <c r="E717">
        <v>66</v>
      </c>
    </row>
    <row r="718" spans="1:5" x14ac:dyDescent="0.2">
      <c r="A718" s="3">
        <v>45668</v>
      </c>
      <c r="B718" t="s">
        <v>1</v>
      </c>
      <c r="C718">
        <v>1</v>
      </c>
      <c r="D718" t="str">
        <f>_xlfn.XLOOKUP(RW_DT_PRODUCTION[[#This Row],[MATERIAL_ID]],DIM_MATERIAL[MATERIAL_ID],DIM_MATERIAL[UOM_AFTER_PROCESS])</f>
        <v>BALE</v>
      </c>
      <c r="E718">
        <v>83</v>
      </c>
    </row>
    <row r="719" spans="1:5" x14ac:dyDescent="0.2">
      <c r="A719" s="3">
        <v>45668</v>
      </c>
      <c r="B719" t="s">
        <v>1</v>
      </c>
      <c r="C719">
        <v>1</v>
      </c>
      <c r="D719" t="str">
        <f>_xlfn.XLOOKUP(RW_DT_PRODUCTION[[#This Row],[MATERIAL_ID]],DIM_MATERIAL[MATERIAL_ID],DIM_MATERIAL[UOM_AFTER_PROCESS])</f>
        <v>BALE</v>
      </c>
      <c r="E719">
        <v>79</v>
      </c>
    </row>
    <row r="720" spans="1:5" x14ac:dyDescent="0.2">
      <c r="A720" s="3">
        <v>45668</v>
      </c>
      <c r="B720" t="s">
        <v>1</v>
      </c>
      <c r="C720">
        <v>1</v>
      </c>
      <c r="D720" t="str">
        <f>_xlfn.XLOOKUP(RW_DT_PRODUCTION[[#This Row],[MATERIAL_ID]],DIM_MATERIAL[MATERIAL_ID],DIM_MATERIAL[UOM_AFTER_PROCESS])</f>
        <v>BALE</v>
      </c>
      <c r="E720">
        <v>86</v>
      </c>
    </row>
    <row r="721" spans="1:5" x14ac:dyDescent="0.2">
      <c r="A721" s="3">
        <v>45668</v>
      </c>
      <c r="B721" t="s">
        <v>1</v>
      </c>
      <c r="C721">
        <v>1</v>
      </c>
      <c r="D721" t="str">
        <f>_xlfn.XLOOKUP(RW_DT_PRODUCTION[[#This Row],[MATERIAL_ID]],DIM_MATERIAL[MATERIAL_ID],DIM_MATERIAL[UOM_AFTER_PROCESS])</f>
        <v>BALE</v>
      </c>
      <c r="E721">
        <v>80</v>
      </c>
    </row>
    <row r="722" spans="1:5" x14ac:dyDescent="0.2">
      <c r="A722" s="3">
        <v>45668</v>
      </c>
      <c r="B722" t="s">
        <v>1</v>
      </c>
      <c r="C722">
        <v>1</v>
      </c>
      <c r="D722" t="str">
        <f>_xlfn.XLOOKUP(RW_DT_PRODUCTION[[#This Row],[MATERIAL_ID]],DIM_MATERIAL[MATERIAL_ID],DIM_MATERIAL[UOM_AFTER_PROCESS])</f>
        <v>BALE</v>
      </c>
      <c r="E722">
        <v>67</v>
      </c>
    </row>
    <row r="723" spans="1:5" x14ac:dyDescent="0.2">
      <c r="A723" s="3">
        <v>45668</v>
      </c>
      <c r="B723" t="s">
        <v>1</v>
      </c>
      <c r="C723">
        <v>1</v>
      </c>
      <c r="D723" t="str">
        <f>_xlfn.XLOOKUP(RW_DT_PRODUCTION[[#This Row],[MATERIAL_ID]],DIM_MATERIAL[MATERIAL_ID],DIM_MATERIAL[UOM_AFTER_PROCESS])</f>
        <v>BALE</v>
      </c>
      <c r="E723">
        <v>69</v>
      </c>
    </row>
    <row r="724" spans="1:5" x14ac:dyDescent="0.2">
      <c r="A724" s="3">
        <v>45668</v>
      </c>
      <c r="B724" t="s">
        <v>2</v>
      </c>
      <c r="C724">
        <v>1</v>
      </c>
      <c r="D724" t="str">
        <f>_xlfn.XLOOKUP(RW_DT_PRODUCTION[[#This Row],[MATERIAL_ID]],DIM_MATERIAL[MATERIAL_ID],DIM_MATERIAL[UOM_AFTER_PROCESS])</f>
        <v>BAG</v>
      </c>
      <c r="E724">
        <v>22</v>
      </c>
    </row>
    <row r="725" spans="1:5" x14ac:dyDescent="0.2">
      <c r="A725" s="3">
        <v>45670</v>
      </c>
      <c r="B725" t="s">
        <v>1</v>
      </c>
      <c r="C725">
        <v>1</v>
      </c>
      <c r="D725" t="str">
        <f>_xlfn.XLOOKUP(RW_DT_PRODUCTION[[#This Row],[MATERIAL_ID]],DIM_MATERIAL[MATERIAL_ID],DIM_MATERIAL[UOM_AFTER_PROCESS])</f>
        <v>BALE</v>
      </c>
      <c r="E725">
        <v>81</v>
      </c>
    </row>
    <row r="726" spans="1:5" x14ac:dyDescent="0.2">
      <c r="A726" s="3">
        <v>45670</v>
      </c>
      <c r="B726" t="s">
        <v>1</v>
      </c>
      <c r="C726">
        <v>1</v>
      </c>
      <c r="D726" t="str">
        <f>_xlfn.XLOOKUP(RW_DT_PRODUCTION[[#This Row],[MATERIAL_ID]],DIM_MATERIAL[MATERIAL_ID],DIM_MATERIAL[UOM_AFTER_PROCESS])</f>
        <v>BALE</v>
      </c>
      <c r="E726">
        <v>88</v>
      </c>
    </row>
    <row r="727" spans="1:5" x14ac:dyDescent="0.2">
      <c r="A727" s="3">
        <v>45670</v>
      </c>
      <c r="B727" t="s">
        <v>1</v>
      </c>
      <c r="C727">
        <v>1</v>
      </c>
      <c r="D727" t="str">
        <f>_xlfn.XLOOKUP(RW_DT_PRODUCTION[[#This Row],[MATERIAL_ID]],DIM_MATERIAL[MATERIAL_ID],DIM_MATERIAL[UOM_AFTER_PROCESS])</f>
        <v>BALE</v>
      </c>
      <c r="E727">
        <v>63</v>
      </c>
    </row>
    <row r="728" spans="1:5" x14ac:dyDescent="0.2">
      <c r="A728" s="3">
        <v>45671</v>
      </c>
      <c r="B728" t="s">
        <v>1</v>
      </c>
      <c r="C728">
        <v>1</v>
      </c>
      <c r="D728" t="str">
        <f>_xlfn.XLOOKUP(RW_DT_PRODUCTION[[#This Row],[MATERIAL_ID]],DIM_MATERIAL[MATERIAL_ID],DIM_MATERIAL[UOM_AFTER_PROCESS])</f>
        <v>BALE</v>
      </c>
      <c r="E728">
        <v>86</v>
      </c>
    </row>
    <row r="729" spans="1:5" x14ac:dyDescent="0.2">
      <c r="A729" s="3">
        <v>45671</v>
      </c>
      <c r="B729" t="s">
        <v>1</v>
      </c>
      <c r="C729">
        <v>1</v>
      </c>
      <c r="D729" t="str">
        <f>_xlfn.XLOOKUP(RW_DT_PRODUCTION[[#This Row],[MATERIAL_ID]],DIM_MATERIAL[MATERIAL_ID],DIM_MATERIAL[UOM_AFTER_PROCESS])</f>
        <v>BALE</v>
      </c>
      <c r="E729">
        <v>70</v>
      </c>
    </row>
    <row r="730" spans="1:5" x14ac:dyDescent="0.2">
      <c r="A730" s="3">
        <v>45671</v>
      </c>
      <c r="B730" t="s">
        <v>1</v>
      </c>
      <c r="C730">
        <v>1</v>
      </c>
      <c r="D730" t="str">
        <f>_xlfn.XLOOKUP(RW_DT_PRODUCTION[[#This Row],[MATERIAL_ID]],DIM_MATERIAL[MATERIAL_ID],DIM_MATERIAL[UOM_AFTER_PROCESS])</f>
        <v>BALE</v>
      </c>
      <c r="E730">
        <v>82</v>
      </c>
    </row>
    <row r="731" spans="1:5" x14ac:dyDescent="0.2">
      <c r="A731" s="3">
        <v>45671</v>
      </c>
      <c r="B731" t="s">
        <v>1</v>
      </c>
      <c r="C731">
        <v>1</v>
      </c>
      <c r="D731" t="str">
        <f>_xlfn.XLOOKUP(RW_DT_PRODUCTION[[#This Row],[MATERIAL_ID]],DIM_MATERIAL[MATERIAL_ID],DIM_MATERIAL[UOM_AFTER_PROCESS])</f>
        <v>BALE</v>
      </c>
      <c r="E731">
        <v>76</v>
      </c>
    </row>
    <row r="732" spans="1:5" x14ac:dyDescent="0.2">
      <c r="A732" s="3">
        <v>45671</v>
      </c>
      <c r="B732" t="s">
        <v>1</v>
      </c>
      <c r="C732">
        <v>1</v>
      </c>
      <c r="D732" t="str">
        <f>_xlfn.XLOOKUP(RW_DT_PRODUCTION[[#This Row],[MATERIAL_ID]],DIM_MATERIAL[MATERIAL_ID],DIM_MATERIAL[UOM_AFTER_PROCESS])</f>
        <v>BALE</v>
      </c>
      <c r="E732">
        <v>67</v>
      </c>
    </row>
    <row r="733" spans="1:5" x14ac:dyDescent="0.2">
      <c r="A733" s="3">
        <v>45671</v>
      </c>
      <c r="B733" t="s">
        <v>1</v>
      </c>
      <c r="C733">
        <v>1</v>
      </c>
      <c r="D733" t="str">
        <f>_xlfn.XLOOKUP(RW_DT_PRODUCTION[[#This Row],[MATERIAL_ID]],DIM_MATERIAL[MATERIAL_ID],DIM_MATERIAL[UOM_AFTER_PROCESS])</f>
        <v>BALE</v>
      </c>
      <c r="E733">
        <v>72</v>
      </c>
    </row>
    <row r="734" spans="1:5" x14ac:dyDescent="0.2">
      <c r="A734" s="3">
        <v>45671</v>
      </c>
      <c r="B734" t="s">
        <v>1</v>
      </c>
      <c r="C734">
        <v>1</v>
      </c>
      <c r="D734" t="str">
        <f>_xlfn.XLOOKUP(RW_DT_PRODUCTION[[#This Row],[MATERIAL_ID]],DIM_MATERIAL[MATERIAL_ID],DIM_MATERIAL[UOM_AFTER_PROCESS])</f>
        <v>BALE</v>
      </c>
      <c r="E734">
        <v>64</v>
      </c>
    </row>
    <row r="735" spans="1:5" x14ac:dyDescent="0.2">
      <c r="A735" s="3">
        <v>45671</v>
      </c>
      <c r="B735" t="s">
        <v>1</v>
      </c>
      <c r="C735">
        <v>1</v>
      </c>
      <c r="D735" t="str">
        <f>_xlfn.XLOOKUP(RW_DT_PRODUCTION[[#This Row],[MATERIAL_ID]],DIM_MATERIAL[MATERIAL_ID],DIM_MATERIAL[UOM_AFTER_PROCESS])</f>
        <v>BALE</v>
      </c>
      <c r="E735">
        <v>84</v>
      </c>
    </row>
    <row r="736" spans="1:5" x14ac:dyDescent="0.2">
      <c r="A736" s="3">
        <v>45671</v>
      </c>
      <c r="B736" t="s">
        <v>1</v>
      </c>
      <c r="C736">
        <v>1</v>
      </c>
      <c r="D736" t="str">
        <f>_xlfn.XLOOKUP(RW_DT_PRODUCTION[[#This Row],[MATERIAL_ID]],DIM_MATERIAL[MATERIAL_ID],DIM_MATERIAL[UOM_AFTER_PROCESS])</f>
        <v>BALE</v>
      </c>
      <c r="E736">
        <v>70</v>
      </c>
    </row>
    <row r="737" spans="1:5" x14ac:dyDescent="0.2">
      <c r="A737" s="3">
        <v>45672</v>
      </c>
      <c r="B737" t="s">
        <v>1</v>
      </c>
      <c r="C737">
        <v>1</v>
      </c>
      <c r="D737" t="str">
        <f>_xlfn.XLOOKUP(RW_DT_PRODUCTION[[#This Row],[MATERIAL_ID]],DIM_MATERIAL[MATERIAL_ID],DIM_MATERIAL[UOM_AFTER_PROCESS])</f>
        <v>BALE</v>
      </c>
      <c r="E737">
        <v>70</v>
      </c>
    </row>
    <row r="738" spans="1:5" x14ac:dyDescent="0.2">
      <c r="A738" s="3">
        <v>45672</v>
      </c>
      <c r="B738" t="s">
        <v>1</v>
      </c>
      <c r="C738">
        <v>1</v>
      </c>
      <c r="D738" t="str">
        <f>_xlfn.XLOOKUP(RW_DT_PRODUCTION[[#This Row],[MATERIAL_ID]],DIM_MATERIAL[MATERIAL_ID],DIM_MATERIAL[UOM_AFTER_PROCESS])</f>
        <v>BALE</v>
      </c>
      <c r="E738">
        <v>85</v>
      </c>
    </row>
    <row r="739" spans="1:5" x14ac:dyDescent="0.2">
      <c r="A739" s="3">
        <v>45672</v>
      </c>
      <c r="B739" t="s">
        <v>1</v>
      </c>
      <c r="C739">
        <v>1</v>
      </c>
      <c r="D739" t="str">
        <f>_xlfn.XLOOKUP(RW_DT_PRODUCTION[[#This Row],[MATERIAL_ID]],DIM_MATERIAL[MATERIAL_ID],DIM_MATERIAL[UOM_AFTER_PROCESS])</f>
        <v>BALE</v>
      </c>
      <c r="E739">
        <v>85</v>
      </c>
    </row>
    <row r="740" spans="1:5" x14ac:dyDescent="0.2">
      <c r="A740" s="3">
        <v>45672</v>
      </c>
      <c r="B740" t="s">
        <v>1</v>
      </c>
      <c r="C740">
        <v>1</v>
      </c>
      <c r="D740" t="str">
        <f>_xlfn.XLOOKUP(RW_DT_PRODUCTION[[#This Row],[MATERIAL_ID]],DIM_MATERIAL[MATERIAL_ID],DIM_MATERIAL[UOM_AFTER_PROCESS])</f>
        <v>BALE</v>
      </c>
      <c r="E740">
        <v>87</v>
      </c>
    </row>
    <row r="741" spans="1:5" x14ac:dyDescent="0.2">
      <c r="A741" s="3">
        <v>45672</v>
      </c>
      <c r="B741" t="s">
        <v>1</v>
      </c>
      <c r="C741">
        <v>1</v>
      </c>
      <c r="D741" t="str">
        <f>_xlfn.XLOOKUP(RW_DT_PRODUCTION[[#This Row],[MATERIAL_ID]],DIM_MATERIAL[MATERIAL_ID],DIM_MATERIAL[UOM_AFTER_PROCESS])</f>
        <v>BALE</v>
      </c>
      <c r="E741">
        <v>85</v>
      </c>
    </row>
    <row r="742" spans="1:5" x14ac:dyDescent="0.2">
      <c r="A742" s="3">
        <v>45672</v>
      </c>
      <c r="B742" t="s">
        <v>1</v>
      </c>
      <c r="C742">
        <v>1</v>
      </c>
      <c r="D742" t="str">
        <f>_xlfn.XLOOKUP(RW_DT_PRODUCTION[[#This Row],[MATERIAL_ID]],DIM_MATERIAL[MATERIAL_ID],DIM_MATERIAL[UOM_AFTER_PROCESS])</f>
        <v>BALE</v>
      </c>
      <c r="E742">
        <v>71</v>
      </c>
    </row>
    <row r="743" spans="1:5" x14ac:dyDescent="0.2">
      <c r="A743" s="3">
        <v>45672</v>
      </c>
      <c r="B743" t="s">
        <v>1</v>
      </c>
      <c r="C743">
        <v>1</v>
      </c>
      <c r="D743" t="str">
        <f>_xlfn.XLOOKUP(RW_DT_PRODUCTION[[#This Row],[MATERIAL_ID]],DIM_MATERIAL[MATERIAL_ID],DIM_MATERIAL[UOM_AFTER_PROCESS])</f>
        <v>BALE</v>
      </c>
      <c r="E743">
        <v>85</v>
      </c>
    </row>
    <row r="744" spans="1:5" x14ac:dyDescent="0.2">
      <c r="A744" s="3">
        <v>45672</v>
      </c>
      <c r="B744" t="s">
        <v>2</v>
      </c>
      <c r="C744">
        <v>1</v>
      </c>
      <c r="D744" t="str">
        <f>_xlfn.XLOOKUP(RW_DT_PRODUCTION[[#This Row],[MATERIAL_ID]],DIM_MATERIAL[MATERIAL_ID],DIM_MATERIAL[UOM_AFTER_PROCESS])</f>
        <v>BAG</v>
      </c>
      <c r="E744">
        <v>22</v>
      </c>
    </row>
    <row r="745" spans="1:5" x14ac:dyDescent="0.2">
      <c r="A745" s="3">
        <v>45672</v>
      </c>
      <c r="B745" t="s">
        <v>2</v>
      </c>
      <c r="C745">
        <v>1</v>
      </c>
      <c r="D745" t="str">
        <f>_xlfn.XLOOKUP(RW_DT_PRODUCTION[[#This Row],[MATERIAL_ID]],DIM_MATERIAL[MATERIAL_ID],DIM_MATERIAL[UOM_AFTER_PROCESS])</f>
        <v>BAG</v>
      </c>
      <c r="E745">
        <v>22</v>
      </c>
    </row>
    <row r="746" spans="1:5" x14ac:dyDescent="0.2">
      <c r="A746" s="3">
        <v>45672</v>
      </c>
      <c r="B746" t="s">
        <v>2</v>
      </c>
      <c r="C746">
        <v>1</v>
      </c>
      <c r="D746" t="str">
        <f>_xlfn.XLOOKUP(RW_DT_PRODUCTION[[#This Row],[MATERIAL_ID]],DIM_MATERIAL[MATERIAL_ID],DIM_MATERIAL[UOM_AFTER_PROCESS])</f>
        <v>BAG</v>
      </c>
      <c r="E746">
        <v>22</v>
      </c>
    </row>
    <row r="747" spans="1:5" x14ac:dyDescent="0.2">
      <c r="A747" s="3">
        <v>45672</v>
      </c>
      <c r="B747" t="s">
        <v>2</v>
      </c>
      <c r="C747">
        <v>1</v>
      </c>
      <c r="D747" t="str">
        <f>_xlfn.XLOOKUP(RW_DT_PRODUCTION[[#This Row],[MATERIAL_ID]],DIM_MATERIAL[MATERIAL_ID],DIM_MATERIAL[UOM_AFTER_PROCESS])</f>
        <v>BAG</v>
      </c>
      <c r="E747">
        <v>22</v>
      </c>
    </row>
    <row r="748" spans="1:5" x14ac:dyDescent="0.2">
      <c r="A748" s="3">
        <v>45673</v>
      </c>
      <c r="B748" t="s">
        <v>1</v>
      </c>
      <c r="C748">
        <v>1</v>
      </c>
      <c r="D748" t="str">
        <f>_xlfn.XLOOKUP(RW_DT_PRODUCTION[[#This Row],[MATERIAL_ID]],DIM_MATERIAL[MATERIAL_ID],DIM_MATERIAL[UOM_AFTER_PROCESS])</f>
        <v>BALE</v>
      </c>
      <c r="E748">
        <v>60</v>
      </c>
    </row>
    <row r="749" spans="1:5" x14ac:dyDescent="0.2">
      <c r="A749" s="3">
        <v>45673</v>
      </c>
      <c r="B749" t="s">
        <v>1</v>
      </c>
      <c r="C749">
        <v>1</v>
      </c>
      <c r="D749" t="str">
        <f>_xlfn.XLOOKUP(RW_DT_PRODUCTION[[#This Row],[MATERIAL_ID]],DIM_MATERIAL[MATERIAL_ID],DIM_MATERIAL[UOM_AFTER_PROCESS])</f>
        <v>BALE</v>
      </c>
      <c r="E749">
        <v>74</v>
      </c>
    </row>
    <row r="750" spans="1:5" x14ac:dyDescent="0.2">
      <c r="A750" s="3">
        <v>45673</v>
      </c>
      <c r="B750" t="s">
        <v>1</v>
      </c>
      <c r="C750">
        <v>1</v>
      </c>
      <c r="D750" t="str">
        <f>_xlfn.XLOOKUP(RW_DT_PRODUCTION[[#This Row],[MATERIAL_ID]],DIM_MATERIAL[MATERIAL_ID],DIM_MATERIAL[UOM_AFTER_PROCESS])</f>
        <v>BALE</v>
      </c>
      <c r="E750">
        <v>77</v>
      </c>
    </row>
    <row r="751" spans="1:5" x14ac:dyDescent="0.2">
      <c r="A751" s="3">
        <v>45673</v>
      </c>
      <c r="B751" t="s">
        <v>1</v>
      </c>
      <c r="C751">
        <v>1</v>
      </c>
      <c r="D751" t="str">
        <f>_xlfn.XLOOKUP(RW_DT_PRODUCTION[[#This Row],[MATERIAL_ID]],DIM_MATERIAL[MATERIAL_ID],DIM_MATERIAL[UOM_AFTER_PROCESS])</f>
        <v>BALE</v>
      </c>
      <c r="E751">
        <v>82</v>
      </c>
    </row>
    <row r="752" spans="1:5" x14ac:dyDescent="0.2">
      <c r="A752" s="3">
        <v>45673</v>
      </c>
      <c r="B752" t="s">
        <v>1</v>
      </c>
      <c r="C752">
        <v>1</v>
      </c>
      <c r="D752" t="str">
        <f>_xlfn.XLOOKUP(RW_DT_PRODUCTION[[#This Row],[MATERIAL_ID]],DIM_MATERIAL[MATERIAL_ID],DIM_MATERIAL[UOM_AFTER_PROCESS])</f>
        <v>BALE</v>
      </c>
      <c r="E752">
        <v>87</v>
      </c>
    </row>
    <row r="753" spans="1:5" x14ac:dyDescent="0.2">
      <c r="A753" s="3">
        <v>45673</v>
      </c>
      <c r="B753" t="s">
        <v>1</v>
      </c>
      <c r="C753">
        <v>1</v>
      </c>
      <c r="D753" t="str">
        <f>_xlfn.XLOOKUP(RW_DT_PRODUCTION[[#This Row],[MATERIAL_ID]],DIM_MATERIAL[MATERIAL_ID],DIM_MATERIAL[UOM_AFTER_PROCESS])</f>
        <v>BALE</v>
      </c>
      <c r="E753">
        <v>66</v>
      </c>
    </row>
    <row r="754" spans="1:5" x14ac:dyDescent="0.2">
      <c r="A754" s="3">
        <v>45674</v>
      </c>
      <c r="B754" t="s">
        <v>1</v>
      </c>
      <c r="C754">
        <v>1</v>
      </c>
      <c r="D754" t="str">
        <f>_xlfn.XLOOKUP(RW_DT_PRODUCTION[[#This Row],[MATERIAL_ID]],DIM_MATERIAL[MATERIAL_ID],DIM_MATERIAL[UOM_AFTER_PROCESS])</f>
        <v>BALE</v>
      </c>
      <c r="E754">
        <v>61</v>
      </c>
    </row>
    <row r="755" spans="1:5" x14ac:dyDescent="0.2">
      <c r="A755" s="3">
        <v>45674</v>
      </c>
      <c r="B755" t="s">
        <v>1</v>
      </c>
      <c r="C755">
        <v>1</v>
      </c>
      <c r="D755" t="str">
        <f>_xlfn.XLOOKUP(RW_DT_PRODUCTION[[#This Row],[MATERIAL_ID]],DIM_MATERIAL[MATERIAL_ID],DIM_MATERIAL[UOM_AFTER_PROCESS])</f>
        <v>BALE</v>
      </c>
      <c r="E755">
        <v>63</v>
      </c>
    </row>
    <row r="756" spans="1:5" x14ac:dyDescent="0.2">
      <c r="A756" s="3">
        <v>45674</v>
      </c>
      <c r="B756" t="s">
        <v>1</v>
      </c>
      <c r="C756">
        <v>1</v>
      </c>
      <c r="D756" t="str">
        <f>_xlfn.XLOOKUP(RW_DT_PRODUCTION[[#This Row],[MATERIAL_ID]],DIM_MATERIAL[MATERIAL_ID],DIM_MATERIAL[UOM_AFTER_PROCESS])</f>
        <v>BALE</v>
      </c>
      <c r="E756">
        <v>67</v>
      </c>
    </row>
    <row r="757" spans="1:5" x14ac:dyDescent="0.2">
      <c r="A757" s="3">
        <v>45674</v>
      </c>
      <c r="B757" t="s">
        <v>1</v>
      </c>
      <c r="C757">
        <v>1</v>
      </c>
      <c r="D757" t="str">
        <f>_xlfn.XLOOKUP(RW_DT_PRODUCTION[[#This Row],[MATERIAL_ID]],DIM_MATERIAL[MATERIAL_ID],DIM_MATERIAL[UOM_AFTER_PROCESS])</f>
        <v>BALE</v>
      </c>
      <c r="E757">
        <v>68</v>
      </c>
    </row>
    <row r="758" spans="1:5" x14ac:dyDescent="0.2">
      <c r="A758" s="3">
        <v>45674</v>
      </c>
      <c r="B758" t="s">
        <v>1</v>
      </c>
      <c r="C758">
        <v>1</v>
      </c>
      <c r="D758" t="str">
        <f>_xlfn.XLOOKUP(RW_DT_PRODUCTION[[#This Row],[MATERIAL_ID]],DIM_MATERIAL[MATERIAL_ID],DIM_MATERIAL[UOM_AFTER_PROCESS])</f>
        <v>BALE</v>
      </c>
      <c r="E758">
        <v>80</v>
      </c>
    </row>
    <row r="759" spans="1:5" x14ac:dyDescent="0.2">
      <c r="A759" s="3">
        <v>45674</v>
      </c>
      <c r="B759" t="s">
        <v>1</v>
      </c>
      <c r="C759">
        <v>1</v>
      </c>
      <c r="D759" t="str">
        <f>_xlfn.XLOOKUP(RW_DT_PRODUCTION[[#This Row],[MATERIAL_ID]],DIM_MATERIAL[MATERIAL_ID],DIM_MATERIAL[UOM_AFTER_PROCESS])</f>
        <v>BALE</v>
      </c>
      <c r="E759">
        <v>71</v>
      </c>
    </row>
    <row r="760" spans="1:5" x14ac:dyDescent="0.2">
      <c r="A760" s="3">
        <v>45674</v>
      </c>
      <c r="B760" t="s">
        <v>1</v>
      </c>
      <c r="C760">
        <v>1</v>
      </c>
      <c r="D760" t="str">
        <f>_xlfn.XLOOKUP(RW_DT_PRODUCTION[[#This Row],[MATERIAL_ID]],DIM_MATERIAL[MATERIAL_ID],DIM_MATERIAL[UOM_AFTER_PROCESS])</f>
        <v>BALE</v>
      </c>
      <c r="E760">
        <v>87</v>
      </c>
    </row>
    <row r="761" spans="1:5" x14ac:dyDescent="0.2">
      <c r="A761" s="3">
        <v>45674</v>
      </c>
      <c r="B761" t="s">
        <v>1</v>
      </c>
      <c r="C761">
        <v>1</v>
      </c>
      <c r="D761" t="str">
        <f>_xlfn.XLOOKUP(RW_DT_PRODUCTION[[#This Row],[MATERIAL_ID]],DIM_MATERIAL[MATERIAL_ID],DIM_MATERIAL[UOM_AFTER_PROCESS])</f>
        <v>BALE</v>
      </c>
      <c r="E761">
        <v>78</v>
      </c>
    </row>
    <row r="762" spans="1:5" x14ac:dyDescent="0.2">
      <c r="A762" s="3">
        <v>45674</v>
      </c>
      <c r="B762" t="s">
        <v>1</v>
      </c>
      <c r="C762">
        <v>1</v>
      </c>
      <c r="D762" t="str">
        <f>_xlfn.XLOOKUP(RW_DT_PRODUCTION[[#This Row],[MATERIAL_ID]],DIM_MATERIAL[MATERIAL_ID],DIM_MATERIAL[UOM_AFTER_PROCESS])</f>
        <v>BALE</v>
      </c>
      <c r="E762">
        <v>69</v>
      </c>
    </row>
    <row r="763" spans="1:5" x14ac:dyDescent="0.2">
      <c r="A763" s="3">
        <v>45674</v>
      </c>
      <c r="B763" t="s">
        <v>1</v>
      </c>
      <c r="C763">
        <v>1</v>
      </c>
      <c r="D763" t="str">
        <f>_xlfn.XLOOKUP(RW_DT_PRODUCTION[[#This Row],[MATERIAL_ID]],DIM_MATERIAL[MATERIAL_ID],DIM_MATERIAL[UOM_AFTER_PROCESS])</f>
        <v>BALE</v>
      </c>
      <c r="E763">
        <v>77</v>
      </c>
    </row>
    <row r="764" spans="1:5" x14ac:dyDescent="0.2">
      <c r="A764" s="3">
        <v>45674</v>
      </c>
      <c r="B764" t="s">
        <v>1</v>
      </c>
      <c r="C764">
        <v>1</v>
      </c>
      <c r="D764" t="str">
        <f>_xlfn.XLOOKUP(RW_DT_PRODUCTION[[#This Row],[MATERIAL_ID]],DIM_MATERIAL[MATERIAL_ID],DIM_MATERIAL[UOM_AFTER_PROCESS])</f>
        <v>BALE</v>
      </c>
      <c r="E764">
        <v>83</v>
      </c>
    </row>
    <row r="765" spans="1:5" x14ac:dyDescent="0.2">
      <c r="A765" s="3">
        <v>45674</v>
      </c>
      <c r="B765" t="s">
        <v>2</v>
      </c>
      <c r="C765">
        <v>1</v>
      </c>
      <c r="D765" t="str">
        <f>_xlfn.XLOOKUP(RW_DT_PRODUCTION[[#This Row],[MATERIAL_ID]],DIM_MATERIAL[MATERIAL_ID],DIM_MATERIAL[UOM_AFTER_PROCESS])</f>
        <v>BAG</v>
      </c>
      <c r="E765">
        <v>22</v>
      </c>
    </row>
    <row r="766" spans="1:5" x14ac:dyDescent="0.2">
      <c r="A766" s="3">
        <v>45675</v>
      </c>
      <c r="B766" t="s">
        <v>1</v>
      </c>
      <c r="C766">
        <v>1</v>
      </c>
      <c r="D766" t="str">
        <f>_xlfn.XLOOKUP(RW_DT_PRODUCTION[[#This Row],[MATERIAL_ID]],DIM_MATERIAL[MATERIAL_ID],DIM_MATERIAL[UOM_AFTER_PROCESS])</f>
        <v>BALE</v>
      </c>
      <c r="E766">
        <v>85</v>
      </c>
    </row>
    <row r="767" spans="1:5" x14ac:dyDescent="0.2">
      <c r="A767" s="3">
        <v>45675</v>
      </c>
      <c r="B767" t="s">
        <v>1</v>
      </c>
      <c r="C767">
        <v>1</v>
      </c>
      <c r="D767" t="str">
        <f>_xlfn.XLOOKUP(RW_DT_PRODUCTION[[#This Row],[MATERIAL_ID]],DIM_MATERIAL[MATERIAL_ID],DIM_MATERIAL[UOM_AFTER_PROCESS])</f>
        <v>BALE</v>
      </c>
      <c r="E767">
        <v>89</v>
      </c>
    </row>
    <row r="768" spans="1:5" x14ac:dyDescent="0.2">
      <c r="A768" s="3">
        <v>45675</v>
      </c>
      <c r="B768" t="s">
        <v>1</v>
      </c>
      <c r="C768">
        <v>1</v>
      </c>
      <c r="D768" t="str">
        <f>_xlfn.XLOOKUP(RW_DT_PRODUCTION[[#This Row],[MATERIAL_ID]],DIM_MATERIAL[MATERIAL_ID],DIM_MATERIAL[UOM_AFTER_PROCESS])</f>
        <v>BALE</v>
      </c>
      <c r="E768">
        <v>69</v>
      </c>
    </row>
    <row r="769" spans="1:5" x14ac:dyDescent="0.2">
      <c r="A769" s="3">
        <v>45677</v>
      </c>
      <c r="B769" t="s">
        <v>1</v>
      </c>
      <c r="C769">
        <v>1</v>
      </c>
      <c r="D769" t="str">
        <f>_xlfn.XLOOKUP(RW_DT_PRODUCTION[[#This Row],[MATERIAL_ID]],DIM_MATERIAL[MATERIAL_ID],DIM_MATERIAL[UOM_AFTER_PROCESS])</f>
        <v>BALE</v>
      </c>
      <c r="E769">
        <v>89</v>
      </c>
    </row>
    <row r="770" spans="1:5" x14ac:dyDescent="0.2">
      <c r="A770" s="3">
        <v>45677</v>
      </c>
      <c r="B770" t="s">
        <v>1</v>
      </c>
      <c r="C770">
        <v>1</v>
      </c>
      <c r="D770" t="str">
        <f>_xlfn.XLOOKUP(RW_DT_PRODUCTION[[#This Row],[MATERIAL_ID]],DIM_MATERIAL[MATERIAL_ID],DIM_MATERIAL[UOM_AFTER_PROCESS])</f>
        <v>BALE</v>
      </c>
      <c r="E770">
        <v>89</v>
      </c>
    </row>
    <row r="771" spans="1:5" x14ac:dyDescent="0.2">
      <c r="A771" s="3">
        <v>45677</v>
      </c>
      <c r="B771" t="s">
        <v>1</v>
      </c>
      <c r="C771">
        <v>1</v>
      </c>
      <c r="D771" t="str">
        <f>_xlfn.XLOOKUP(RW_DT_PRODUCTION[[#This Row],[MATERIAL_ID]],DIM_MATERIAL[MATERIAL_ID],DIM_MATERIAL[UOM_AFTER_PROCESS])</f>
        <v>BALE</v>
      </c>
      <c r="E771">
        <v>61</v>
      </c>
    </row>
    <row r="772" spans="1:5" x14ac:dyDescent="0.2">
      <c r="A772" s="3">
        <v>45677</v>
      </c>
      <c r="B772" t="s">
        <v>1</v>
      </c>
      <c r="C772">
        <v>1</v>
      </c>
      <c r="D772" t="str">
        <f>_xlfn.XLOOKUP(RW_DT_PRODUCTION[[#This Row],[MATERIAL_ID]],DIM_MATERIAL[MATERIAL_ID],DIM_MATERIAL[UOM_AFTER_PROCESS])</f>
        <v>BALE</v>
      </c>
      <c r="E772">
        <v>64</v>
      </c>
    </row>
    <row r="773" spans="1:5" x14ac:dyDescent="0.2">
      <c r="A773" s="3">
        <v>45677</v>
      </c>
      <c r="B773" t="s">
        <v>1</v>
      </c>
      <c r="C773">
        <v>1</v>
      </c>
      <c r="D773" t="str">
        <f>_xlfn.XLOOKUP(RW_DT_PRODUCTION[[#This Row],[MATERIAL_ID]],DIM_MATERIAL[MATERIAL_ID],DIM_MATERIAL[UOM_AFTER_PROCESS])</f>
        <v>BALE</v>
      </c>
      <c r="E773">
        <v>77</v>
      </c>
    </row>
    <row r="774" spans="1:5" x14ac:dyDescent="0.2">
      <c r="A774" s="3">
        <v>45677</v>
      </c>
      <c r="B774" t="s">
        <v>1</v>
      </c>
      <c r="C774">
        <v>1</v>
      </c>
      <c r="D774" t="str">
        <f>_xlfn.XLOOKUP(RW_DT_PRODUCTION[[#This Row],[MATERIAL_ID]],DIM_MATERIAL[MATERIAL_ID],DIM_MATERIAL[UOM_AFTER_PROCESS])</f>
        <v>BALE</v>
      </c>
      <c r="E774">
        <v>75</v>
      </c>
    </row>
    <row r="775" spans="1:5" x14ac:dyDescent="0.2">
      <c r="A775" s="3">
        <v>45677</v>
      </c>
      <c r="B775" t="s">
        <v>1</v>
      </c>
      <c r="C775">
        <v>1</v>
      </c>
      <c r="D775" t="str">
        <f>_xlfn.XLOOKUP(RW_DT_PRODUCTION[[#This Row],[MATERIAL_ID]],DIM_MATERIAL[MATERIAL_ID],DIM_MATERIAL[UOM_AFTER_PROCESS])</f>
        <v>BALE</v>
      </c>
      <c r="E775">
        <v>81</v>
      </c>
    </row>
    <row r="776" spans="1:5" x14ac:dyDescent="0.2">
      <c r="A776" s="3">
        <v>45677</v>
      </c>
      <c r="B776" t="s">
        <v>1</v>
      </c>
      <c r="C776">
        <v>1</v>
      </c>
      <c r="D776" t="str">
        <f>_xlfn.XLOOKUP(RW_DT_PRODUCTION[[#This Row],[MATERIAL_ID]],DIM_MATERIAL[MATERIAL_ID],DIM_MATERIAL[UOM_AFTER_PROCESS])</f>
        <v>BALE</v>
      </c>
      <c r="E776">
        <v>88</v>
      </c>
    </row>
    <row r="777" spans="1:5" x14ac:dyDescent="0.2">
      <c r="A777" s="3">
        <v>45677</v>
      </c>
      <c r="B777" t="s">
        <v>1</v>
      </c>
      <c r="C777">
        <v>1</v>
      </c>
      <c r="D777" t="str">
        <f>_xlfn.XLOOKUP(RW_DT_PRODUCTION[[#This Row],[MATERIAL_ID]],DIM_MATERIAL[MATERIAL_ID],DIM_MATERIAL[UOM_AFTER_PROCESS])</f>
        <v>BALE</v>
      </c>
      <c r="E777">
        <v>75</v>
      </c>
    </row>
    <row r="778" spans="1:5" x14ac:dyDescent="0.2">
      <c r="A778" s="3">
        <v>45677</v>
      </c>
      <c r="B778" t="s">
        <v>1</v>
      </c>
      <c r="C778">
        <v>1</v>
      </c>
      <c r="D778" t="str">
        <f>_xlfn.XLOOKUP(RW_DT_PRODUCTION[[#This Row],[MATERIAL_ID]],DIM_MATERIAL[MATERIAL_ID],DIM_MATERIAL[UOM_AFTER_PROCESS])</f>
        <v>BALE</v>
      </c>
      <c r="E778">
        <v>72</v>
      </c>
    </row>
    <row r="779" spans="1:5" x14ac:dyDescent="0.2">
      <c r="A779" s="3">
        <v>45677</v>
      </c>
      <c r="B779" t="s">
        <v>1</v>
      </c>
      <c r="C779">
        <v>1</v>
      </c>
      <c r="D779" t="str">
        <f>_xlfn.XLOOKUP(RW_DT_PRODUCTION[[#This Row],[MATERIAL_ID]],DIM_MATERIAL[MATERIAL_ID],DIM_MATERIAL[UOM_AFTER_PROCESS])</f>
        <v>BALE</v>
      </c>
      <c r="E779">
        <v>66</v>
      </c>
    </row>
    <row r="780" spans="1:5" x14ac:dyDescent="0.2">
      <c r="A780" s="3">
        <v>45679</v>
      </c>
      <c r="B780" t="s">
        <v>1</v>
      </c>
      <c r="C780">
        <v>1</v>
      </c>
      <c r="D780" t="str">
        <f>_xlfn.XLOOKUP(RW_DT_PRODUCTION[[#This Row],[MATERIAL_ID]],DIM_MATERIAL[MATERIAL_ID],DIM_MATERIAL[UOM_AFTER_PROCESS])</f>
        <v>BALE</v>
      </c>
      <c r="E780">
        <v>68</v>
      </c>
    </row>
    <row r="781" spans="1:5" x14ac:dyDescent="0.2">
      <c r="A781" s="3">
        <v>45679</v>
      </c>
      <c r="B781" t="s">
        <v>1</v>
      </c>
      <c r="C781">
        <v>1</v>
      </c>
      <c r="D781" t="str">
        <f>_xlfn.XLOOKUP(RW_DT_PRODUCTION[[#This Row],[MATERIAL_ID]],DIM_MATERIAL[MATERIAL_ID],DIM_MATERIAL[UOM_AFTER_PROCESS])</f>
        <v>BALE</v>
      </c>
      <c r="E781">
        <v>80</v>
      </c>
    </row>
    <row r="782" spans="1:5" x14ac:dyDescent="0.2">
      <c r="A782" s="3">
        <v>45679</v>
      </c>
      <c r="B782" t="s">
        <v>1</v>
      </c>
      <c r="C782">
        <v>1</v>
      </c>
      <c r="D782" t="str">
        <f>_xlfn.XLOOKUP(RW_DT_PRODUCTION[[#This Row],[MATERIAL_ID]],DIM_MATERIAL[MATERIAL_ID],DIM_MATERIAL[UOM_AFTER_PROCESS])</f>
        <v>BALE</v>
      </c>
      <c r="E782">
        <v>88</v>
      </c>
    </row>
    <row r="783" spans="1:5" x14ac:dyDescent="0.2">
      <c r="A783" s="3">
        <v>45679</v>
      </c>
      <c r="B783" t="s">
        <v>1</v>
      </c>
      <c r="C783">
        <v>1</v>
      </c>
      <c r="D783" t="str">
        <f>_xlfn.XLOOKUP(RW_DT_PRODUCTION[[#This Row],[MATERIAL_ID]],DIM_MATERIAL[MATERIAL_ID],DIM_MATERIAL[UOM_AFTER_PROCESS])</f>
        <v>BALE</v>
      </c>
      <c r="E783">
        <v>74</v>
      </c>
    </row>
    <row r="784" spans="1:5" x14ac:dyDescent="0.2">
      <c r="A784" s="3">
        <v>45679</v>
      </c>
      <c r="B784" t="s">
        <v>1</v>
      </c>
      <c r="C784">
        <v>1</v>
      </c>
      <c r="D784" t="str">
        <f>_xlfn.XLOOKUP(RW_DT_PRODUCTION[[#This Row],[MATERIAL_ID]],DIM_MATERIAL[MATERIAL_ID],DIM_MATERIAL[UOM_AFTER_PROCESS])</f>
        <v>BALE</v>
      </c>
      <c r="E784">
        <v>77</v>
      </c>
    </row>
    <row r="785" spans="1:5" x14ac:dyDescent="0.2">
      <c r="A785" s="3">
        <v>45679</v>
      </c>
      <c r="B785" t="s">
        <v>1</v>
      </c>
      <c r="C785">
        <v>1</v>
      </c>
      <c r="D785" t="str">
        <f>_xlfn.XLOOKUP(RW_DT_PRODUCTION[[#This Row],[MATERIAL_ID]],DIM_MATERIAL[MATERIAL_ID],DIM_MATERIAL[UOM_AFTER_PROCESS])</f>
        <v>BALE</v>
      </c>
      <c r="E785">
        <v>83</v>
      </c>
    </row>
    <row r="786" spans="1:5" x14ac:dyDescent="0.2">
      <c r="A786" s="3">
        <v>45679</v>
      </c>
      <c r="B786" t="s">
        <v>1</v>
      </c>
      <c r="C786">
        <v>1</v>
      </c>
      <c r="D786" t="str">
        <f>_xlfn.XLOOKUP(RW_DT_PRODUCTION[[#This Row],[MATERIAL_ID]],DIM_MATERIAL[MATERIAL_ID],DIM_MATERIAL[UOM_AFTER_PROCESS])</f>
        <v>BALE</v>
      </c>
      <c r="E786">
        <v>89</v>
      </c>
    </row>
    <row r="787" spans="1:5" x14ac:dyDescent="0.2">
      <c r="A787" s="3">
        <v>45679</v>
      </c>
      <c r="B787" t="s">
        <v>1</v>
      </c>
      <c r="C787">
        <v>1</v>
      </c>
      <c r="D787" t="str">
        <f>_xlfn.XLOOKUP(RW_DT_PRODUCTION[[#This Row],[MATERIAL_ID]],DIM_MATERIAL[MATERIAL_ID],DIM_MATERIAL[UOM_AFTER_PROCESS])</f>
        <v>BALE</v>
      </c>
      <c r="E787">
        <v>76</v>
      </c>
    </row>
    <row r="788" spans="1:5" x14ac:dyDescent="0.2">
      <c r="A788" s="3">
        <v>45680</v>
      </c>
      <c r="B788" t="s">
        <v>1</v>
      </c>
      <c r="C788">
        <v>1</v>
      </c>
      <c r="D788" t="str">
        <f>_xlfn.XLOOKUP(RW_DT_PRODUCTION[[#This Row],[MATERIAL_ID]],DIM_MATERIAL[MATERIAL_ID],DIM_MATERIAL[UOM_AFTER_PROCESS])</f>
        <v>BALE</v>
      </c>
      <c r="E788">
        <v>75</v>
      </c>
    </row>
    <row r="789" spans="1:5" x14ac:dyDescent="0.2">
      <c r="A789" s="3">
        <v>45680</v>
      </c>
      <c r="B789" t="s">
        <v>1</v>
      </c>
      <c r="C789">
        <v>1</v>
      </c>
      <c r="D789" t="str">
        <f>_xlfn.XLOOKUP(RW_DT_PRODUCTION[[#This Row],[MATERIAL_ID]],DIM_MATERIAL[MATERIAL_ID],DIM_MATERIAL[UOM_AFTER_PROCESS])</f>
        <v>BALE</v>
      </c>
      <c r="E789">
        <v>86</v>
      </c>
    </row>
    <row r="790" spans="1:5" x14ac:dyDescent="0.2">
      <c r="A790" s="3">
        <v>45680</v>
      </c>
      <c r="B790" t="s">
        <v>1</v>
      </c>
      <c r="C790">
        <v>1</v>
      </c>
      <c r="D790" t="str">
        <f>_xlfn.XLOOKUP(RW_DT_PRODUCTION[[#This Row],[MATERIAL_ID]],DIM_MATERIAL[MATERIAL_ID],DIM_MATERIAL[UOM_AFTER_PROCESS])</f>
        <v>BALE</v>
      </c>
      <c r="E790">
        <v>67</v>
      </c>
    </row>
    <row r="791" spans="1:5" x14ac:dyDescent="0.2">
      <c r="A791" s="3">
        <v>45680</v>
      </c>
      <c r="B791" t="s">
        <v>1</v>
      </c>
      <c r="C791">
        <v>1</v>
      </c>
      <c r="D791" t="str">
        <f>_xlfn.XLOOKUP(RW_DT_PRODUCTION[[#This Row],[MATERIAL_ID]],DIM_MATERIAL[MATERIAL_ID],DIM_MATERIAL[UOM_AFTER_PROCESS])</f>
        <v>BALE</v>
      </c>
      <c r="E791">
        <v>61</v>
      </c>
    </row>
    <row r="792" spans="1:5" x14ac:dyDescent="0.2">
      <c r="A792" s="3">
        <v>45680</v>
      </c>
      <c r="B792" t="s">
        <v>1</v>
      </c>
      <c r="C792">
        <v>1</v>
      </c>
      <c r="D792" t="str">
        <f>_xlfn.XLOOKUP(RW_DT_PRODUCTION[[#This Row],[MATERIAL_ID]],DIM_MATERIAL[MATERIAL_ID],DIM_MATERIAL[UOM_AFTER_PROCESS])</f>
        <v>BALE</v>
      </c>
      <c r="E792">
        <v>87</v>
      </c>
    </row>
    <row r="793" spans="1:5" x14ac:dyDescent="0.2">
      <c r="A793" s="3">
        <v>45680</v>
      </c>
      <c r="B793" t="s">
        <v>1</v>
      </c>
      <c r="C793">
        <v>1</v>
      </c>
      <c r="D793" t="str">
        <f>_xlfn.XLOOKUP(RW_DT_PRODUCTION[[#This Row],[MATERIAL_ID]],DIM_MATERIAL[MATERIAL_ID],DIM_MATERIAL[UOM_AFTER_PROCESS])</f>
        <v>BALE</v>
      </c>
      <c r="E793">
        <v>86</v>
      </c>
    </row>
    <row r="794" spans="1:5" x14ac:dyDescent="0.2">
      <c r="A794" s="3">
        <v>45680</v>
      </c>
      <c r="B794" t="s">
        <v>1</v>
      </c>
      <c r="C794">
        <v>1</v>
      </c>
      <c r="D794" t="str">
        <f>_xlfn.XLOOKUP(RW_DT_PRODUCTION[[#This Row],[MATERIAL_ID]],DIM_MATERIAL[MATERIAL_ID],DIM_MATERIAL[UOM_AFTER_PROCESS])</f>
        <v>BALE</v>
      </c>
      <c r="E794">
        <v>72</v>
      </c>
    </row>
    <row r="795" spans="1:5" x14ac:dyDescent="0.2">
      <c r="A795" s="3">
        <v>45680</v>
      </c>
      <c r="B795" t="s">
        <v>2</v>
      </c>
      <c r="C795">
        <v>1</v>
      </c>
      <c r="D795" t="str">
        <f>_xlfn.XLOOKUP(RW_DT_PRODUCTION[[#This Row],[MATERIAL_ID]],DIM_MATERIAL[MATERIAL_ID],DIM_MATERIAL[UOM_AFTER_PROCESS])</f>
        <v>BAG</v>
      </c>
      <c r="E795">
        <v>22</v>
      </c>
    </row>
    <row r="796" spans="1:5" x14ac:dyDescent="0.2">
      <c r="A796" s="3">
        <v>45680</v>
      </c>
      <c r="B796" t="s">
        <v>2</v>
      </c>
      <c r="C796">
        <v>1</v>
      </c>
      <c r="D796" t="str">
        <f>_xlfn.XLOOKUP(RW_DT_PRODUCTION[[#This Row],[MATERIAL_ID]],DIM_MATERIAL[MATERIAL_ID],DIM_MATERIAL[UOM_AFTER_PROCESS])</f>
        <v>BAG</v>
      </c>
      <c r="E796">
        <v>22</v>
      </c>
    </row>
    <row r="797" spans="1:5" x14ac:dyDescent="0.2">
      <c r="A797" s="3">
        <v>45680</v>
      </c>
      <c r="B797" t="s">
        <v>2</v>
      </c>
      <c r="C797">
        <v>1</v>
      </c>
      <c r="D797" t="str">
        <f>_xlfn.XLOOKUP(RW_DT_PRODUCTION[[#This Row],[MATERIAL_ID]],DIM_MATERIAL[MATERIAL_ID],DIM_MATERIAL[UOM_AFTER_PROCESS])</f>
        <v>BAG</v>
      </c>
      <c r="E797">
        <v>22</v>
      </c>
    </row>
    <row r="798" spans="1:5" x14ac:dyDescent="0.2">
      <c r="A798" s="3">
        <v>45681</v>
      </c>
      <c r="B798" t="s">
        <v>1</v>
      </c>
      <c r="C798">
        <v>1</v>
      </c>
      <c r="D798" t="str">
        <f>_xlfn.XLOOKUP(RW_DT_PRODUCTION[[#This Row],[MATERIAL_ID]],DIM_MATERIAL[MATERIAL_ID],DIM_MATERIAL[UOM_AFTER_PROCESS])</f>
        <v>BALE</v>
      </c>
      <c r="E798">
        <v>71</v>
      </c>
    </row>
    <row r="799" spans="1:5" x14ac:dyDescent="0.2">
      <c r="A799" s="3">
        <v>45681</v>
      </c>
      <c r="B799" t="s">
        <v>1</v>
      </c>
      <c r="C799">
        <v>1</v>
      </c>
      <c r="D799" t="str">
        <f>_xlfn.XLOOKUP(RW_DT_PRODUCTION[[#This Row],[MATERIAL_ID]],DIM_MATERIAL[MATERIAL_ID],DIM_MATERIAL[UOM_AFTER_PROCESS])</f>
        <v>BALE</v>
      </c>
      <c r="E799">
        <v>61</v>
      </c>
    </row>
    <row r="800" spans="1:5" x14ac:dyDescent="0.2">
      <c r="A800" s="3">
        <v>45681</v>
      </c>
      <c r="B800" t="s">
        <v>1</v>
      </c>
      <c r="C800">
        <v>1</v>
      </c>
      <c r="D800" t="str">
        <f>_xlfn.XLOOKUP(RW_DT_PRODUCTION[[#This Row],[MATERIAL_ID]],DIM_MATERIAL[MATERIAL_ID],DIM_MATERIAL[UOM_AFTER_PROCESS])</f>
        <v>BALE</v>
      </c>
      <c r="E800">
        <v>60</v>
      </c>
    </row>
    <row r="801" spans="1:5" x14ac:dyDescent="0.2">
      <c r="A801" s="3">
        <v>45681</v>
      </c>
      <c r="B801" t="s">
        <v>1</v>
      </c>
      <c r="C801">
        <v>1</v>
      </c>
      <c r="D801" t="str">
        <f>_xlfn.XLOOKUP(RW_DT_PRODUCTION[[#This Row],[MATERIAL_ID]],DIM_MATERIAL[MATERIAL_ID],DIM_MATERIAL[UOM_AFTER_PROCESS])</f>
        <v>BALE</v>
      </c>
      <c r="E801">
        <v>73</v>
      </c>
    </row>
    <row r="802" spans="1:5" x14ac:dyDescent="0.2">
      <c r="A802" s="3">
        <v>45681</v>
      </c>
      <c r="B802" t="s">
        <v>1</v>
      </c>
      <c r="C802">
        <v>1</v>
      </c>
      <c r="D802" t="str">
        <f>_xlfn.XLOOKUP(RW_DT_PRODUCTION[[#This Row],[MATERIAL_ID]],DIM_MATERIAL[MATERIAL_ID],DIM_MATERIAL[UOM_AFTER_PROCESS])</f>
        <v>BALE</v>
      </c>
      <c r="E802">
        <v>71</v>
      </c>
    </row>
    <row r="803" spans="1:5" x14ac:dyDescent="0.2">
      <c r="A803" s="3">
        <v>45681</v>
      </c>
      <c r="B803" t="s">
        <v>1</v>
      </c>
      <c r="C803">
        <v>1</v>
      </c>
      <c r="D803" t="str">
        <f>_xlfn.XLOOKUP(RW_DT_PRODUCTION[[#This Row],[MATERIAL_ID]],DIM_MATERIAL[MATERIAL_ID],DIM_MATERIAL[UOM_AFTER_PROCESS])</f>
        <v>BALE</v>
      </c>
      <c r="E803">
        <v>64</v>
      </c>
    </row>
    <row r="804" spans="1:5" x14ac:dyDescent="0.2">
      <c r="A804" s="3">
        <v>45681</v>
      </c>
      <c r="B804" t="s">
        <v>1</v>
      </c>
      <c r="C804">
        <v>1</v>
      </c>
      <c r="D804" t="str">
        <f>_xlfn.XLOOKUP(RW_DT_PRODUCTION[[#This Row],[MATERIAL_ID]],DIM_MATERIAL[MATERIAL_ID],DIM_MATERIAL[UOM_AFTER_PROCESS])</f>
        <v>BALE</v>
      </c>
      <c r="E804">
        <v>89</v>
      </c>
    </row>
    <row r="805" spans="1:5" x14ac:dyDescent="0.2">
      <c r="A805" s="3">
        <v>45681</v>
      </c>
      <c r="B805" t="s">
        <v>2</v>
      </c>
      <c r="C805">
        <v>1</v>
      </c>
      <c r="D805" t="str">
        <f>_xlfn.XLOOKUP(RW_DT_PRODUCTION[[#This Row],[MATERIAL_ID]],DIM_MATERIAL[MATERIAL_ID],DIM_MATERIAL[UOM_AFTER_PROCESS])</f>
        <v>BAG</v>
      </c>
      <c r="E805">
        <v>22</v>
      </c>
    </row>
    <row r="806" spans="1:5" x14ac:dyDescent="0.2">
      <c r="A806" s="3">
        <v>45681</v>
      </c>
      <c r="B806" t="s">
        <v>2</v>
      </c>
      <c r="C806">
        <v>1</v>
      </c>
      <c r="D806" t="str">
        <f>_xlfn.XLOOKUP(RW_DT_PRODUCTION[[#This Row],[MATERIAL_ID]],DIM_MATERIAL[MATERIAL_ID],DIM_MATERIAL[UOM_AFTER_PROCESS])</f>
        <v>BAG</v>
      </c>
      <c r="E806">
        <v>22</v>
      </c>
    </row>
    <row r="807" spans="1:5" x14ac:dyDescent="0.2">
      <c r="A807" s="3">
        <v>45684</v>
      </c>
      <c r="B807" t="s">
        <v>1</v>
      </c>
      <c r="C807">
        <v>1</v>
      </c>
      <c r="D807" t="str">
        <f>_xlfn.XLOOKUP(RW_DT_PRODUCTION[[#This Row],[MATERIAL_ID]],DIM_MATERIAL[MATERIAL_ID],DIM_MATERIAL[UOM_AFTER_PROCESS])</f>
        <v>BALE</v>
      </c>
      <c r="E807">
        <v>87</v>
      </c>
    </row>
    <row r="808" spans="1:5" x14ac:dyDescent="0.2">
      <c r="A808" s="3">
        <v>45684</v>
      </c>
      <c r="B808" t="s">
        <v>1</v>
      </c>
      <c r="C808">
        <v>1</v>
      </c>
      <c r="D808" t="str">
        <f>_xlfn.XLOOKUP(RW_DT_PRODUCTION[[#This Row],[MATERIAL_ID]],DIM_MATERIAL[MATERIAL_ID],DIM_MATERIAL[UOM_AFTER_PROCESS])</f>
        <v>BALE</v>
      </c>
      <c r="E808">
        <v>76</v>
      </c>
    </row>
    <row r="809" spans="1:5" x14ac:dyDescent="0.2">
      <c r="A809" s="3">
        <v>45684</v>
      </c>
      <c r="B809" t="s">
        <v>1</v>
      </c>
      <c r="C809">
        <v>1</v>
      </c>
      <c r="D809" t="str">
        <f>_xlfn.XLOOKUP(RW_DT_PRODUCTION[[#This Row],[MATERIAL_ID]],DIM_MATERIAL[MATERIAL_ID],DIM_MATERIAL[UOM_AFTER_PROCESS])</f>
        <v>BALE</v>
      </c>
      <c r="E809">
        <v>89</v>
      </c>
    </row>
    <row r="810" spans="1:5" x14ac:dyDescent="0.2">
      <c r="A810" s="3">
        <v>45684</v>
      </c>
      <c r="B810" t="s">
        <v>1</v>
      </c>
      <c r="C810">
        <v>1</v>
      </c>
      <c r="D810" t="str">
        <f>_xlfn.XLOOKUP(RW_DT_PRODUCTION[[#This Row],[MATERIAL_ID]],DIM_MATERIAL[MATERIAL_ID],DIM_MATERIAL[UOM_AFTER_PROCESS])</f>
        <v>BALE</v>
      </c>
      <c r="E810">
        <v>76</v>
      </c>
    </row>
    <row r="811" spans="1:5" x14ac:dyDescent="0.2">
      <c r="A811" s="3">
        <v>45684</v>
      </c>
      <c r="B811" t="s">
        <v>1</v>
      </c>
      <c r="C811">
        <v>1</v>
      </c>
      <c r="D811" t="str">
        <f>_xlfn.XLOOKUP(RW_DT_PRODUCTION[[#This Row],[MATERIAL_ID]],DIM_MATERIAL[MATERIAL_ID],DIM_MATERIAL[UOM_AFTER_PROCESS])</f>
        <v>BALE</v>
      </c>
      <c r="E811">
        <v>60</v>
      </c>
    </row>
    <row r="812" spans="1:5" x14ac:dyDescent="0.2">
      <c r="A812" s="3">
        <v>45684</v>
      </c>
      <c r="B812" t="s">
        <v>1</v>
      </c>
      <c r="C812">
        <v>1</v>
      </c>
      <c r="D812" t="str">
        <f>_xlfn.XLOOKUP(RW_DT_PRODUCTION[[#This Row],[MATERIAL_ID]],DIM_MATERIAL[MATERIAL_ID],DIM_MATERIAL[UOM_AFTER_PROCESS])</f>
        <v>BALE</v>
      </c>
      <c r="E812">
        <v>61</v>
      </c>
    </row>
    <row r="813" spans="1:5" x14ac:dyDescent="0.2">
      <c r="A813" s="3">
        <v>45684</v>
      </c>
      <c r="B813" t="s">
        <v>1</v>
      </c>
      <c r="C813">
        <v>1</v>
      </c>
      <c r="D813" t="str">
        <f>_xlfn.XLOOKUP(RW_DT_PRODUCTION[[#This Row],[MATERIAL_ID]],DIM_MATERIAL[MATERIAL_ID],DIM_MATERIAL[UOM_AFTER_PROCESS])</f>
        <v>BALE</v>
      </c>
      <c r="E813">
        <v>81</v>
      </c>
    </row>
    <row r="814" spans="1:5" x14ac:dyDescent="0.2">
      <c r="A814" s="3">
        <v>45684</v>
      </c>
      <c r="B814" t="s">
        <v>1</v>
      </c>
      <c r="C814">
        <v>1</v>
      </c>
      <c r="D814" t="str">
        <f>_xlfn.XLOOKUP(RW_DT_PRODUCTION[[#This Row],[MATERIAL_ID]],DIM_MATERIAL[MATERIAL_ID],DIM_MATERIAL[UOM_AFTER_PROCESS])</f>
        <v>BALE</v>
      </c>
      <c r="E814">
        <v>84</v>
      </c>
    </row>
    <row r="815" spans="1:5" x14ac:dyDescent="0.2">
      <c r="A815" s="3">
        <v>45685</v>
      </c>
      <c r="B815" t="s">
        <v>1</v>
      </c>
      <c r="C815">
        <v>1</v>
      </c>
      <c r="D815" t="str">
        <f>_xlfn.XLOOKUP(RW_DT_PRODUCTION[[#This Row],[MATERIAL_ID]],DIM_MATERIAL[MATERIAL_ID],DIM_MATERIAL[UOM_AFTER_PROCESS])</f>
        <v>BALE</v>
      </c>
      <c r="E815">
        <v>82</v>
      </c>
    </row>
    <row r="816" spans="1:5" x14ac:dyDescent="0.2">
      <c r="A816" s="3">
        <v>45685</v>
      </c>
      <c r="B816" t="s">
        <v>1</v>
      </c>
      <c r="C816">
        <v>1</v>
      </c>
      <c r="D816" t="str">
        <f>_xlfn.XLOOKUP(RW_DT_PRODUCTION[[#This Row],[MATERIAL_ID]],DIM_MATERIAL[MATERIAL_ID],DIM_MATERIAL[UOM_AFTER_PROCESS])</f>
        <v>BALE</v>
      </c>
      <c r="E816">
        <v>77</v>
      </c>
    </row>
    <row r="817" spans="1:5" x14ac:dyDescent="0.2">
      <c r="A817" s="3">
        <v>45685</v>
      </c>
      <c r="B817" t="s">
        <v>1</v>
      </c>
      <c r="C817">
        <v>1</v>
      </c>
      <c r="D817" t="str">
        <f>_xlfn.XLOOKUP(RW_DT_PRODUCTION[[#This Row],[MATERIAL_ID]],DIM_MATERIAL[MATERIAL_ID],DIM_MATERIAL[UOM_AFTER_PROCESS])</f>
        <v>BALE</v>
      </c>
      <c r="E817">
        <v>82</v>
      </c>
    </row>
    <row r="818" spans="1:5" x14ac:dyDescent="0.2">
      <c r="A818" s="3">
        <v>45685</v>
      </c>
      <c r="B818" t="s">
        <v>1</v>
      </c>
      <c r="C818">
        <v>1</v>
      </c>
      <c r="D818" t="str">
        <f>_xlfn.XLOOKUP(RW_DT_PRODUCTION[[#This Row],[MATERIAL_ID]],DIM_MATERIAL[MATERIAL_ID],DIM_MATERIAL[UOM_AFTER_PROCESS])</f>
        <v>BALE</v>
      </c>
      <c r="E818">
        <v>86</v>
      </c>
    </row>
    <row r="819" spans="1:5" x14ac:dyDescent="0.2">
      <c r="A819" s="3">
        <v>45685</v>
      </c>
      <c r="B819" t="s">
        <v>1</v>
      </c>
      <c r="C819">
        <v>1</v>
      </c>
      <c r="D819" t="str">
        <f>_xlfn.XLOOKUP(RW_DT_PRODUCTION[[#This Row],[MATERIAL_ID]],DIM_MATERIAL[MATERIAL_ID],DIM_MATERIAL[UOM_AFTER_PROCESS])</f>
        <v>BALE</v>
      </c>
      <c r="E819">
        <v>76</v>
      </c>
    </row>
    <row r="820" spans="1:5" x14ac:dyDescent="0.2">
      <c r="A820" s="3">
        <v>45685</v>
      </c>
      <c r="B820" t="s">
        <v>1</v>
      </c>
      <c r="C820">
        <v>1</v>
      </c>
      <c r="D820" t="str">
        <f>_xlfn.XLOOKUP(RW_DT_PRODUCTION[[#This Row],[MATERIAL_ID]],DIM_MATERIAL[MATERIAL_ID],DIM_MATERIAL[UOM_AFTER_PROCESS])</f>
        <v>BALE</v>
      </c>
      <c r="E820">
        <v>68</v>
      </c>
    </row>
    <row r="821" spans="1:5" x14ac:dyDescent="0.2">
      <c r="A821" s="3">
        <v>45685</v>
      </c>
      <c r="B821" t="s">
        <v>1</v>
      </c>
      <c r="C821">
        <v>1</v>
      </c>
      <c r="D821" t="str">
        <f>_xlfn.XLOOKUP(RW_DT_PRODUCTION[[#This Row],[MATERIAL_ID]],DIM_MATERIAL[MATERIAL_ID],DIM_MATERIAL[UOM_AFTER_PROCESS])</f>
        <v>BALE</v>
      </c>
      <c r="E821">
        <v>70</v>
      </c>
    </row>
    <row r="822" spans="1:5" x14ac:dyDescent="0.2">
      <c r="A822" s="3">
        <v>45685</v>
      </c>
      <c r="B822" t="s">
        <v>1</v>
      </c>
      <c r="C822">
        <v>1</v>
      </c>
      <c r="D822" t="str">
        <f>_xlfn.XLOOKUP(RW_DT_PRODUCTION[[#This Row],[MATERIAL_ID]],DIM_MATERIAL[MATERIAL_ID],DIM_MATERIAL[UOM_AFTER_PROCESS])</f>
        <v>BALE</v>
      </c>
      <c r="E822">
        <v>86</v>
      </c>
    </row>
    <row r="823" spans="1:5" x14ac:dyDescent="0.2">
      <c r="A823" s="3">
        <v>45685</v>
      </c>
      <c r="B823" t="s">
        <v>1</v>
      </c>
      <c r="C823">
        <v>1</v>
      </c>
      <c r="D823" t="str">
        <f>_xlfn.XLOOKUP(RW_DT_PRODUCTION[[#This Row],[MATERIAL_ID]],DIM_MATERIAL[MATERIAL_ID],DIM_MATERIAL[UOM_AFTER_PROCESS])</f>
        <v>BALE</v>
      </c>
      <c r="E823">
        <v>77</v>
      </c>
    </row>
    <row r="824" spans="1:5" x14ac:dyDescent="0.2">
      <c r="A824" s="3">
        <v>45685</v>
      </c>
      <c r="B824" t="s">
        <v>1</v>
      </c>
      <c r="C824">
        <v>1</v>
      </c>
      <c r="D824" t="str">
        <f>_xlfn.XLOOKUP(RW_DT_PRODUCTION[[#This Row],[MATERIAL_ID]],DIM_MATERIAL[MATERIAL_ID],DIM_MATERIAL[UOM_AFTER_PROCESS])</f>
        <v>BALE</v>
      </c>
      <c r="E824">
        <v>66</v>
      </c>
    </row>
    <row r="825" spans="1:5" x14ac:dyDescent="0.2">
      <c r="A825" s="3">
        <v>45685</v>
      </c>
      <c r="B825" t="s">
        <v>1</v>
      </c>
      <c r="C825">
        <v>1</v>
      </c>
      <c r="D825" t="str">
        <f>_xlfn.XLOOKUP(RW_DT_PRODUCTION[[#This Row],[MATERIAL_ID]],DIM_MATERIAL[MATERIAL_ID],DIM_MATERIAL[UOM_AFTER_PROCESS])</f>
        <v>BALE</v>
      </c>
      <c r="E825">
        <v>85</v>
      </c>
    </row>
    <row r="826" spans="1:5" x14ac:dyDescent="0.2">
      <c r="A826" s="3">
        <v>45685</v>
      </c>
      <c r="B826" t="s">
        <v>1</v>
      </c>
      <c r="C826">
        <v>1</v>
      </c>
      <c r="D826" t="str">
        <f>_xlfn.XLOOKUP(RW_DT_PRODUCTION[[#This Row],[MATERIAL_ID]],DIM_MATERIAL[MATERIAL_ID],DIM_MATERIAL[UOM_AFTER_PROCESS])</f>
        <v>BALE</v>
      </c>
      <c r="E826">
        <v>65</v>
      </c>
    </row>
    <row r="827" spans="1:5" x14ac:dyDescent="0.2">
      <c r="A827" s="3">
        <v>45685</v>
      </c>
      <c r="B827" t="s">
        <v>1</v>
      </c>
      <c r="C827">
        <v>1</v>
      </c>
      <c r="D827" t="str">
        <f>_xlfn.XLOOKUP(RW_DT_PRODUCTION[[#This Row],[MATERIAL_ID]],DIM_MATERIAL[MATERIAL_ID],DIM_MATERIAL[UOM_AFTER_PROCESS])</f>
        <v>BALE</v>
      </c>
      <c r="E827">
        <v>60</v>
      </c>
    </row>
    <row r="828" spans="1:5" x14ac:dyDescent="0.2">
      <c r="A828" s="3">
        <v>45685</v>
      </c>
      <c r="B828" t="s">
        <v>2</v>
      </c>
      <c r="C828">
        <v>1</v>
      </c>
      <c r="D828" t="str">
        <f>_xlfn.XLOOKUP(RW_DT_PRODUCTION[[#This Row],[MATERIAL_ID]],DIM_MATERIAL[MATERIAL_ID],DIM_MATERIAL[UOM_AFTER_PROCESS])</f>
        <v>BAG</v>
      </c>
      <c r="E828">
        <v>22</v>
      </c>
    </row>
    <row r="829" spans="1:5" x14ac:dyDescent="0.2">
      <c r="A829" s="3">
        <v>45686</v>
      </c>
      <c r="B829" t="s">
        <v>1</v>
      </c>
      <c r="C829">
        <v>1</v>
      </c>
      <c r="D829" t="str">
        <f>_xlfn.XLOOKUP(RW_DT_PRODUCTION[[#This Row],[MATERIAL_ID]],DIM_MATERIAL[MATERIAL_ID],DIM_MATERIAL[UOM_AFTER_PROCESS])</f>
        <v>BALE</v>
      </c>
      <c r="E829">
        <v>80</v>
      </c>
    </row>
    <row r="830" spans="1:5" x14ac:dyDescent="0.2">
      <c r="A830" s="3">
        <v>45686</v>
      </c>
      <c r="B830" t="s">
        <v>1</v>
      </c>
      <c r="C830">
        <v>1</v>
      </c>
      <c r="D830" t="str">
        <f>_xlfn.XLOOKUP(RW_DT_PRODUCTION[[#This Row],[MATERIAL_ID]],DIM_MATERIAL[MATERIAL_ID],DIM_MATERIAL[UOM_AFTER_PROCESS])</f>
        <v>BALE</v>
      </c>
      <c r="E830">
        <v>87</v>
      </c>
    </row>
    <row r="831" spans="1:5" x14ac:dyDescent="0.2">
      <c r="A831" s="3">
        <v>45686</v>
      </c>
      <c r="B831" t="s">
        <v>1</v>
      </c>
      <c r="C831">
        <v>1</v>
      </c>
      <c r="D831" t="str">
        <f>_xlfn.XLOOKUP(RW_DT_PRODUCTION[[#This Row],[MATERIAL_ID]],DIM_MATERIAL[MATERIAL_ID],DIM_MATERIAL[UOM_AFTER_PROCESS])</f>
        <v>BALE</v>
      </c>
      <c r="E831">
        <v>89</v>
      </c>
    </row>
    <row r="832" spans="1:5" x14ac:dyDescent="0.2">
      <c r="A832" s="3">
        <v>45686</v>
      </c>
      <c r="B832" t="s">
        <v>1</v>
      </c>
      <c r="C832">
        <v>1</v>
      </c>
      <c r="D832" t="str">
        <f>_xlfn.XLOOKUP(RW_DT_PRODUCTION[[#This Row],[MATERIAL_ID]],DIM_MATERIAL[MATERIAL_ID],DIM_MATERIAL[UOM_AFTER_PROCESS])</f>
        <v>BALE</v>
      </c>
      <c r="E832">
        <v>82</v>
      </c>
    </row>
    <row r="833" spans="1:5" x14ac:dyDescent="0.2">
      <c r="A833" s="3">
        <v>45686</v>
      </c>
      <c r="B833" t="s">
        <v>1</v>
      </c>
      <c r="C833">
        <v>1</v>
      </c>
      <c r="D833" t="str">
        <f>_xlfn.XLOOKUP(RW_DT_PRODUCTION[[#This Row],[MATERIAL_ID]],DIM_MATERIAL[MATERIAL_ID],DIM_MATERIAL[UOM_AFTER_PROCESS])</f>
        <v>BALE</v>
      </c>
      <c r="E833">
        <v>81</v>
      </c>
    </row>
    <row r="834" spans="1:5" x14ac:dyDescent="0.2">
      <c r="A834" s="3">
        <v>45686</v>
      </c>
      <c r="B834" t="s">
        <v>1</v>
      </c>
      <c r="C834">
        <v>1</v>
      </c>
      <c r="D834" t="str">
        <f>_xlfn.XLOOKUP(RW_DT_PRODUCTION[[#This Row],[MATERIAL_ID]],DIM_MATERIAL[MATERIAL_ID],DIM_MATERIAL[UOM_AFTER_PROCESS])</f>
        <v>BALE</v>
      </c>
      <c r="E834">
        <v>71</v>
      </c>
    </row>
    <row r="835" spans="1:5" x14ac:dyDescent="0.2">
      <c r="A835" s="3">
        <v>45687</v>
      </c>
      <c r="B835" t="s">
        <v>1</v>
      </c>
      <c r="C835">
        <v>1</v>
      </c>
      <c r="D835" t="str">
        <f>_xlfn.XLOOKUP(RW_DT_PRODUCTION[[#This Row],[MATERIAL_ID]],DIM_MATERIAL[MATERIAL_ID],DIM_MATERIAL[UOM_AFTER_PROCESS])</f>
        <v>BALE</v>
      </c>
      <c r="E835">
        <v>75</v>
      </c>
    </row>
    <row r="836" spans="1:5" x14ac:dyDescent="0.2">
      <c r="A836" s="3">
        <v>45687</v>
      </c>
      <c r="B836" t="s">
        <v>1</v>
      </c>
      <c r="C836">
        <v>1</v>
      </c>
      <c r="D836" t="str">
        <f>_xlfn.XLOOKUP(RW_DT_PRODUCTION[[#This Row],[MATERIAL_ID]],DIM_MATERIAL[MATERIAL_ID],DIM_MATERIAL[UOM_AFTER_PROCESS])</f>
        <v>BALE</v>
      </c>
      <c r="E836">
        <v>72</v>
      </c>
    </row>
    <row r="837" spans="1:5" x14ac:dyDescent="0.2">
      <c r="A837" s="3">
        <v>45687</v>
      </c>
      <c r="B837" t="s">
        <v>1</v>
      </c>
      <c r="C837">
        <v>1</v>
      </c>
      <c r="D837" t="str">
        <f>_xlfn.XLOOKUP(RW_DT_PRODUCTION[[#This Row],[MATERIAL_ID]],DIM_MATERIAL[MATERIAL_ID],DIM_MATERIAL[UOM_AFTER_PROCESS])</f>
        <v>BALE</v>
      </c>
      <c r="E837">
        <v>71</v>
      </c>
    </row>
    <row r="838" spans="1:5" x14ac:dyDescent="0.2">
      <c r="A838" s="3">
        <v>45687</v>
      </c>
      <c r="B838" t="s">
        <v>1</v>
      </c>
      <c r="C838">
        <v>1</v>
      </c>
      <c r="D838" t="str">
        <f>_xlfn.XLOOKUP(RW_DT_PRODUCTION[[#This Row],[MATERIAL_ID]],DIM_MATERIAL[MATERIAL_ID],DIM_MATERIAL[UOM_AFTER_PROCESS])</f>
        <v>BALE</v>
      </c>
      <c r="E838">
        <v>74</v>
      </c>
    </row>
    <row r="839" spans="1:5" x14ac:dyDescent="0.2">
      <c r="A839" s="3">
        <v>45687</v>
      </c>
      <c r="B839" t="s">
        <v>2</v>
      </c>
      <c r="C839">
        <v>1</v>
      </c>
      <c r="D839" t="str">
        <f>_xlfn.XLOOKUP(RW_DT_PRODUCTION[[#This Row],[MATERIAL_ID]],DIM_MATERIAL[MATERIAL_ID],DIM_MATERIAL[UOM_AFTER_PROCESS])</f>
        <v>BAG</v>
      </c>
      <c r="E839">
        <v>22</v>
      </c>
    </row>
    <row r="840" spans="1:5" x14ac:dyDescent="0.2">
      <c r="A840" s="3">
        <v>45687</v>
      </c>
      <c r="B840" t="s">
        <v>2</v>
      </c>
      <c r="C840">
        <v>1</v>
      </c>
      <c r="D840" t="str">
        <f>_xlfn.XLOOKUP(RW_DT_PRODUCTION[[#This Row],[MATERIAL_ID]],DIM_MATERIAL[MATERIAL_ID],DIM_MATERIAL[UOM_AFTER_PROCESS])</f>
        <v>BAG</v>
      </c>
      <c r="E840">
        <v>22</v>
      </c>
    </row>
    <row r="841" spans="1:5" x14ac:dyDescent="0.2">
      <c r="A841" s="3">
        <v>45687</v>
      </c>
      <c r="B841" t="s">
        <v>2</v>
      </c>
      <c r="C841">
        <v>1</v>
      </c>
      <c r="D841" t="str">
        <f>_xlfn.XLOOKUP(RW_DT_PRODUCTION[[#This Row],[MATERIAL_ID]],DIM_MATERIAL[MATERIAL_ID],DIM_MATERIAL[UOM_AFTER_PROCESS])</f>
        <v>BAG</v>
      </c>
      <c r="E841">
        <v>22</v>
      </c>
    </row>
    <row r="842" spans="1:5" x14ac:dyDescent="0.2">
      <c r="A842" s="3">
        <v>45688</v>
      </c>
      <c r="B842" t="s">
        <v>1</v>
      </c>
      <c r="C842">
        <v>1</v>
      </c>
      <c r="D842" t="str">
        <f>_xlfn.XLOOKUP(RW_DT_PRODUCTION[[#This Row],[MATERIAL_ID]],DIM_MATERIAL[MATERIAL_ID],DIM_MATERIAL[UOM_AFTER_PROCESS])</f>
        <v>BALE</v>
      </c>
      <c r="E842">
        <v>72</v>
      </c>
    </row>
    <row r="843" spans="1:5" x14ac:dyDescent="0.2">
      <c r="A843" s="3">
        <v>45688</v>
      </c>
      <c r="B843" t="s">
        <v>1</v>
      </c>
      <c r="C843">
        <v>1</v>
      </c>
      <c r="D843" t="str">
        <f>_xlfn.XLOOKUP(RW_DT_PRODUCTION[[#This Row],[MATERIAL_ID]],DIM_MATERIAL[MATERIAL_ID],DIM_MATERIAL[UOM_AFTER_PROCESS])</f>
        <v>BALE</v>
      </c>
      <c r="E843">
        <v>60</v>
      </c>
    </row>
    <row r="844" spans="1:5" x14ac:dyDescent="0.2">
      <c r="A844" s="3">
        <v>45688</v>
      </c>
      <c r="B844" t="s">
        <v>1</v>
      </c>
      <c r="C844">
        <v>1</v>
      </c>
      <c r="D844" t="str">
        <f>_xlfn.XLOOKUP(RW_DT_PRODUCTION[[#This Row],[MATERIAL_ID]],DIM_MATERIAL[MATERIAL_ID],DIM_MATERIAL[UOM_AFTER_PROCESS])</f>
        <v>BALE</v>
      </c>
      <c r="E844">
        <v>84</v>
      </c>
    </row>
    <row r="845" spans="1:5" x14ac:dyDescent="0.2">
      <c r="A845" s="3">
        <v>45688</v>
      </c>
      <c r="B845" t="s">
        <v>1</v>
      </c>
      <c r="C845">
        <v>1</v>
      </c>
      <c r="D845" t="str">
        <f>_xlfn.XLOOKUP(RW_DT_PRODUCTION[[#This Row],[MATERIAL_ID]],DIM_MATERIAL[MATERIAL_ID],DIM_MATERIAL[UOM_AFTER_PROCESS])</f>
        <v>BALE</v>
      </c>
      <c r="E845">
        <v>87</v>
      </c>
    </row>
    <row r="846" spans="1:5" x14ac:dyDescent="0.2">
      <c r="A846" s="3">
        <v>45688</v>
      </c>
      <c r="B846" t="s">
        <v>1</v>
      </c>
      <c r="C846">
        <v>1</v>
      </c>
      <c r="D846" t="str">
        <f>_xlfn.XLOOKUP(RW_DT_PRODUCTION[[#This Row],[MATERIAL_ID]],DIM_MATERIAL[MATERIAL_ID],DIM_MATERIAL[UOM_AFTER_PROCESS])</f>
        <v>BALE</v>
      </c>
      <c r="E846">
        <v>81</v>
      </c>
    </row>
    <row r="847" spans="1:5" x14ac:dyDescent="0.2">
      <c r="A847" s="3">
        <v>45688</v>
      </c>
      <c r="B847" t="s">
        <v>1</v>
      </c>
      <c r="C847">
        <v>1</v>
      </c>
      <c r="D847" t="str">
        <f>_xlfn.XLOOKUP(RW_DT_PRODUCTION[[#This Row],[MATERIAL_ID]],DIM_MATERIAL[MATERIAL_ID],DIM_MATERIAL[UOM_AFTER_PROCESS])</f>
        <v>BALE</v>
      </c>
      <c r="E847">
        <v>84</v>
      </c>
    </row>
    <row r="848" spans="1:5" x14ac:dyDescent="0.2">
      <c r="A848" s="3">
        <v>45688</v>
      </c>
      <c r="B848" t="s">
        <v>1</v>
      </c>
      <c r="C848">
        <v>1</v>
      </c>
      <c r="D848" t="str">
        <f>_xlfn.XLOOKUP(RW_DT_PRODUCTION[[#This Row],[MATERIAL_ID]],DIM_MATERIAL[MATERIAL_ID],DIM_MATERIAL[UOM_AFTER_PROCESS])</f>
        <v>BALE</v>
      </c>
      <c r="E848">
        <v>83</v>
      </c>
    </row>
    <row r="849" spans="1:5" x14ac:dyDescent="0.2">
      <c r="A849" s="3">
        <v>45688</v>
      </c>
      <c r="B849" t="s">
        <v>1</v>
      </c>
      <c r="C849">
        <v>1</v>
      </c>
      <c r="D849" t="str">
        <f>_xlfn.XLOOKUP(RW_DT_PRODUCTION[[#This Row],[MATERIAL_ID]],DIM_MATERIAL[MATERIAL_ID],DIM_MATERIAL[UOM_AFTER_PROCESS])</f>
        <v>BALE</v>
      </c>
      <c r="E849">
        <v>73</v>
      </c>
    </row>
    <row r="850" spans="1:5" x14ac:dyDescent="0.2">
      <c r="A850" s="3">
        <v>45688</v>
      </c>
      <c r="B850" t="s">
        <v>1</v>
      </c>
      <c r="C850">
        <v>1</v>
      </c>
      <c r="D850" t="str">
        <f>_xlfn.XLOOKUP(RW_DT_PRODUCTION[[#This Row],[MATERIAL_ID]],DIM_MATERIAL[MATERIAL_ID],DIM_MATERIAL[UOM_AFTER_PROCESS])</f>
        <v>BALE</v>
      </c>
      <c r="E850">
        <v>74</v>
      </c>
    </row>
    <row r="851" spans="1:5" x14ac:dyDescent="0.2">
      <c r="A851" s="3">
        <v>45688</v>
      </c>
      <c r="B851" t="s">
        <v>1</v>
      </c>
      <c r="C851">
        <v>1</v>
      </c>
      <c r="D851" t="str">
        <f>_xlfn.XLOOKUP(RW_DT_PRODUCTION[[#This Row],[MATERIAL_ID]],DIM_MATERIAL[MATERIAL_ID],DIM_MATERIAL[UOM_AFTER_PROCESS])</f>
        <v>BALE</v>
      </c>
      <c r="E851">
        <v>69</v>
      </c>
    </row>
    <row r="852" spans="1:5" x14ac:dyDescent="0.2">
      <c r="A852" s="3">
        <v>45689</v>
      </c>
      <c r="B852" t="s">
        <v>1</v>
      </c>
      <c r="C852">
        <v>1</v>
      </c>
      <c r="D852" t="str">
        <f>_xlfn.XLOOKUP(RW_DT_PRODUCTION[[#This Row],[MATERIAL_ID]],DIM_MATERIAL[MATERIAL_ID],DIM_MATERIAL[UOM_AFTER_PROCESS])</f>
        <v>BALE</v>
      </c>
      <c r="E852">
        <v>61</v>
      </c>
    </row>
    <row r="853" spans="1:5" x14ac:dyDescent="0.2">
      <c r="A853" s="3">
        <v>45691</v>
      </c>
      <c r="B853" t="s">
        <v>1</v>
      </c>
      <c r="C853">
        <v>1</v>
      </c>
      <c r="D853" t="str">
        <f>_xlfn.XLOOKUP(RW_DT_PRODUCTION[[#This Row],[MATERIAL_ID]],DIM_MATERIAL[MATERIAL_ID],DIM_MATERIAL[UOM_AFTER_PROCESS])</f>
        <v>BALE</v>
      </c>
      <c r="E853">
        <v>61</v>
      </c>
    </row>
    <row r="854" spans="1:5" x14ac:dyDescent="0.2">
      <c r="A854" s="3">
        <v>45691</v>
      </c>
      <c r="B854" t="s">
        <v>1</v>
      </c>
      <c r="C854">
        <v>1</v>
      </c>
      <c r="D854" t="str">
        <f>_xlfn.XLOOKUP(RW_DT_PRODUCTION[[#This Row],[MATERIAL_ID]],DIM_MATERIAL[MATERIAL_ID],DIM_MATERIAL[UOM_AFTER_PROCESS])</f>
        <v>BALE</v>
      </c>
      <c r="E854">
        <v>88</v>
      </c>
    </row>
    <row r="855" spans="1:5" x14ac:dyDescent="0.2">
      <c r="A855" s="3">
        <v>45691</v>
      </c>
      <c r="B855" t="s">
        <v>1</v>
      </c>
      <c r="C855">
        <v>1</v>
      </c>
      <c r="D855" t="str">
        <f>_xlfn.XLOOKUP(RW_DT_PRODUCTION[[#This Row],[MATERIAL_ID]],DIM_MATERIAL[MATERIAL_ID],DIM_MATERIAL[UOM_AFTER_PROCESS])</f>
        <v>BALE</v>
      </c>
      <c r="E855">
        <v>79</v>
      </c>
    </row>
    <row r="856" spans="1:5" x14ac:dyDescent="0.2">
      <c r="A856" s="3">
        <v>45692</v>
      </c>
      <c r="B856" t="s">
        <v>1</v>
      </c>
      <c r="C856">
        <v>1</v>
      </c>
      <c r="D856" t="str">
        <f>_xlfn.XLOOKUP(RW_DT_PRODUCTION[[#This Row],[MATERIAL_ID]],DIM_MATERIAL[MATERIAL_ID],DIM_MATERIAL[UOM_AFTER_PROCESS])</f>
        <v>BALE</v>
      </c>
      <c r="E856">
        <v>61</v>
      </c>
    </row>
    <row r="857" spans="1:5" x14ac:dyDescent="0.2">
      <c r="A857" s="3">
        <v>45692</v>
      </c>
      <c r="B857" t="s">
        <v>1</v>
      </c>
      <c r="C857">
        <v>1</v>
      </c>
      <c r="D857" t="str">
        <f>_xlfn.XLOOKUP(RW_DT_PRODUCTION[[#This Row],[MATERIAL_ID]],DIM_MATERIAL[MATERIAL_ID],DIM_MATERIAL[UOM_AFTER_PROCESS])</f>
        <v>BALE</v>
      </c>
      <c r="E857">
        <v>78</v>
      </c>
    </row>
    <row r="858" spans="1:5" x14ac:dyDescent="0.2">
      <c r="A858" s="3">
        <v>45692</v>
      </c>
      <c r="B858" t="s">
        <v>1</v>
      </c>
      <c r="C858">
        <v>1</v>
      </c>
      <c r="D858" t="str">
        <f>_xlfn.XLOOKUP(RW_DT_PRODUCTION[[#This Row],[MATERIAL_ID]],DIM_MATERIAL[MATERIAL_ID],DIM_MATERIAL[UOM_AFTER_PROCESS])</f>
        <v>BALE</v>
      </c>
      <c r="E858">
        <v>79</v>
      </c>
    </row>
    <row r="859" spans="1:5" x14ac:dyDescent="0.2">
      <c r="A859" s="3">
        <v>45692</v>
      </c>
      <c r="B859" t="s">
        <v>1</v>
      </c>
      <c r="C859">
        <v>1</v>
      </c>
      <c r="D859" t="str">
        <f>_xlfn.XLOOKUP(RW_DT_PRODUCTION[[#This Row],[MATERIAL_ID]],DIM_MATERIAL[MATERIAL_ID],DIM_MATERIAL[UOM_AFTER_PROCESS])</f>
        <v>BALE</v>
      </c>
      <c r="E859">
        <v>88</v>
      </c>
    </row>
    <row r="860" spans="1:5" x14ac:dyDescent="0.2">
      <c r="A860" s="3">
        <v>45692</v>
      </c>
      <c r="B860" t="s">
        <v>1</v>
      </c>
      <c r="C860">
        <v>1</v>
      </c>
      <c r="D860" t="str">
        <f>_xlfn.XLOOKUP(RW_DT_PRODUCTION[[#This Row],[MATERIAL_ID]],DIM_MATERIAL[MATERIAL_ID],DIM_MATERIAL[UOM_AFTER_PROCESS])</f>
        <v>BALE</v>
      </c>
      <c r="E860">
        <v>82</v>
      </c>
    </row>
    <row r="861" spans="1:5" x14ac:dyDescent="0.2">
      <c r="A861" s="3">
        <v>45692</v>
      </c>
      <c r="B861" t="s">
        <v>1</v>
      </c>
      <c r="C861">
        <v>1</v>
      </c>
      <c r="D861" t="str">
        <f>_xlfn.XLOOKUP(RW_DT_PRODUCTION[[#This Row],[MATERIAL_ID]],DIM_MATERIAL[MATERIAL_ID],DIM_MATERIAL[UOM_AFTER_PROCESS])</f>
        <v>BALE</v>
      </c>
      <c r="E861">
        <v>61</v>
      </c>
    </row>
    <row r="862" spans="1:5" x14ac:dyDescent="0.2">
      <c r="A862" s="3">
        <v>45692</v>
      </c>
      <c r="B862" t="s">
        <v>1</v>
      </c>
      <c r="C862">
        <v>1</v>
      </c>
      <c r="D862" t="str">
        <f>_xlfn.XLOOKUP(RW_DT_PRODUCTION[[#This Row],[MATERIAL_ID]],DIM_MATERIAL[MATERIAL_ID],DIM_MATERIAL[UOM_AFTER_PROCESS])</f>
        <v>BALE</v>
      </c>
      <c r="E862">
        <v>63</v>
      </c>
    </row>
    <row r="863" spans="1:5" x14ac:dyDescent="0.2">
      <c r="A863" s="3">
        <v>45692</v>
      </c>
      <c r="B863" t="s">
        <v>1</v>
      </c>
      <c r="C863">
        <v>1</v>
      </c>
      <c r="D863" t="str">
        <f>_xlfn.XLOOKUP(RW_DT_PRODUCTION[[#This Row],[MATERIAL_ID]],DIM_MATERIAL[MATERIAL_ID],DIM_MATERIAL[UOM_AFTER_PROCESS])</f>
        <v>BALE</v>
      </c>
      <c r="E863">
        <v>71</v>
      </c>
    </row>
    <row r="864" spans="1:5" x14ac:dyDescent="0.2">
      <c r="A864" s="3">
        <v>45692</v>
      </c>
      <c r="B864" t="s">
        <v>1</v>
      </c>
      <c r="C864">
        <v>1</v>
      </c>
      <c r="D864" t="str">
        <f>_xlfn.XLOOKUP(RW_DT_PRODUCTION[[#This Row],[MATERIAL_ID]],DIM_MATERIAL[MATERIAL_ID],DIM_MATERIAL[UOM_AFTER_PROCESS])</f>
        <v>BALE</v>
      </c>
      <c r="E864">
        <v>73</v>
      </c>
    </row>
    <row r="865" spans="1:5" x14ac:dyDescent="0.2">
      <c r="A865" s="3">
        <v>45692</v>
      </c>
      <c r="B865" t="s">
        <v>1</v>
      </c>
      <c r="C865">
        <v>1</v>
      </c>
      <c r="D865" t="str">
        <f>_xlfn.XLOOKUP(RW_DT_PRODUCTION[[#This Row],[MATERIAL_ID]],DIM_MATERIAL[MATERIAL_ID],DIM_MATERIAL[UOM_AFTER_PROCESS])</f>
        <v>BALE</v>
      </c>
      <c r="E865">
        <v>72</v>
      </c>
    </row>
    <row r="866" spans="1:5" x14ac:dyDescent="0.2">
      <c r="A866" s="3">
        <v>45692</v>
      </c>
      <c r="B866" t="s">
        <v>1</v>
      </c>
      <c r="C866">
        <v>1</v>
      </c>
      <c r="D866" t="str">
        <f>_xlfn.XLOOKUP(RW_DT_PRODUCTION[[#This Row],[MATERIAL_ID]],DIM_MATERIAL[MATERIAL_ID],DIM_MATERIAL[UOM_AFTER_PROCESS])</f>
        <v>BALE</v>
      </c>
      <c r="E866">
        <v>80</v>
      </c>
    </row>
    <row r="867" spans="1:5" x14ac:dyDescent="0.2">
      <c r="A867" s="3">
        <v>45692</v>
      </c>
      <c r="B867" t="s">
        <v>1</v>
      </c>
      <c r="C867">
        <v>1</v>
      </c>
      <c r="D867" t="str">
        <f>_xlfn.XLOOKUP(RW_DT_PRODUCTION[[#This Row],[MATERIAL_ID]],DIM_MATERIAL[MATERIAL_ID],DIM_MATERIAL[UOM_AFTER_PROCESS])</f>
        <v>BALE</v>
      </c>
      <c r="E867">
        <v>89</v>
      </c>
    </row>
    <row r="868" spans="1:5" x14ac:dyDescent="0.2">
      <c r="A868" s="3">
        <v>45692</v>
      </c>
      <c r="B868" t="s">
        <v>1</v>
      </c>
      <c r="C868">
        <v>1</v>
      </c>
      <c r="D868" t="str">
        <f>_xlfn.XLOOKUP(RW_DT_PRODUCTION[[#This Row],[MATERIAL_ID]],DIM_MATERIAL[MATERIAL_ID],DIM_MATERIAL[UOM_AFTER_PROCESS])</f>
        <v>BALE</v>
      </c>
      <c r="E868">
        <v>83</v>
      </c>
    </row>
    <row r="869" spans="1:5" x14ac:dyDescent="0.2">
      <c r="A869" s="3">
        <v>45692</v>
      </c>
      <c r="B869" t="s">
        <v>2</v>
      </c>
      <c r="C869">
        <v>1</v>
      </c>
      <c r="D869" t="str">
        <f>_xlfn.XLOOKUP(RW_DT_PRODUCTION[[#This Row],[MATERIAL_ID]],DIM_MATERIAL[MATERIAL_ID],DIM_MATERIAL[UOM_AFTER_PROCESS])</f>
        <v>BAG</v>
      </c>
      <c r="E869">
        <v>22</v>
      </c>
    </row>
    <row r="870" spans="1:5" x14ac:dyDescent="0.2">
      <c r="A870" s="3">
        <v>45693</v>
      </c>
      <c r="B870" t="s">
        <v>1</v>
      </c>
      <c r="C870">
        <v>1</v>
      </c>
      <c r="D870" t="str">
        <f>_xlfn.XLOOKUP(RW_DT_PRODUCTION[[#This Row],[MATERIAL_ID]],DIM_MATERIAL[MATERIAL_ID],DIM_MATERIAL[UOM_AFTER_PROCESS])</f>
        <v>BALE</v>
      </c>
      <c r="E870">
        <v>81</v>
      </c>
    </row>
    <row r="871" spans="1:5" x14ac:dyDescent="0.2">
      <c r="A871" s="3">
        <v>45693</v>
      </c>
      <c r="B871" t="s">
        <v>1</v>
      </c>
      <c r="C871">
        <v>1</v>
      </c>
      <c r="D871" t="str">
        <f>_xlfn.XLOOKUP(RW_DT_PRODUCTION[[#This Row],[MATERIAL_ID]],DIM_MATERIAL[MATERIAL_ID],DIM_MATERIAL[UOM_AFTER_PROCESS])</f>
        <v>BALE</v>
      </c>
      <c r="E871">
        <v>62</v>
      </c>
    </row>
    <row r="872" spans="1:5" x14ac:dyDescent="0.2">
      <c r="A872" s="3">
        <v>45693</v>
      </c>
      <c r="B872" t="s">
        <v>1</v>
      </c>
      <c r="C872">
        <v>1</v>
      </c>
      <c r="D872" t="str">
        <f>_xlfn.XLOOKUP(RW_DT_PRODUCTION[[#This Row],[MATERIAL_ID]],DIM_MATERIAL[MATERIAL_ID],DIM_MATERIAL[UOM_AFTER_PROCESS])</f>
        <v>BALE</v>
      </c>
      <c r="E872">
        <v>69</v>
      </c>
    </row>
    <row r="873" spans="1:5" x14ac:dyDescent="0.2">
      <c r="A873" s="3">
        <v>45693</v>
      </c>
      <c r="B873" t="s">
        <v>1</v>
      </c>
      <c r="C873">
        <v>1</v>
      </c>
      <c r="D873" t="str">
        <f>_xlfn.XLOOKUP(RW_DT_PRODUCTION[[#This Row],[MATERIAL_ID]],DIM_MATERIAL[MATERIAL_ID],DIM_MATERIAL[UOM_AFTER_PROCESS])</f>
        <v>BALE</v>
      </c>
      <c r="E873">
        <v>82</v>
      </c>
    </row>
    <row r="874" spans="1:5" x14ac:dyDescent="0.2">
      <c r="A874" s="3">
        <v>45693</v>
      </c>
      <c r="B874" t="s">
        <v>1</v>
      </c>
      <c r="C874">
        <v>1</v>
      </c>
      <c r="D874" t="str">
        <f>_xlfn.XLOOKUP(RW_DT_PRODUCTION[[#This Row],[MATERIAL_ID]],DIM_MATERIAL[MATERIAL_ID],DIM_MATERIAL[UOM_AFTER_PROCESS])</f>
        <v>BALE</v>
      </c>
      <c r="E874">
        <v>66</v>
      </c>
    </row>
    <row r="875" spans="1:5" x14ac:dyDescent="0.2">
      <c r="A875" s="3">
        <v>45693</v>
      </c>
      <c r="B875" t="s">
        <v>1</v>
      </c>
      <c r="C875">
        <v>1</v>
      </c>
      <c r="D875" t="str">
        <f>_xlfn.XLOOKUP(RW_DT_PRODUCTION[[#This Row],[MATERIAL_ID]],DIM_MATERIAL[MATERIAL_ID],DIM_MATERIAL[UOM_AFTER_PROCESS])</f>
        <v>BALE</v>
      </c>
      <c r="E875">
        <v>83</v>
      </c>
    </row>
    <row r="876" spans="1:5" x14ac:dyDescent="0.2">
      <c r="A876" s="3">
        <v>45693</v>
      </c>
      <c r="B876" t="s">
        <v>1</v>
      </c>
      <c r="C876">
        <v>1</v>
      </c>
      <c r="D876" t="str">
        <f>_xlfn.XLOOKUP(RW_DT_PRODUCTION[[#This Row],[MATERIAL_ID]],DIM_MATERIAL[MATERIAL_ID],DIM_MATERIAL[UOM_AFTER_PROCESS])</f>
        <v>BALE</v>
      </c>
      <c r="E876">
        <v>62</v>
      </c>
    </row>
    <row r="877" spans="1:5" x14ac:dyDescent="0.2">
      <c r="A877" s="3">
        <v>45693</v>
      </c>
      <c r="B877" t="s">
        <v>1</v>
      </c>
      <c r="C877">
        <v>1</v>
      </c>
      <c r="D877" t="str">
        <f>_xlfn.XLOOKUP(RW_DT_PRODUCTION[[#This Row],[MATERIAL_ID]],DIM_MATERIAL[MATERIAL_ID],DIM_MATERIAL[UOM_AFTER_PROCESS])</f>
        <v>BALE</v>
      </c>
      <c r="E877">
        <v>73</v>
      </c>
    </row>
    <row r="878" spans="1:5" x14ac:dyDescent="0.2">
      <c r="A878" s="3">
        <v>45693</v>
      </c>
      <c r="B878" t="s">
        <v>1</v>
      </c>
      <c r="C878">
        <v>1</v>
      </c>
      <c r="D878" t="str">
        <f>_xlfn.XLOOKUP(RW_DT_PRODUCTION[[#This Row],[MATERIAL_ID]],DIM_MATERIAL[MATERIAL_ID],DIM_MATERIAL[UOM_AFTER_PROCESS])</f>
        <v>BALE</v>
      </c>
      <c r="E878">
        <v>67</v>
      </c>
    </row>
    <row r="879" spans="1:5" x14ac:dyDescent="0.2">
      <c r="A879" s="3">
        <v>45693</v>
      </c>
      <c r="B879" t="s">
        <v>1</v>
      </c>
      <c r="C879">
        <v>1</v>
      </c>
      <c r="D879" t="str">
        <f>_xlfn.XLOOKUP(RW_DT_PRODUCTION[[#This Row],[MATERIAL_ID]],DIM_MATERIAL[MATERIAL_ID],DIM_MATERIAL[UOM_AFTER_PROCESS])</f>
        <v>BALE</v>
      </c>
      <c r="E879">
        <v>77</v>
      </c>
    </row>
    <row r="880" spans="1:5" x14ac:dyDescent="0.2">
      <c r="A880" s="3">
        <v>45693</v>
      </c>
      <c r="B880" t="s">
        <v>2</v>
      </c>
      <c r="C880">
        <v>1</v>
      </c>
      <c r="D880" t="str">
        <f>_xlfn.XLOOKUP(RW_DT_PRODUCTION[[#This Row],[MATERIAL_ID]],DIM_MATERIAL[MATERIAL_ID],DIM_MATERIAL[UOM_AFTER_PROCESS])</f>
        <v>BAG</v>
      </c>
      <c r="E880">
        <v>22</v>
      </c>
    </row>
    <row r="881" spans="1:5" x14ac:dyDescent="0.2">
      <c r="A881" s="3">
        <v>45694</v>
      </c>
      <c r="B881" t="s">
        <v>1</v>
      </c>
      <c r="C881">
        <v>1</v>
      </c>
      <c r="D881" t="str">
        <f>_xlfn.XLOOKUP(RW_DT_PRODUCTION[[#This Row],[MATERIAL_ID]],DIM_MATERIAL[MATERIAL_ID],DIM_MATERIAL[UOM_AFTER_PROCESS])</f>
        <v>BALE</v>
      </c>
      <c r="E881">
        <v>75</v>
      </c>
    </row>
    <row r="882" spans="1:5" x14ac:dyDescent="0.2">
      <c r="A882" s="3">
        <v>45694</v>
      </c>
      <c r="B882" t="s">
        <v>1</v>
      </c>
      <c r="C882">
        <v>1</v>
      </c>
      <c r="D882" t="str">
        <f>_xlfn.XLOOKUP(RW_DT_PRODUCTION[[#This Row],[MATERIAL_ID]],DIM_MATERIAL[MATERIAL_ID],DIM_MATERIAL[UOM_AFTER_PROCESS])</f>
        <v>BALE</v>
      </c>
      <c r="E882">
        <v>73</v>
      </c>
    </row>
    <row r="883" spans="1:5" x14ac:dyDescent="0.2">
      <c r="A883" s="3">
        <v>45694</v>
      </c>
      <c r="B883" t="s">
        <v>1</v>
      </c>
      <c r="C883">
        <v>1</v>
      </c>
      <c r="D883" t="str">
        <f>_xlfn.XLOOKUP(RW_DT_PRODUCTION[[#This Row],[MATERIAL_ID]],DIM_MATERIAL[MATERIAL_ID],DIM_MATERIAL[UOM_AFTER_PROCESS])</f>
        <v>BALE</v>
      </c>
      <c r="E883">
        <v>65</v>
      </c>
    </row>
    <row r="884" spans="1:5" x14ac:dyDescent="0.2">
      <c r="A884" s="3">
        <v>45694</v>
      </c>
      <c r="B884" t="s">
        <v>1</v>
      </c>
      <c r="C884">
        <v>1</v>
      </c>
      <c r="D884" t="str">
        <f>_xlfn.XLOOKUP(RW_DT_PRODUCTION[[#This Row],[MATERIAL_ID]],DIM_MATERIAL[MATERIAL_ID],DIM_MATERIAL[UOM_AFTER_PROCESS])</f>
        <v>BALE</v>
      </c>
      <c r="E884">
        <v>83</v>
      </c>
    </row>
    <row r="885" spans="1:5" x14ac:dyDescent="0.2">
      <c r="A885" s="3">
        <v>45695</v>
      </c>
      <c r="B885" t="s">
        <v>1</v>
      </c>
      <c r="C885">
        <v>1</v>
      </c>
      <c r="D885" t="str">
        <f>_xlfn.XLOOKUP(RW_DT_PRODUCTION[[#This Row],[MATERIAL_ID]],DIM_MATERIAL[MATERIAL_ID],DIM_MATERIAL[UOM_AFTER_PROCESS])</f>
        <v>BALE</v>
      </c>
      <c r="E885">
        <v>62</v>
      </c>
    </row>
    <row r="886" spans="1:5" x14ac:dyDescent="0.2">
      <c r="A886" s="3">
        <v>45695</v>
      </c>
      <c r="B886" t="s">
        <v>1</v>
      </c>
      <c r="C886">
        <v>1</v>
      </c>
      <c r="D886" t="str">
        <f>_xlfn.XLOOKUP(RW_DT_PRODUCTION[[#This Row],[MATERIAL_ID]],DIM_MATERIAL[MATERIAL_ID],DIM_MATERIAL[UOM_AFTER_PROCESS])</f>
        <v>BALE</v>
      </c>
      <c r="E886">
        <v>75</v>
      </c>
    </row>
    <row r="887" spans="1:5" x14ac:dyDescent="0.2">
      <c r="A887" s="3">
        <v>45695</v>
      </c>
      <c r="B887" t="s">
        <v>1</v>
      </c>
      <c r="C887">
        <v>1</v>
      </c>
      <c r="D887" t="str">
        <f>_xlfn.XLOOKUP(RW_DT_PRODUCTION[[#This Row],[MATERIAL_ID]],DIM_MATERIAL[MATERIAL_ID],DIM_MATERIAL[UOM_AFTER_PROCESS])</f>
        <v>BALE</v>
      </c>
      <c r="E887">
        <v>82</v>
      </c>
    </row>
    <row r="888" spans="1:5" x14ac:dyDescent="0.2">
      <c r="A888" s="3">
        <v>45695</v>
      </c>
      <c r="B888" t="s">
        <v>1</v>
      </c>
      <c r="C888">
        <v>1</v>
      </c>
      <c r="D888" t="str">
        <f>_xlfn.XLOOKUP(RW_DT_PRODUCTION[[#This Row],[MATERIAL_ID]],DIM_MATERIAL[MATERIAL_ID],DIM_MATERIAL[UOM_AFTER_PROCESS])</f>
        <v>BALE</v>
      </c>
      <c r="E888">
        <v>68</v>
      </c>
    </row>
    <row r="889" spans="1:5" x14ac:dyDescent="0.2">
      <c r="A889" s="3">
        <v>45695</v>
      </c>
      <c r="B889" t="s">
        <v>1</v>
      </c>
      <c r="C889">
        <v>1</v>
      </c>
      <c r="D889" t="str">
        <f>_xlfn.XLOOKUP(RW_DT_PRODUCTION[[#This Row],[MATERIAL_ID]],DIM_MATERIAL[MATERIAL_ID],DIM_MATERIAL[UOM_AFTER_PROCESS])</f>
        <v>BALE</v>
      </c>
      <c r="E889">
        <v>65</v>
      </c>
    </row>
    <row r="890" spans="1:5" x14ac:dyDescent="0.2">
      <c r="A890" s="3">
        <v>45695</v>
      </c>
      <c r="B890" t="s">
        <v>1</v>
      </c>
      <c r="C890">
        <v>1</v>
      </c>
      <c r="D890" t="str">
        <f>_xlfn.XLOOKUP(RW_DT_PRODUCTION[[#This Row],[MATERIAL_ID]],DIM_MATERIAL[MATERIAL_ID],DIM_MATERIAL[UOM_AFTER_PROCESS])</f>
        <v>BALE</v>
      </c>
      <c r="E890">
        <v>85</v>
      </c>
    </row>
    <row r="891" spans="1:5" x14ac:dyDescent="0.2">
      <c r="A891" s="3">
        <v>45696</v>
      </c>
      <c r="B891" t="s">
        <v>1</v>
      </c>
      <c r="C891">
        <v>1</v>
      </c>
      <c r="D891" t="str">
        <f>_xlfn.XLOOKUP(RW_DT_PRODUCTION[[#This Row],[MATERIAL_ID]],DIM_MATERIAL[MATERIAL_ID],DIM_MATERIAL[UOM_AFTER_PROCESS])</f>
        <v>BALE</v>
      </c>
      <c r="E891">
        <v>73</v>
      </c>
    </row>
    <row r="892" spans="1:5" x14ac:dyDescent="0.2">
      <c r="A892" s="3">
        <v>45696</v>
      </c>
      <c r="B892" t="s">
        <v>1</v>
      </c>
      <c r="C892">
        <v>1</v>
      </c>
      <c r="D892" t="str">
        <f>_xlfn.XLOOKUP(RW_DT_PRODUCTION[[#This Row],[MATERIAL_ID]],DIM_MATERIAL[MATERIAL_ID],DIM_MATERIAL[UOM_AFTER_PROCESS])</f>
        <v>BALE</v>
      </c>
      <c r="E892">
        <v>77</v>
      </c>
    </row>
    <row r="893" spans="1:5" x14ac:dyDescent="0.2">
      <c r="A893" s="3">
        <v>45696</v>
      </c>
      <c r="B893" t="s">
        <v>1</v>
      </c>
      <c r="C893">
        <v>1</v>
      </c>
      <c r="D893" t="str">
        <f>_xlfn.XLOOKUP(RW_DT_PRODUCTION[[#This Row],[MATERIAL_ID]],DIM_MATERIAL[MATERIAL_ID],DIM_MATERIAL[UOM_AFTER_PROCESS])</f>
        <v>BALE</v>
      </c>
      <c r="E893">
        <v>73</v>
      </c>
    </row>
    <row r="894" spans="1:5" x14ac:dyDescent="0.2">
      <c r="A894" s="3">
        <v>45696</v>
      </c>
      <c r="B894" t="s">
        <v>1</v>
      </c>
      <c r="C894">
        <v>1</v>
      </c>
      <c r="D894" t="str">
        <f>_xlfn.XLOOKUP(RW_DT_PRODUCTION[[#This Row],[MATERIAL_ID]],DIM_MATERIAL[MATERIAL_ID],DIM_MATERIAL[UOM_AFTER_PROCESS])</f>
        <v>BALE</v>
      </c>
      <c r="E894">
        <v>84</v>
      </c>
    </row>
    <row r="895" spans="1:5" x14ac:dyDescent="0.2">
      <c r="A895" s="3">
        <v>45696</v>
      </c>
      <c r="B895" t="s">
        <v>1</v>
      </c>
      <c r="C895">
        <v>1</v>
      </c>
      <c r="D895" t="str">
        <f>_xlfn.XLOOKUP(RW_DT_PRODUCTION[[#This Row],[MATERIAL_ID]],DIM_MATERIAL[MATERIAL_ID],DIM_MATERIAL[UOM_AFTER_PROCESS])</f>
        <v>BALE</v>
      </c>
      <c r="E895">
        <v>73</v>
      </c>
    </row>
    <row r="896" spans="1:5" x14ac:dyDescent="0.2">
      <c r="A896" s="3">
        <v>45696</v>
      </c>
      <c r="B896" t="s">
        <v>2</v>
      </c>
      <c r="C896">
        <v>1</v>
      </c>
      <c r="D896" t="str">
        <f>_xlfn.XLOOKUP(RW_DT_PRODUCTION[[#This Row],[MATERIAL_ID]],DIM_MATERIAL[MATERIAL_ID],DIM_MATERIAL[UOM_AFTER_PROCESS])</f>
        <v>BAG</v>
      </c>
      <c r="E896">
        <v>22</v>
      </c>
    </row>
    <row r="897" spans="1:5" x14ac:dyDescent="0.2">
      <c r="A897" s="3">
        <v>45696</v>
      </c>
      <c r="B897" t="s">
        <v>2</v>
      </c>
      <c r="C897">
        <v>1</v>
      </c>
      <c r="D897" t="str">
        <f>_xlfn.XLOOKUP(RW_DT_PRODUCTION[[#This Row],[MATERIAL_ID]],DIM_MATERIAL[MATERIAL_ID],DIM_MATERIAL[UOM_AFTER_PROCESS])</f>
        <v>BAG</v>
      </c>
      <c r="E897">
        <v>22</v>
      </c>
    </row>
    <row r="898" spans="1:5" x14ac:dyDescent="0.2">
      <c r="A898" s="3">
        <v>45696</v>
      </c>
      <c r="B898" t="s">
        <v>2</v>
      </c>
      <c r="C898">
        <v>1</v>
      </c>
      <c r="D898" t="str">
        <f>_xlfn.XLOOKUP(RW_DT_PRODUCTION[[#This Row],[MATERIAL_ID]],DIM_MATERIAL[MATERIAL_ID],DIM_MATERIAL[UOM_AFTER_PROCESS])</f>
        <v>BAG</v>
      </c>
      <c r="E898">
        <v>22</v>
      </c>
    </row>
    <row r="899" spans="1:5" x14ac:dyDescent="0.2">
      <c r="A899" s="3">
        <v>45696</v>
      </c>
      <c r="B899" t="s">
        <v>2</v>
      </c>
      <c r="C899">
        <v>1</v>
      </c>
      <c r="D899" t="str">
        <f>_xlfn.XLOOKUP(RW_DT_PRODUCTION[[#This Row],[MATERIAL_ID]],DIM_MATERIAL[MATERIAL_ID],DIM_MATERIAL[UOM_AFTER_PROCESS])</f>
        <v>BAG</v>
      </c>
      <c r="E899">
        <v>22</v>
      </c>
    </row>
    <row r="900" spans="1:5" x14ac:dyDescent="0.2">
      <c r="A900" s="3">
        <v>45696</v>
      </c>
      <c r="B900" t="s">
        <v>2</v>
      </c>
      <c r="C900">
        <v>1</v>
      </c>
      <c r="D900" t="str">
        <f>_xlfn.XLOOKUP(RW_DT_PRODUCTION[[#This Row],[MATERIAL_ID]],DIM_MATERIAL[MATERIAL_ID],DIM_MATERIAL[UOM_AFTER_PROCESS])</f>
        <v>BAG</v>
      </c>
      <c r="E900">
        <v>22</v>
      </c>
    </row>
    <row r="901" spans="1:5" x14ac:dyDescent="0.2">
      <c r="A901" s="3">
        <v>45696</v>
      </c>
      <c r="B901" t="s">
        <v>2</v>
      </c>
      <c r="C901">
        <v>1</v>
      </c>
      <c r="D901" t="str">
        <f>_xlfn.XLOOKUP(RW_DT_PRODUCTION[[#This Row],[MATERIAL_ID]],DIM_MATERIAL[MATERIAL_ID],DIM_MATERIAL[UOM_AFTER_PROCESS])</f>
        <v>BAG</v>
      </c>
      <c r="E901">
        <v>22</v>
      </c>
    </row>
    <row r="902" spans="1:5" x14ac:dyDescent="0.2">
      <c r="A902" s="3">
        <v>45696</v>
      </c>
      <c r="B902" t="s">
        <v>2</v>
      </c>
      <c r="C902">
        <v>1</v>
      </c>
      <c r="D902" t="str">
        <f>_xlfn.XLOOKUP(RW_DT_PRODUCTION[[#This Row],[MATERIAL_ID]],DIM_MATERIAL[MATERIAL_ID],DIM_MATERIAL[UOM_AFTER_PROCESS])</f>
        <v>BAG</v>
      </c>
      <c r="E902">
        <v>22</v>
      </c>
    </row>
    <row r="903" spans="1:5" x14ac:dyDescent="0.2">
      <c r="A903" s="3">
        <v>45699</v>
      </c>
      <c r="B903" t="s">
        <v>1</v>
      </c>
      <c r="C903">
        <v>1</v>
      </c>
      <c r="D903" t="str">
        <f>_xlfn.XLOOKUP(RW_DT_PRODUCTION[[#This Row],[MATERIAL_ID]],DIM_MATERIAL[MATERIAL_ID],DIM_MATERIAL[UOM_AFTER_PROCESS])</f>
        <v>BALE</v>
      </c>
      <c r="E903">
        <v>74</v>
      </c>
    </row>
    <row r="904" spans="1:5" x14ac:dyDescent="0.2">
      <c r="A904" s="3">
        <v>45699</v>
      </c>
      <c r="B904" t="s">
        <v>1</v>
      </c>
      <c r="C904">
        <v>1</v>
      </c>
      <c r="D904" t="str">
        <f>_xlfn.XLOOKUP(RW_DT_PRODUCTION[[#This Row],[MATERIAL_ID]],DIM_MATERIAL[MATERIAL_ID],DIM_MATERIAL[UOM_AFTER_PROCESS])</f>
        <v>BALE</v>
      </c>
      <c r="E904">
        <v>67</v>
      </c>
    </row>
    <row r="905" spans="1:5" x14ac:dyDescent="0.2">
      <c r="A905" s="3">
        <v>45699</v>
      </c>
      <c r="B905" t="s">
        <v>1</v>
      </c>
      <c r="C905">
        <v>1</v>
      </c>
      <c r="D905" t="str">
        <f>_xlfn.XLOOKUP(RW_DT_PRODUCTION[[#This Row],[MATERIAL_ID]],DIM_MATERIAL[MATERIAL_ID],DIM_MATERIAL[UOM_AFTER_PROCESS])</f>
        <v>BALE</v>
      </c>
      <c r="E905">
        <v>86</v>
      </c>
    </row>
    <row r="906" spans="1:5" x14ac:dyDescent="0.2">
      <c r="A906" s="3">
        <v>45699</v>
      </c>
      <c r="B906" t="s">
        <v>1</v>
      </c>
      <c r="C906">
        <v>1</v>
      </c>
      <c r="D906" t="str">
        <f>_xlfn.XLOOKUP(RW_DT_PRODUCTION[[#This Row],[MATERIAL_ID]],DIM_MATERIAL[MATERIAL_ID],DIM_MATERIAL[UOM_AFTER_PROCESS])</f>
        <v>BALE</v>
      </c>
      <c r="E906">
        <v>65</v>
      </c>
    </row>
    <row r="907" spans="1:5" x14ac:dyDescent="0.2">
      <c r="A907" s="3">
        <v>45699</v>
      </c>
      <c r="B907" t="s">
        <v>2</v>
      </c>
      <c r="C907">
        <v>1</v>
      </c>
      <c r="D907" t="str">
        <f>_xlfn.XLOOKUP(RW_DT_PRODUCTION[[#This Row],[MATERIAL_ID]],DIM_MATERIAL[MATERIAL_ID],DIM_MATERIAL[UOM_AFTER_PROCESS])</f>
        <v>BAG</v>
      </c>
      <c r="E907">
        <v>22</v>
      </c>
    </row>
    <row r="908" spans="1:5" x14ac:dyDescent="0.2">
      <c r="A908" s="3">
        <v>45699</v>
      </c>
      <c r="B908" t="s">
        <v>2</v>
      </c>
      <c r="C908">
        <v>1</v>
      </c>
      <c r="D908" t="str">
        <f>_xlfn.XLOOKUP(RW_DT_PRODUCTION[[#This Row],[MATERIAL_ID]],DIM_MATERIAL[MATERIAL_ID],DIM_MATERIAL[UOM_AFTER_PROCESS])</f>
        <v>BAG</v>
      </c>
      <c r="E908">
        <v>22</v>
      </c>
    </row>
    <row r="909" spans="1:5" x14ac:dyDescent="0.2">
      <c r="A909" s="3">
        <v>45699</v>
      </c>
      <c r="B909" t="s">
        <v>2</v>
      </c>
      <c r="C909">
        <v>1</v>
      </c>
      <c r="D909" t="str">
        <f>_xlfn.XLOOKUP(RW_DT_PRODUCTION[[#This Row],[MATERIAL_ID]],DIM_MATERIAL[MATERIAL_ID],DIM_MATERIAL[UOM_AFTER_PROCESS])</f>
        <v>BAG</v>
      </c>
      <c r="E909">
        <v>22</v>
      </c>
    </row>
    <row r="910" spans="1:5" x14ac:dyDescent="0.2">
      <c r="A910" s="3">
        <v>45699</v>
      </c>
      <c r="B910" t="s">
        <v>2</v>
      </c>
      <c r="C910">
        <v>1</v>
      </c>
      <c r="D910" t="str">
        <f>_xlfn.XLOOKUP(RW_DT_PRODUCTION[[#This Row],[MATERIAL_ID]],DIM_MATERIAL[MATERIAL_ID],DIM_MATERIAL[UOM_AFTER_PROCESS])</f>
        <v>BAG</v>
      </c>
      <c r="E910">
        <v>22</v>
      </c>
    </row>
    <row r="911" spans="1:5" x14ac:dyDescent="0.2">
      <c r="A911" s="3">
        <v>45699</v>
      </c>
      <c r="B911" t="s">
        <v>2</v>
      </c>
      <c r="C911">
        <v>1</v>
      </c>
      <c r="D911" t="str">
        <f>_xlfn.XLOOKUP(RW_DT_PRODUCTION[[#This Row],[MATERIAL_ID]],DIM_MATERIAL[MATERIAL_ID],DIM_MATERIAL[UOM_AFTER_PROCESS])</f>
        <v>BAG</v>
      </c>
      <c r="E911">
        <v>22</v>
      </c>
    </row>
    <row r="912" spans="1:5" x14ac:dyDescent="0.2">
      <c r="A912" s="3">
        <v>45699</v>
      </c>
      <c r="B912" t="s">
        <v>2</v>
      </c>
      <c r="C912">
        <v>1</v>
      </c>
      <c r="D912" t="str">
        <f>_xlfn.XLOOKUP(RW_DT_PRODUCTION[[#This Row],[MATERIAL_ID]],DIM_MATERIAL[MATERIAL_ID],DIM_MATERIAL[UOM_AFTER_PROCESS])</f>
        <v>BAG</v>
      </c>
      <c r="E912">
        <v>22</v>
      </c>
    </row>
    <row r="913" spans="1:5" x14ac:dyDescent="0.2">
      <c r="A913" s="3">
        <v>45700</v>
      </c>
      <c r="B913" t="s">
        <v>1</v>
      </c>
      <c r="C913">
        <v>1</v>
      </c>
      <c r="D913" t="str">
        <f>_xlfn.XLOOKUP(RW_DT_PRODUCTION[[#This Row],[MATERIAL_ID]],DIM_MATERIAL[MATERIAL_ID],DIM_MATERIAL[UOM_AFTER_PROCESS])</f>
        <v>BALE</v>
      </c>
      <c r="E913">
        <v>81</v>
      </c>
    </row>
    <row r="914" spans="1:5" x14ac:dyDescent="0.2">
      <c r="A914" s="3">
        <v>45700</v>
      </c>
      <c r="B914" t="s">
        <v>1</v>
      </c>
      <c r="C914">
        <v>1</v>
      </c>
      <c r="D914" t="str">
        <f>_xlfn.XLOOKUP(RW_DT_PRODUCTION[[#This Row],[MATERIAL_ID]],DIM_MATERIAL[MATERIAL_ID],DIM_MATERIAL[UOM_AFTER_PROCESS])</f>
        <v>BALE</v>
      </c>
      <c r="E914">
        <v>66</v>
      </c>
    </row>
    <row r="915" spans="1:5" x14ac:dyDescent="0.2">
      <c r="A915" s="3">
        <v>45700</v>
      </c>
      <c r="B915" t="s">
        <v>1</v>
      </c>
      <c r="C915">
        <v>1</v>
      </c>
      <c r="D915" t="str">
        <f>_xlfn.XLOOKUP(RW_DT_PRODUCTION[[#This Row],[MATERIAL_ID]],DIM_MATERIAL[MATERIAL_ID],DIM_MATERIAL[UOM_AFTER_PROCESS])</f>
        <v>BALE</v>
      </c>
      <c r="E915">
        <v>79</v>
      </c>
    </row>
    <row r="916" spans="1:5" x14ac:dyDescent="0.2">
      <c r="A916" s="3">
        <v>45700</v>
      </c>
      <c r="B916" t="s">
        <v>1</v>
      </c>
      <c r="C916">
        <v>1</v>
      </c>
      <c r="D916" t="str">
        <f>_xlfn.XLOOKUP(RW_DT_PRODUCTION[[#This Row],[MATERIAL_ID]],DIM_MATERIAL[MATERIAL_ID],DIM_MATERIAL[UOM_AFTER_PROCESS])</f>
        <v>BALE</v>
      </c>
      <c r="E916">
        <v>61</v>
      </c>
    </row>
    <row r="917" spans="1:5" x14ac:dyDescent="0.2">
      <c r="A917" s="3">
        <v>45700</v>
      </c>
      <c r="B917" t="s">
        <v>1</v>
      </c>
      <c r="C917">
        <v>1</v>
      </c>
      <c r="D917" t="str">
        <f>_xlfn.XLOOKUP(RW_DT_PRODUCTION[[#This Row],[MATERIAL_ID]],DIM_MATERIAL[MATERIAL_ID],DIM_MATERIAL[UOM_AFTER_PROCESS])</f>
        <v>BALE</v>
      </c>
      <c r="E917">
        <v>76</v>
      </c>
    </row>
    <row r="918" spans="1:5" x14ac:dyDescent="0.2">
      <c r="A918" s="3">
        <v>45700</v>
      </c>
      <c r="B918" t="s">
        <v>1</v>
      </c>
      <c r="C918">
        <v>1</v>
      </c>
      <c r="D918" t="str">
        <f>_xlfn.XLOOKUP(RW_DT_PRODUCTION[[#This Row],[MATERIAL_ID]],DIM_MATERIAL[MATERIAL_ID],DIM_MATERIAL[UOM_AFTER_PROCESS])</f>
        <v>BALE</v>
      </c>
      <c r="E918">
        <v>77</v>
      </c>
    </row>
    <row r="919" spans="1:5" x14ac:dyDescent="0.2">
      <c r="A919" s="3">
        <v>45700</v>
      </c>
      <c r="B919" t="s">
        <v>1</v>
      </c>
      <c r="C919">
        <v>1</v>
      </c>
      <c r="D919" t="str">
        <f>_xlfn.XLOOKUP(RW_DT_PRODUCTION[[#This Row],[MATERIAL_ID]],DIM_MATERIAL[MATERIAL_ID],DIM_MATERIAL[UOM_AFTER_PROCESS])</f>
        <v>BALE</v>
      </c>
      <c r="E919">
        <v>87</v>
      </c>
    </row>
    <row r="920" spans="1:5" x14ac:dyDescent="0.2">
      <c r="A920" s="3">
        <v>45700</v>
      </c>
      <c r="B920" t="s">
        <v>1</v>
      </c>
      <c r="C920">
        <v>1</v>
      </c>
      <c r="D920" t="str">
        <f>_xlfn.XLOOKUP(RW_DT_PRODUCTION[[#This Row],[MATERIAL_ID]],DIM_MATERIAL[MATERIAL_ID],DIM_MATERIAL[UOM_AFTER_PROCESS])</f>
        <v>BALE</v>
      </c>
      <c r="E920">
        <v>88</v>
      </c>
    </row>
    <row r="921" spans="1:5" x14ac:dyDescent="0.2">
      <c r="A921" s="3">
        <v>45700</v>
      </c>
      <c r="B921" t="s">
        <v>1</v>
      </c>
      <c r="C921">
        <v>1</v>
      </c>
      <c r="D921" t="str">
        <f>_xlfn.XLOOKUP(RW_DT_PRODUCTION[[#This Row],[MATERIAL_ID]],DIM_MATERIAL[MATERIAL_ID],DIM_MATERIAL[UOM_AFTER_PROCESS])</f>
        <v>BALE</v>
      </c>
      <c r="E921">
        <v>72</v>
      </c>
    </row>
    <row r="922" spans="1:5" x14ac:dyDescent="0.2">
      <c r="A922" s="3">
        <v>45700</v>
      </c>
      <c r="B922" t="s">
        <v>1</v>
      </c>
      <c r="C922">
        <v>1</v>
      </c>
      <c r="D922" t="str">
        <f>_xlfn.XLOOKUP(RW_DT_PRODUCTION[[#This Row],[MATERIAL_ID]],DIM_MATERIAL[MATERIAL_ID],DIM_MATERIAL[UOM_AFTER_PROCESS])</f>
        <v>BALE</v>
      </c>
      <c r="E922">
        <v>70</v>
      </c>
    </row>
    <row r="923" spans="1:5" x14ac:dyDescent="0.2">
      <c r="A923" s="3">
        <v>45700</v>
      </c>
      <c r="B923" t="s">
        <v>1</v>
      </c>
      <c r="C923">
        <v>1</v>
      </c>
      <c r="D923" t="str">
        <f>_xlfn.XLOOKUP(RW_DT_PRODUCTION[[#This Row],[MATERIAL_ID]],DIM_MATERIAL[MATERIAL_ID],DIM_MATERIAL[UOM_AFTER_PROCESS])</f>
        <v>BALE</v>
      </c>
      <c r="E923">
        <v>74</v>
      </c>
    </row>
    <row r="924" spans="1:5" x14ac:dyDescent="0.2">
      <c r="A924" s="3">
        <v>45700</v>
      </c>
      <c r="B924" t="s">
        <v>2</v>
      </c>
      <c r="C924">
        <v>1</v>
      </c>
      <c r="D924" t="str">
        <f>_xlfn.XLOOKUP(RW_DT_PRODUCTION[[#This Row],[MATERIAL_ID]],DIM_MATERIAL[MATERIAL_ID],DIM_MATERIAL[UOM_AFTER_PROCESS])</f>
        <v>BAG</v>
      </c>
      <c r="E924">
        <v>22</v>
      </c>
    </row>
    <row r="925" spans="1:5" x14ac:dyDescent="0.2">
      <c r="A925" s="3">
        <v>45700</v>
      </c>
      <c r="B925" t="s">
        <v>2</v>
      </c>
      <c r="C925">
        <v>1</v>
      </c>
      <c r="D925" t="str">
        <f>_xlfn.XLOOKUP(RW_DT_PRODUCTION[[#This Row],[MATERIAL_ID]],DIM_MATERIAL[MATERIAL_ID],DIM_MATERIAL[UOM_AFTER_PROCESS])</f>
        <v>BAG</v>
      </c>
      <c r="E925">
        <v>22</v>
      </c>
    </row>
    <row r="926" spans="1:5" x14ac:dyDescent="0.2">
      <c r="A926" s="3">
        <v>45700</v>
      </c>
      <c r="B926" t="s">
        <v>2</v>
      </c>
      <c r="C926">
        <v>1</v>
      </c>
      <c r="D926" t="str">
        <f>_xlfn.XLOOKUP(RW_DT_PRODUCTION[[#This Row],[MATERIAL_ID]],DIM_MATERIAL[MATERIAL_ID],DIM_MATERIAL[UOM_AFTER_PROCESS])</f>
        <v>BAG</v>
      </c>
      <c r="E926">
        <v>22</v>
      </c>
    </row>
    <row r="927" spans="1:5" x14ac:dyDescent="0.2">
      <c r="A927" s="3">
        <v>45700</v>
      </c>
      <c r="B927" t="s">
        <v>2</v>
      </c>
      <c r="C927">
        <v>1</v>
      </c>
      <c r="D927" t="str">
        <f>_xlfn.XLOOKUP(RW_DT_PRODUCTION[[#This Row],[MATERIAL_ID]],DIM_MATERIAL[MATERIAL_ID],DIM_MATERIAL[UOM_AFTER_PROCESS])</f>
        <v>BAG</v>
      </c>
      <c r="E927">
        <v>22</v>
      </c>
    </row>
    <row r="928" spans="1:5" x14ac:dyDescent="0.2">
      <c r="A928" s="3">
        <v>45700</v>
      </c>
      <c r="B928" t="s">
        <v>2</v>
      </c>
      <c r="C928">
        <v>1</v>
      </c>
      <c r="D928" t="str">
        <f>_xlfn.XLOOKUP(RW_DT_PRODUCTION[[#This Row],[MATERIAL_ID]],DIM_MATERIAL[MATERIAL_ID],DIM_MATERIAL[UOM_AFTER_PROCESS])</f>
        <v>BAG</v>
      </c>
      <c r="E928">
        <v>22</v>
      </c>
    </row>
    <row r="929" spans="1:5" x14ac:dyDescent="0.2">
      <c r="A929" s="3">
        <v>45700</v>
      </c>
      <c r="B929" t="s">
        <v>2</v>
      </c>
      <c r="C929">
        <v>1</v>
      </c>
      <c r="D929" t="str">
        <f>_xlfn.XLOOKUP(RW_DT_PRODUCTION[[#This Row],[MATERIAL_ID]],DIM_MATERIAL[MATERIAL_ID],DIM_MATERIAL[UOM_AFTER_PROCESS])</f>
        <v>BAG</v>
      </c>
      <c r="E929">
        <v>22</v>
      </c>
    </row>
    <row r="930" spans="1:5" x14ac:dyDescent="0.2">
      <c r="A930" s="3">
        <v>45701</v>
      </c>
      <c r="B930" t="s">
        <v>1</v>
      </c>
      <c r="C930">
        <v>1</v>
      </c>
      <c r="D930" t="str">
        <f>_xlfn.XLOOKUP(RW_DT_PRODUCTION[[#This Row],[MATERIAL_ID]],DIM_MATERIAL[MATERIAL_ID],DIM_MATERIAL[UOM_AFTER_PROCESS])</f>
        <v>BALE</v>
      </c>
      <c r="E930">
        <v>75</v>
      </c>
    </row>
    <row r="931" spans="1:5" x14ac:dyDescent="0.2">
      <c r="A931" s="3">
        <v>45701</v>
      </c>
      <c r="B931" t="s">
        <v>1</v>
      </c>
      <c r="C931">
        <v>1</v>
      </c>
      <c r="D931" t="str">
        <f>_xlfn.XLOOKUP(RW_DT_PRODUCTION[[#This Row],[MATERIAL_ID]],DIM_MATERIAL[MATERIAL_ID],DIM_MATERIAL[UOM_AFTER_PROCESS])</f>
        <v>BALE</v>
      </c>
      <c r="E931">
        <v>85</v>
      </c>
    </row>
    <row r="932" spans="1:5" x14ac:dyDescent="0.2">
      <c r="A932" s="3">
        <v>45701</v>
      </c>
      <c r="B932" t="s">
        <v>1</v>
      </c>
      <c r="C932">
        <v>1</v>
      </c>
      <c r="D932" t="str">
        <f>_xlfn.XLOOKUP(RW_DT_PRODUCTION[[#This Row],[MATERIAL_ID]],DIM_MATERIAL[MATERIAL_ID],DIM_MATERIAL[UOM_AFTER_PROCESS])</f>
        <v>BALE</v>
      </c>
      <c r="E932">
        <v>89</v>
      </c>
    </row>
    <row r="933" spans="1:5" x14ac:dyDescent="0.2">
      <c r="A933" s="3">
        <v>45701</v>
      </c>
      <c r="B933" t="s">
        <v>1</v>
      </c>
      <c r="C933">
        <v>1</v>
      </c>
      <c r="D933" t="str">
        <f>_xlfn.XLOOKUP(RW_DT_PRODUCTION[[#This Row],[MATERIAL_ID]],DIM_MATERIAL[MATERIAL_ID],DIM_MATERIAL[UOM_AFTER_PROCESS])</f>
        <v>BALE</v>
      </c>
      <c r="E933">
        <v>84</v>
      </c>
    </row>
    <row r="934" spans="1:5" x14ac:dyDescent="0.2">
      <c r="A934" s="3">
        <v>45702</v>
      </c>
      <c r="B934" t="s">
        <v>1</v>
      </c>
      <c r="C934">
        <v>1</v>
      </c>
      <c r="D934" t="str">
        <f>_xlfn.XLOOKUP(RW_DT_PRODUCTION[[#This Row],[MATERIAL_ID]],DIM_MATERIAL[MATERIAL_ID],DIM_MATERIAL[UOM_AFTER_PROCESS])</f>
        <v>BALE</v>
      </c>
      <c r="E934">
        <v>76</v>
      </c>
    </row>
    <row r="935" spans="1:5" x14ac:dyDescent="0.2">
      <c r="A935" s="3">
        <v>45702</v>
      </c>
      <c r="B935" t="s">
        <v>1</v>
      </c>
      <c r="C935">
        <v>1</v>
      </c>
      <c r="D935" t="str">
        <f>_xlfn.XLOOKUP(RW_DT_PRODUCTION[[#This Row],[MATERIAL_ID]],DIM_MATERIAL[MATERIAL_ID],DIM_MATERIAL[UOM_AFTER_PROCESS])</f>
        <v>BALE</v>
      </c>
      <c r="E935">
        <v>87</v>
      </c>
    </row>
    <row r="936" spans="1:5" x14ac:dyDescent="0.2">
      <c r="A936" s="3">
        <v>45702</v>
      </c>
      <c r="B936" t="s">
        <v>1</v>
      </c>
      <c r="C936">
        <v>1</v>
      </c>
      <c r="D936" t="str">
        <f>_xlfn.XLOOKUP(RW_DT_PRODUCTION[[#This Row],[MATERIAL_ID]],DIM_MATERIAL[MATERIAL_ID],DIM_MATERIAL[UOM_AFTER_PROCESS])</f>
        <v>BALE</v>
      </c>
      <c r="E936">
        <v>68</v>
      </c>
    </row>
    <row r="937" spans="1:5" x14ac:dyDescent="0.2">
      <c r="A937" s="3">
        <v>45702</v>
      </c>
      <c r="B937" t="s">
        <v>1</v>
      </c>
      <c r="C937">
        <v>1</v>
      </c>
      <c r="D937" t="str">
        <f>_xlfn.XLOOKUP(RW_DT_PRODUCTION[[#This Row],[MATERIAL_ID]],DIM_MATERIAL[MATERIAL_ID],DIM_MATERIAL[UOM_AFTER_PROCESS])</f>
        <v>BALE</v>
      </c>
      <c r="E937">
        <v>85</v>
      </c>
    </row>
    <row r="938" spans="1:5" x14ac:dyDescent="0.2">
      <c r="A938" s="3">
        <v>45705</v>
      </c>
      <c r="B938" t="s">
        <v>1</v>
      </c>
      <c r="C938">
        <v>1</v>
      </c>
      <c r="D938" t="str">
        <f>_xlfn.XLOOKUP(RW_DT_PRODUCTION[[#This Row],[MATERIAL_ID]],DIM_MATERIAL[MATERIAL_ID],DIM_MATERIAL[UOM_AFTER_PROCESS])</f>
        <v>BALE</v>
      </c>
      <c r="E938">
        <v>74</v>
      </c>
    </row>
    <row r="939" spans="1:5" x14ac:dyDescent="0.2">
      <c r="A939" s="3">
        <v>45705</v>
      </c>
      <c r="B939" t="s">
        <v>1</v>
      </c>
      <c r="C939">
        <v>1</v>
      </c>
      <c r="D939" t="str">
        <f>_xlfn.XLOOKUP(RW_DT_PRODUCTION[[#This Row],[MATERIAL_ID]],DIM_MATERIAL[MATERIAL_ID],DIM_MATERIAL[UOM_AFTER_PROCESS])</f>
        <v>BALE</v>
      </c>
      <c r="E939">
        <v>87</v>
      </c>
    </row>
    <row r="940" spans="1:5" x14ac:dyDescent="0.2">
      <c r="A940" s="3">
        <v>45705</v>
      </c>
      <c r="B940" t="s">
        <v>1</v>
      </c>
      <c r="C940">
        <v>1</v>
      </c>
      <c r="D940" t="str">
        <f>_xlfn.XLOOKUP(RW_DT_PRODUCTION[[#This Row],[MATERIAL_ID]],DIM_MATERIAL[MATERIAL_ID],DIM_MATERIAL[UOM_AFTER_PROCESS])</f>
        <v>BALE</v>
      </c>
      <c r="E940">
        <v>76</v>
      </c>
    </row>
    <row r="941" spans="1:5" x14ac:dyDescent="0.2">
      <c r="A941" s="3">
        <v>45705</v>
      </c>
      <c r="B941" t="s">
        <v>1</v>
      </c>
      <c r="C941">
        <v>1</v>
      </c>
      <c r="D941" t="str">
        <f>_xlfn.XLOOKUP(RW_DT_PRODUCTION[[#This Row],[MATERIAL_ID]],DIM_MATERIAL[MATERIAL_ID],DIM_MATERIAL[UOM_AFTER_PROCESS])</f>
        <v>BALE</v>
      </c>
      <c r="E941">
        <v>84</v>
      </c>
    </row>
    <row r="942" spans="1:5" x14ac:dyDescent="0.2">
      <c r="A942" s="3">
        <v>45705</v>
      </c>
      <c r="B942" t="s">
        <v>1</v>
      </c>
      <c r="C942">
        <v>1</v>
      </c>
      <c r="D942" t="str">
        <f>_xlfn.XLOOKUP(RW_DT_PRODUCTION[[#This Row],[MATERIAL_ID]],DIM_MATERIAL[MATERIAL_ID],DIM_MATERIAL[UOM_AFTER_PROCESS])</f>
        <v>BALE</v>
      </c>
      <c r="E942">
        <v>86</v>
      </c>
    </row>
    <row r="943" spans="1:5" x14ac:dyDescent="0.2">
      <c r="A943" s="3">
        <v>45705</v>
      </c>
      <c r="B943" t="s">
        <v>1</v>
      </c>
      <c r="C943">
        <v>1</v>
      </c>
      <c r="D943" t="str">
        <f>_xlfn.XLOOKUP(RW_DT_PRODUCTION[[#This Row],[MATERIAL_ID]],DIM_MATERIAL[MATERIAL_ID],DIM_MATERIAL[UOM_AFTER_PROCESS])</f>
        <v>BALE</v>
      </c>
      <c r="E943">
        <v>63</v>
      </c>
    </row>
    <row r="944" spans="1:5" x14ac:dyDescent="0.2">
      <c r="A944" s="3">
        <v>45705</v>
      </c>
      <c r="B944" t="s">
        <v>1</v>
      </c>
      <c r="C944">
        <v>1</v>
      </c>
      <c r="D944" t="str">
        <f>_xlfn.XLOOKUP(RW_DT_PRODUCTION[[#This Row],[MATERIAL_ID]],DIM_MATERIAL[MATERIAL_ID],DIM_MATERIAL[UOM_AFTER_PROCESS])</f>
        <v>BALE</v>
      </c>
      <c r="E944">
        <v>69</v>
      </c>
    </row>
    <row r="945" spans="1:5" x14ac:dyDescent="0.2">
      <c r="A945" s="3">
        <v>45705</v>
      </c>
      <c r="B945" t="s">
        <v>1</v>
      </c>
      <c r="C945">
        <v>1</v>
      </c>
      <c r="D945" t="str">
        <f>_xlfn.XLOOKUP(RW_DT_PRODUCTION[[#This Row],[MATERIAL_ID]],DIM_MATERIAL[MATERIAL_ID],DIM_MATERIAL[UOM_AFTER_PROCESS])</f>
        <v>BALE</v>
      </c>
      <c r="E945">
        <v>89</v>
      </c>
    </row>
    <row r="946" spans="1:5" x14ac:dyDescent="0.2">
      <c r="A946" s="3">
        <v>45706</v>
      </c>
      <c r="B946" t="s">
        <v>1</v>
      </c>
      <c r="C946">
        <v>1</v>
      </c>
      <c r="D946" t="str">
        <f>_xlfn.XLOOKUP(RW_DT_PRODUCTION[[#This Row],[MATERIAL_ID]],DIM_MATERIAL[MATERIAL_ID],DIM_MATERIAL[UOM_AFTER_PROCESS])</f>
        <v>BALE</v>
      </c>
      <c r="E946">
        <v>88</v>
      </c>
    </row>
    <row r="947" spans="1:5" x14ac:dyDescent="0.2">
      <c r="A947" s="3">
        <v>45706</v>
      </c>
      <c r="B947" t="s">
        <v>1</v>
      </c>
      <c r="C947">
        <v>1</v>
      </c>
      <c r="D947" t="str">
        <f>_xlfn.XLOOKUP(RW_DT_PRODUCTION[[#This Row],[MATERIAL_ID]],DIM_MATERIAL[MATERIAL_ID],DIM_MATERIAL[UOM_AFTER_PROCESS])</f>
        <v>BALE</v>
      </c>
      <c r="E947">
        <v>85</v>
      </c>
    </row>
    <row r="948" spans="1:5" x14ac:dyDescent="0.2">
      <c r="A948" s="3">
        <v>45706</v>
      </c>
      <c r="B948" t="s">
        <v>1</v>
      </c>
      <c r="C948">
        <v>1</v>
      </c>
      <c r="D948" t="str">
        <f>_xlfn.XLOOKUP(RW_DT_PRODUCTION[[#This Row],[MATERIAL_ID]],DIM_MATERIAL[MATERIAL_ID],DIM_MATERIAL[UOM_AFTER_PROCESS])</f>
        <v>BALE</v>
      </c>
      <c r="E948">
        <v>83</v>
      </c>
    </row>
    <row r="949" spans="1:5" x14ac:dyDescent="0.2">
      <c r="A949" s="3">
        <v>45706</v>
      </c>
      <c r="B949" t="s">
        <v>1</v>
      </c>
      <c r="C949">
        <v>1</v>
      </c>
      <c r="D949" t="str">
        <f>_xlfn.XLOOKUP(RW_DT_PRODUCTION[[#This Row],[MATERIAL_ID]],DIM_MATERIAL[MATERIAL_ID],DIM_MATERIAL[UOM_AFTER_PROCESS])</f>
        <v>BALE</v>
      </c>
      <c r="E949">
        <v>61</v>
      </c>
    </row>
    <row r="950" spans="1:5" x14ac:dyDescent="0.2">
      <c r="A950" s="3">
        <v>45706</v>
      </c>
      <c r="B950" t="s">
        <v>1</v>
      </c>
      <c r="C950">
        <v>1</v>
      </c>
      <c r="D950" t="str">
        <f>_xlfn.XLOOKUP(RW_DT_PRODUCTION[[#This Row],[MATERIAL_ID]],DIM_MATERIAL[MATERIAL_ID],DIM_MATERIAL[UOM_AFTER_PROCESS])</f>
        <v>BALE</v>
      </c>
      <c r="E950">
        <v>64</v>
      </c>
    </row>
    <row r="951" spans="1:5" x14ac:dyDescent="0.2">
      <c r="A951" s="3">
        <v>45706</v>
      </c>
      <c r="B951" t="s">
        <v>1</v>
      </c>
      <c r="C951">
        <v>1</v>
      </c>
      <c r="D951" t="str">
        <f>_xlfn.XLOOKUP(RW_DT_PRODUCTION[[#This Row],[MATERIAL_ID]],DIM_MATERIAL[MATERIAL_ID],DIM_MATERIAL[UOM_AFTER_PROCESS])</f>
        <v>BALE</v>
      </c>
      <c r="E951">
        <v>76</v>
      </c>
    </row>
    <row r="952" spans="1:5" x14ac:dyDescent="0.2">
      <c r="A952" s="3">
        <v>45706</v>
      </c>
      <c r="B952" t="s">
        <v>1</v>
      </c>
      <c r="C952">
        <v>1</v>
      </c>
      <c r="D952" t="str">
        <f>_xlfn.XLOOKUP(RW_DT_PRODUCTION[[#This Row],[MATERIAL_ID]],DIM_MATERIAL[MATERIAL_ID],DIM_MATERIAL[UOM_AFTER_PROCESS])</f>
        <v>BALE</v>
      </c>
      <c r="E952">
        <v>68</v>
      </c>
    </row>
    <row r="953" spans="1:5" x14ac:dyDescent="0.2">
      <c r="A953" s="3">
        <v>45707</v>
      </c>
      <c r="B953" t="s">
        <v>1</v>
      </c>
      <c r="C953">
        <v>1</v>
      </c>
      <c r="D953" t="str">
        <f>_xlfn.XLOOKUP(RW_DT_PRODUCTION[[#This Row],[MATERIAL_ID]],DIM_MATERIAL[MATERIAL_ID],DIM_MATERIAL[UOM_AFTER_PROCESS])</f>
        <v>BALE</v>
      </c>
      <c r="E953">
        <v>89</v>
      </c>
    </row>
    <row r="954" spans="1:5" x14ac:dyDescent="0.2">
      <c r="A954" s="3">
        <v>45707</v>
      </c>
      <c r="B954" t="s">
        <v>1</v>
      </c>
      <c r="C954">
        <v>1</v>
      </c>
      <c r="D954" t="str">
        <f>_xlfn.XLOOKUP(RW_DT_PRODUCTION[[#This Row],[MATERIAL_ID]],DIM_MATERIAL[MATERIAL_ID],DIM_MATERIAL[UOM_AFTER_PROCESS])</f>
        <v>BALE</v>
      </c>
      <c r="E954">
        <v>66</v>
      </c>
    </row>
    <row r="955" spans="1:5" x14ac:dyDescent="0.2">
      <c r="A955" s="3">
        <v>45707</v>
      </c>
      <c r="B955" t="s">
        <v>1</v>
      </c>
      <c r="C955">
        <v>1</v>
      </c>
      <c r="D955" t="str">
        <f>_xlfn.XLOOKUP(RW_DT_PRODUCTION[[#This Row],[MATERIAL_ID]],DIM_MATERIAL[MATERIAL_ID],DIM_MATERIAL[UOM_AFTER_PROCESS])</f>
        <v>BALE</v>
      </c>
      <c r="E955">
        <v>67</v>
      </c>
    </row>
    <row r="956" spans="1:5" x14ac:dyDescent="0.2">
      <c r="A956" s="3">
        <v>45707</v>
      </c>
      <c r="B956" t="s">
        <v>1</v>
      </c>
      <c r="C956">
        <v>1</v>
      </c>
      <c r="D956" t="str">
        <f>_xlfn.XLOOKUP(RW_DT_PRODUCTION[[#This Row],[MATERIAL_ID]],DIM_MATERIAL[MATERIAL_ID],DIM_MATERIAL[UOM_AFTER_PROCESS])</f>
        <v>BALE</v>
      </c>
      <c r="E956">
        <v>75</v>
      </c>
    </row>
    <row r="957" spans="1:5" x14ac:dyDescent="0.2">
      <c r="A957" s="3">
        <v>45707</v>
      </c>
      <c r="B957" t="s">
        <v>1</v>
      </c>
      <c r="C957">
        <v>1</v>
      </c>
      <c r="D957" t="str">
        <f>_xlfn.XLOOKUP(RW_DT_PRODUCTION[[#This Row],[MATERIAL_ID]],DIM_MATERIAL[MATERIAL_ID],DIM_MATERIAL[UOM_AFTER_PROCESS])</f>
        <v>BALE</v>
      </c>
      <c r="E957">
        <v>63</v>
      </c>
    </row>
    <row r="958" spans="1:5" x14ac:dyDescent="0.2">
      <c r="A958" s="3">
        <v>45707</v>
      </c>
      <c r="B958" t="s">
        <v>1</v>
      </c>
      <c r="C958">
        <v>1</v>
      </c>
      <c r="D958" t="str">
        <f>_xlfn.XLOOKUP(RW_DT_PRODUCTION[[#This Row],[MATERIAL_ID]],DIM_MATERIAL[MATERIAL_ID],DIM_MATERIAL[UOM_AFTER_PROCESS])</f>
        <v>BALE</v>
      </c>
      <c r="E958">
        <v>63</v>
      </c>
    </row>
    <row r="959" spans="1:5" x14ac:dyDescent="0.2">
      <c r="A959" s="3">
        <v>45707</v>
      </c>
      <c r="B959" t="s">
        <v>1</v>
      </c>
      <c r="C959">
        <v>1</v>
      </c>
      <c r="D959" t="str">
        <f>_xlfn.XLOOKUP(RW_DT_PRODUCTION[[#This Row],[MATERIAL_ID]],DIM_MATERIAL[MATERIAL_ID],DIM_MATERIAL[UOM_AFTER_PROCESS])</f>
        <v>BALE</v>
      </c>
      <c r="E959">
        <v>71</v>
      </c>
    </row>
    <row r="960" spans="1:5" x14ac:dyDescent="0.2">
      <c r="A960" s="3">
        <v>45707</v>
      </c>
      <c r="B960" t="s">
        <v>1</v>
      </c>
      <c r="C960">
        <v>1</v>
      </c>
      <c r="D960" t="str">
        <f>_xlfn.XLOOKUP(RW_DT_PRODUCTION[[#This Row],[MATERIAL_ID]],DIM_MATERIAL[MATERIAL_ID],DIM_MATERIAL[UOM_AFTER_PROCESS])</f>
        <v>BALE</v>
      </c>
      <c r="E960">
        <v>81</v>
      </c>
    </row>
    <row r="961" spans="1:5" x14ac:dyDescent="0.2">
      <c r="A961" s="3">
        <v>45707</v>
      </c>
      <c r="B961" t="s">
        <v>1</v>
      </c>
      <c r="C961">
        <v>1</v>
      </c>
      <c r="D961" t="str">
        <f>_xlfn.XLOOKUP(RW_DT_PRODUCTION[[#This Row],[MATERIAL_ID]],DIM_MATERIAL[MATERIAL_ID],DIM_MATERIAL[UOM_AFTER_PROCESS])</f>
        <v>BALE</v>
      </c>
      <c r="E961">
        <v>85</v>
      </c>
    </row>
    <row r="962" spans="1:5" x14ac:dyDescent="0.2">
      <c r="A962" s="3">
        <v>45708</v>
      </c>
      <c r="B962" t="s">
        <v>1</v>
      </c>
      <c r="C962">
        <v>1</v>
      </c>
      <c r="D962" t="str">
        <f>_xlfn.XLOOKUP(RW_DT_PRODUCTION[[#This Row],[MATERIAL_ID]],DIM_MATERIAL[MATERIAL_ID],DIM_MATERIAL[UOM_AFTER_PROCESS])</f>
        <v>BALE</v>
      </c>
      <c r="E962">
        <v>80</v>
      </c>
    </row>
    <row r="963" spans="1:5" x14ac:dyDescent="0.2">
      <c r="A963" s="3">
        <v>45708</v>
      </c>
      <c r="B963" t="s">
        <v>1</v>
      </c>
      <c r="C963">
        <v>1</v>
      </c>
      <c r="D963" t="str">
        <f>_xlfn.XLOOKUP(RW_DT_PRODUCTION[[#This Row],[MATERIAL_ID]],DIM_MATERIAL[MATERIAL_ID],DIM_MATERIAL[UOM_AFTER_PROCESS])</f>
        <v>BALE</v>
      </c>
      <c r="E963">
        <v>85</v>
      </c>
    </row>
    <row r="964" spans="1:5" x14ac:dyDescent="0.2">
      <c r="A964" s="3">
        <v>45708</v>
      </c>
      <c r="B964" t="s">
        <v>1</v>
      </c>
      <c r="C964">
        <v>1</v>
      </c>
      <c r="D964" t="str">
        <f>_xlfn.XLOOKUP(RW_DT_PRODUCTION[[#This Row],[MATERIAL_ID]],DIM_MATERIAL[MATERIAL_ID],DIM_MATERIAL[UOM_AFTER_PROCESS])</f>
        <v>BALE</v>
      </c>
      <c r="E964">
        <v>64</v>
      </c>
    </row>
    <row r="965" spans="1:5" x14ac:dyDescent="0.2">
      <c r="A965" s="3">
        <v>45708</v>
      </c>
      <c r="B965" t="s">
        <v>1</v>
      </c>
      <c r="C965">
        <v>1</v>
      </c>
      <c r="D965" t="str">
        <f>_xlfn.XLOOKUP(RW_DT_PRODUCTION[[#This Row],[MATERIAL_ID]],DIM_MATERIAL[MATERIAL_ID],DIM_MATERIAL[UOM_AFTER_PROCESS])</f>
        <v>BALE</v>
      </c>
      <c r="E965">
        <v>82</v>
      </c>
    </row>
    <row r="966" spans="1:5" x14ac:dyDescent="0.2">
      <c r="A966" s="3">
        <v>45708</v>
      </c>
      <c r="B966" t="s">
        <v>1</v>
      </c>
      <c r="C966">
        <v>1</v>
      </c>
      <c r="D966" t="str">
        <f>_xlfn.XLOOKUP(RW_DT_PRODUCTION[[#This Row],[MATERIAL_ID]],DIM_MATERIAL[MATERIAL_ID],DIM_MATERIAL[UOM_AFTER_PROCESS])</f>
        <v>BALE</v>
      </c>
      <c r="E966">
        <v>72</v>
      </c>
    </row>
    <row r="967" spans="1:5" x14ac:dyDescent="0.2">
      <c r="A967" s="3">
        <v>45708</v>
      </c>
      <c r="B967" t="s">
        <v>1</v>
      </c>
      <c r="C967">
        <v>1</v>
      </c>
      <c r="D967" t="str">
        <f>_xlfn.XLOOKUP(RW_DT_PRODUCTION[[#This Row],[MATERIAL_ID]],DIM_MATERIAL[MATERIAL_ID],DIM_MATERIAL[UOM_AFTER_PROCESS])</f>
        <v>BALE</v>
      </c>
      <c r="E967">
        <v>85</v>
      </c>
    </row>
    <row r="968" spans="1:5" x14ac:dyDescent="0.2">
      <c r="A968" s="3">
        <v>45708</v>
      </c>
      <c r="B968" t="s">
        <v>1</v>
      </c>
      <c r="C968">
        <v>1</v>
      </c>
      <c r="D968" t="str">
        <f>_xlfn.XLOOKUP(RW_DT_PRODUCTION[[#This Row],[MATERIAL_ID]],DIM_MATERIAL[MATERIAL_ID],DIM_MATERIAL[UOM_AFTER_PROCESS])</f>
        <v>BALE</v>
      </c>
      <c r="E968">
        <v>73</v>
      </c>
    </row>
    <row r="969" spans="1:5" x14ac:dyDescent="0.2">
      <c r="A969" s="3">
        <v>45708</v>
      </c>
      <c r="B969" t="s">
        <v>1</v>
      </c>
      <c r="C969">
        <v>1</v>
      </c>
      <c r="D969" t="str">
        <f>_xlfn.XLOOKUP(RW_DT_PRODUCTION[[#This Row],[MATERIAL_ID]],DIM_MATERIAL[MATERIAL_ID],DIM_MATERIAL[UOM_AFTER_PROCESS])</f>
        <v>BALE</v>
      </c>
      <c r="E969">
        <v>83</v>
      </c>
    </row>
    <row r="970" spans="1:5" x14ac:dyDescent="0.2">
      <c r="A970" s="3">
        <v>45708</v>
      </c>
      <c r="B970" t="s">
        <v>1</v>
      </c>
      <c r="C970">
        <v>1</v>
      </c>
      <c r="D970" t="str">
        <f>_xlfn.XLOOKUP(RW_DT_PRODUCTION[[#This Row],[MATERIAL_ID]],DIM_MATERIAL[MATERIAL_ID],DIM_MATERIAL[UOM_AFTER_PROCESS])</f>
        <v>BALE</v>
      </c>
      <c r="E970">
        <v>62</v>
      </c>
    </row>
    <row r="971" spans="1:5" x14ac:dyDescent="0.2">
      <c r="A971" s="3">
        <v>45708</v>
      </c>
      <c r="B971" t="s">
        <v>1</v>
      </c>
      <c r="C971">
        <v>1</v>
      </c>
      <c r="D971" t="str">
        <f>_xlfn.XLOOKUP(RW_DT_PRODUCTION[[#This Row],[MATERIAL_ID]],DIM_MATERIAL[MATERIAL_ID],DIM_MATERIAL[UOM_AFTER_PROCESS])</f>
        <v>BALE</v>
      </c>
      <c r="E971">
        <v>81</v>
      </c>
    </row>
    <row r="972" spans="1:5" x14ac:dyDescent="0.2">
      <c r="A972" s="3">
        <v>45709</v>
      </c>
      <c r="B972" t="s">
        <v>1</v>
      </c>
      <c r="C972">
        <v>1</v>
      </c>
      <c r="D972" t="str">
        <f>_xlfn.XLOOKUP(RW_DT_PRODUCTION[[#This Row],[MATERIAL_ID]],DIM_MATERIAL[MATERIAL_ID],DIM_MATERIAL[UOM_AFTER_PROCESS])</f>
        <v>BALE</v>
      </c>
      <c r="E972">
        <v>63</v>
      </c>
    </row>
    <row r="973" spans="1:5" x14ac:dyDescent="0.2">
      <c r="A973" s="3">
        <v>45709</v>
      </c>
      <c r="B973" t="s">
        <v>1</v>
      </c>
      <c r="C973">
        <v>1</v>
      </c>
      <c r="D973" t="str">
        <f>_xlfn.XLOOKUP(RW_DT_PRODUCTION[[#This Row],[MATERIAL_ID]],DIM_MATERIAL[MATERIAL_ID],DIM_MATERIAL[UOM_AFTER_PROCESS])</f>
        <v>BALE</v>
      </c>
      <c r="E973">
        <v>77</v>
      </c>
    </row>
    <row r="974" spans="1:5" x14ac:dyDescent="0.2">
      <c r="A974" s="3">
        <v>45709</v>
      </c>
      <c r="B974" t="s">
        <v>1</v>
      </c>
      <c r="C974">
        <v>1</v>
      </c>
      <c r="D974" t="str">
        <f>_xlfn.XLOOKUP(RW_DT_PRODUCTION[[#This Row],[MATERIAL_ID]],DIM_MATERIAL[MATERIAL_ID],DIM_MATERIAL[UOM_AFTER_PROCESS])</f>
        <v>BALE</v>
      </c>
      <c r="E974">
        <v>66</v>
      </c>
    </row>
    <row r="975" spans="1:5" x14ac:dyDescent="0.2">
      <c r="A975" s="3">
        <v>45709</v>
      </c>
      <c r="B975" t="s">
        <v>1</v>
      </c>
      <c r="C975">
        <v>1</v>
      </c>
      <c r="D975" t="str">
        <f>_xlfn.XLOOKUP(RW_DT_PRODUCTION[[#This Row],[MATERIAL_ID]],DIM_MATERIAL[MATERIAL_ID],DIM_MATERIAL[UOM_AFTER_PROCESS])</f>
        <v>BALE</v>
      </c>
      <c r="E975">
        <v>61</v>
      </c>
    </row>
    <row r="976" spans="1:5" x14ac:dyDescent="0.2">
      <c r="A976" s="3">
        <v>45709</v>
      </c>
      <c r="B976" t="s">
        <v>1</v>
      </c>
      <c r="C976">
        <v>1</v>
      </c>
      <c r="D976" t="str">
        <f>_xlfn.XLOOKUP(RW_DT_PRODUCTION[[#This Row],[MATERIAL_ID]],DIM_MATERIAL[MATERIAL_ID],DIM_MATERIAL[UOM_AFTER_PROCESS])</f>
        <v>BALE</v>
      </c>
      <c r="E976">
        <v>78</v>
      </c>
    </row>
    <row r="977" spans="1:5" x14ac:dyDescent="0.2">
      <c r="A977" s="3">
        <v>45709</v>
      </c>
      <c r="B977" t="s">
        <v>1</v>
      </c>
      <c r="C977">
        <v>1</v>
      </c>
      <c r="D977" t="str">
        <f>_xlfn.XLOOKUP(RW_DT_PRODUCTION[[#This Row],[MATERIAL_ID]],DIM_MATERIAL[MATERIAL_ID],DIM_MATERIAL[UOM_AFTER_PROCESS])</f>
        <v>BALE</v>
      </c>
      <c r="E977">
        <v>69</v>
      </c>
    </row>
    <row r="978" spans="1:5" x14ac:dyDescent="0.2">
      <c r="A978" s="3">
        <v>45709</v>
      </c>
      <c r="B978" t="s">
        <v>1</v>
      </c>
      <c r="C978">
        <v>1</v>
      </c>
      <c r="D978" t="str">
        <f>_xlfn.XLOOKUP(RW_DT_PRODUCTION[[#This Row],[MATERIAL_ID]],DIM_MATERIAL[MATERIAL_ID],DIM_MATERIAL[UOM_AFTER_PROCESS])</f>
        <v>BALE</v>
      </c>
      <c r="E978">
        <v>63</v>
      </c>
    </row>
    <row r="979" spans="1:5" x14ac:dyDescent="0.2">
      <c r="A979" s="3">
        <v>45710</v>
      </c>
      <c r="B979" t="s">
        <v>1</v>
      </c>
      <c r="C979">
        <v>1</v>
      </c>
      <c r="D979" t="str">
        <f>_xlfn.XLOOKUP(RW_DT_PRODUCTION[[#This Row],[MATERIAL_ID]],DIM_MATERIAL[MATERIAL_ID],DIM_MATERIAL[UOM_AFTER_PROCESS])</f>
        <v>BALE</v>
      </c>
      <c r="E979">
        <v>72</v>
      </c>
    </row>
    <row r="980" spans="1:5" x14ac:dyDescent="0.2">
      <c r="A980" s="3">
        <v>45710</v>
      </c>
      <c r="B980" t="s">
        <v>1</v>
      </c>
      <c r="C980">
        <v>1</v>
      </c>
      <c r="D980" t="str">
        <f>_xlfn.XLOOKUP(RW_DT_PRODUCTION[[#This Row],[MATERIAL_ID]],DIM_MATERIAL[MATERIAL_ID],DIM_MATERIAL[UOM_AFTER_PROCESS])</f>
        <v>BALE</v>
      </c>
      <c r="E980">
        <v>66</v>
      </c>
    </row>
    <row r="981" spans="1:5" x14ac:dyDescent="0.2">
      <c r="A981" s="3">
        <v>45710</v>
      </c>
      <c r="B981" t="s">
        <v>1</v>
      </c>
      <c r="C981">
        <v>1</v>
      </c>
      <c r="D981" t="str">
        <f>_xlfn.XLOOKUP(RW_DT_PRODUCTION[[#This Row],[MATERIAL_ID]],DIM_MATERIAL[MATERIAL_ID],DIM_MATERIAL[UOM_AFTER_PROCESS])</f>
        <v>BALE</v>
      </c>
      <c r="E981">
        <v>86</v>
      </c>
    </row>
    <row r="982" spans="1:5" x14ac:dyDescent="0.2">
      <c r="A982" s="3">
        <v>45710</v>
      </c>
      <c r="B982" t="s">
        <v>1</v>
      </c>
      <c r="C982">
        <v>1</v>
      </c>
      <c r="D982" t="str">
        <f>_xlfn.XLOOKUP(RW_DT_PRODUCTION[[#This Row],[MATERIAL_ID]],DIM_MATERIAL[MATERIAL_ID],DIM_MATERIAL[UOM_AFTER_PROCESS])</f>
        <v>BALE</v>
      </c>
      <c r="E982">
        <v>63</v>
      </c>
    </row>
    <row r="983" spans="1:5" x14ac:dyDescent="0.2">
      <c r="A983" s="3">
        <v>45710</v>
      </c>
      <c r="B983" t="s">
        <v>1</v>
      </c>
      <c r="C983">
        <v>1</v>
      </c>
      <c r="D983" t="str">
        <f>_xlfn.XLOOKUP(RW_DT_PRODUCTION[[#This Row],[MATERIAL_ID]],DIM_MATERIAL[MATERIAL_ID],DIM_MATERIAL[UOM_AFTER_PROCESS])</f>
        <v>BALE</v>
      </c>
      <c r="E983">
        <v>60</v>
      </c>
    </row>
    <row r="984" spans="1:5" x14ac:dyDescent="0.2">
      <c r="A984" s="3">
        <v>45710</v>
      </c>
      <c r="B984" t="s">
        <v>1</v>
      </c>
      <c r="C984">
        <v>1</v>
      </c>
      <c r="D984" t="str">
        <f>_xlfn.XLOOKUP(RW_DT_PRODUCTION[[#This Row],[MATERIAL_ID]],DIM_MATERIAL[MATERIAL_ID],DIM_MATERIAL[UOM_AFTER_PROCESS])</f>
        <v>BALE</v>
      </c>
      <c r="E984">
        <v>83</v>
      </c>
    </row>
    <row r="985" spans="1:5" x14ac:dyDescent="0.2">
      <c r="A985" s="3">
        <v>45710</v>
      </c>
      <c r="B985" t="s">
        <v>1</v>
      </c>
      <c r="C985">
        <v>1</v>
      </c>
      <c r="D985" t="str">
        <f>_xlfn.XLOOKUP(RW_DT_PRODUCTION[[#This Row],[MATERIAL_ID]],DIM_MATERIAL[MATERIAL_ID],DIM_MATERIAL[UOM_AFTER_PROCESS])</f>
        <v>BALE</v>
      </c>
      <c r="E985">
        <v>73</v>
      </c>
    </row>
    <row r="986" spans="1:5" x14ac:dyDescent="0.2">
      <c r="A986" s="3">
        <v>45710</v>
      </c>
      <c r="B986" t="s">
        <v>2</v>
      </c>
      <c r="C986">
        <v>1</v>
      </c>
      <c r="D986" t="str">
        <f>_xlfn.XLOOKUP(RW_DT_PRODUCTION[[#This Row],[MATERIAL_ID]],DIM_MATERIAL[MATERIAL_ID],DIM_MATERIAL[UOM_AFTER_PROCESS])</f>
        <v>BAG</v>
      </c>
      <c r="E986">
        <v>22</v>
      </c>
    </row>
    <row r="987" spans="1:5" x14ac:dyDescent="0.2">
      <c r="A987" s="3">
        <v>45710</v>
      </c>
      <c r="B987" t="s">
        <v>2</v>
      </c>
      <c r="C987">
        <v>1</v>
      </c>
      <c r="D987" t="str">
        <f>_xlfn.XLOOKUP(RW_DT_PRODUCTION[[#This Row],[MATERIAL_ID]],DIM_MATERIAL[MATERIAL_ID],DIM_MATERIAL[UOM_AFTER_PROCESS])</f>
        <v>BAG</v>
      </c>
      <c r="E987">
        <v>22</v>
      </c>
    </row>
    <row r="988" spans="1:5" x14ac:dyDescent="0.2">
      <c r="A988" s="3">
        <v>45712</v>
      </c>
      <c r="B988" t="s">
        <v>1</v>
      </c>
      <c r="C988">
        <v>1</v>
      </c>
      <c r="D988" t="str">
        <f>_xlfn.XLOOKUP(RW_DT_PRODUCTION[[#This Row],[MATERIAL_ID]],DIM_MATERIAL[MATERIAL_ID],DIM_MATERIAL[UOM_AFTER_PROCESS])</f>
        <v>BALE</v>
      </c>
      <c r="E988">
        <v>63</v>
      </c>
    </row>
    <row r="989" spans="1:5" x14ac:dyDescent="0.2">
      <c r="A989" s="3">
        <v>45712</v>
      </c>
      <c r="B989" t="s">
        <v>2</v>
      </c>
      <c r="C989">
        <v>1</v>
      </c>
      <c r="D989" t="str">
        <f>_xlfn.XLOOKUP(RW_DT_PRODUCTION[[#This Row],[MATERIAL_ID]],DIM_MATERIAL[MATERIAL_ID],DIM_MATERIAL[UOM_AFTER_PROCESS])</f>
        <v>BAG</v>
      </c>
      <c r="E989">
        <v>22</v>
      </c>
    </row>
    <row r="990" spans="1:5" x14ac:dyDescent="0.2">
      <c r="A990" s="3">
        <v>45712</v>
      </c>
      <c r="B990" t="s">
        <v>2</v>
      </c>
      <c r="C990">
        <v>1</v>
      </c>
      <c r="D990" t="str">
        <f>_xlfn.XLOOKUP(RW_DT_PRODUCTION[[#This Row],[MATERIAL_ID]],DIM_MATERIAL[MATERIAL_ID],DIM_MATERIAL[UOM_AFTER_PROCESS])</f>
        <v>BAG</v>
      </c>
      <c r="E990">
        <v>22</v>
      </c>
    </row>
    <row r="991" spans="1:5" x14ac:dyDescent="0.2">
      <c r="A991" s="3">
        <v>45712</v>
      </c>
      <c r="B991" t="s">
        <v>2</v>
      </c>
      <c r="C991">
        <v>1</v>
      </c>
      <c r="D991" t="str">
        <f>_xlfn.XLOOKUP(RW_DT_PRODUCTION[[#This Row],[MATERIAL_ID]],DIM_MATERIAL[MATERIAL_ID],DIM_MATERIAL[UOM_AFTER_PROCESS])</f>
        <v>BAG</v>
      </c>
      <c r="E991">
        <v>22</v>
      </c>
    </row>
    <row r="992" spans="1:5" x14ac:dyDescent="0.2">
      <c r="A992" s="3">
        <v>45712</v>
      </c>
      <c r="B992" t="s">
        <v>2</v>
      </c>
      <c r="C992">
        <v>1</v>
      </c>
      <c r="D992" t="str">
        <f>_xlfn.XLOOKUP(RW_DT_PRODUCTION[[#This Row],[MATERIAL_ID]],DIM_MATERIAL[MATERIAL_ID],DIM_MATERIAL[UOM_AFTER_PROCESS])</f>
        <v>BAG</v>
      </c>
      <c r="E992">
        <v>22</v>
      </c>
    </row>
    <row r="993" spans="1:5" x14ac:dyDescent="0.2">
      <c r="A993" s="3">
        <v>45712</v>
      </c>
      <c r="B993" t="s">
        <v>2</v>
      </c>
      <c r="C993">
        <v>1</v>
      </c>
      <c r="D993" t="str">
        <f>_xlfn.XLOOKUP(RW_DT_PRODUCTION[[#This Row],[MATERIAL_ID]],DIM_MATERIAL[MATERIAL_ID],DIM_MATERIAL[UOM_AFTER_PROCESS])</f>
        <v>BAG</v>
      </c>
      <c r="E993">
        <v>22</v>
      </c>
    </row>
    <row r="994" spans="1:5" x14ac:dyDescent="0.2">
      <c r="A994" s="3">
        <v>45713</v>
      </c>
      <c r="B994" t="s">
        <v>1</v>
      </c>
      <c r="C994">
        <v>1</v>
      </c>
      <c r="D994" t="str">
        <f>_xlfn.XLOOKUP(RW_DT_PRODUCTION[[#This Row],[MATERIAL_ID]],DIM_MATERIAL[MATERIAL_ID],DIM_MATERIAL[UOM_AFTER_PROCESS])</f>
        <v>BALE</v>
      </c>
      <c r="E994">
        <v>68</v>
      </c>
    </row>
    <row r="995" spans="1:5" x14ac:dyDescent="0.2">
      <c r="A995" s="3">
        <v>45713</v>
      </c>
      <c r="B995" t="s">
        <v>1</v>
      </c>
      <c r="C995">
        <v>1</v>
      </c>
      <c r="D995" t="str">
        <f>_xlfn.XLOOKUP(RW_DT_PRODUCTION[[#This Row],[MATERIAL_ID]],DIM_MATERIAL[MATERIAL_ID],DIM_MATERIAL[UOM_AFTER_PROCESS])</f>
        <v>BALE</v>
      </c>
      <c r="E995">
        <v>64</v>
      </c>
    </row>
    <row r="996" spans="1:5" x14ac:dyDescent="0.2">
      <c r="A996" s="3">
        <v>45713</v>
      </c>
      <c r="B996" t="s">
        <v>1</v>
      </c>
      <c r="C996">
        <v>1</v>
      </c>
      <c r="D996" t="str">
        <f>_xlfn.XLOOKUP(RW_DT_PRODUCTION[[#This Row],[MATERIAL_ID]],DIM_MATERIAL[MATERIAL_ID],DIM_MATERIAL[UOM_AFTER_PROCESS])</f>
        <v>BALE</v>
      </c>
      <c r="E996">
        <v>82</v>
      </c>
    </row>
    <row r="997" spans="1:5" x14ac:dyDescent="0.2">
      <c r="A997" s="3">
        <v>45713</v>
      </c>
      <c r="B997" t="s">
        <v>1</v>
      </c>
      <c r="C997">
        <v>1</v>
      </c>
      <c r="D997" t="str">
        <f>_xlfn.XLOOKUP(RW_DT_PRODUCTION[[#This Row],[MATERIAL_ID]],DIM_MATERIAL[MATERIAL_ID],DIM_MATERIAL[UOM_AFTER_PROCESS])</f>
        <v>BALE</v>
      </c>
      <c r="E997">
        <v>89</v>
      </c>
    </row>
    <row r="998" spans="1:5" x14ac:dyDescent="0.2">
      <c r="A998" s="3">
        <v>45713</v>
      </c>
      <c r="B998" t="s">
        <v>1</v>
      </c>
      <c r="C998">
        <v>1</v>
      </c>
      <c r="D998" t="str">
        <f>_xlfn.XLOOKUP(RW_DT_PRODUCTION[[#This Row],[MATERIAL_ID]],DIM_MATERIAL[MATERIAL_ID],DIM_MATERIAL[UOM_AFTER_PROCESS])</f>
        <v>BALE</v>
      </c>
      <c r="E998">
        <v>74</v>
      </c>
    </row>
    <row r="999" spans="1:5" x14ac:dyDescent="0.2">
      <c r="A999" s="3">
        <v>45713</v>
      </c>
      <c r="B999" t="s">
        <v>1</v>
      </c>
      <c r="C999">
        <v>1</v>
      </c>
      <c r="D999" t="str">
        <f>_xlfn.XLOOKUP(RW_DT_PRODUCTION[[#This Row],[MATERIAL_ID]],DIM_MATERIAL[MATERIAL_ID],DIM_MATERIAL[UOM_AFTER_PROCESS])</f>
        <v>BALE</v>
      </c>
      <c r="E999">
        <v>77</v>
      </c>
    </row>
    <row r="1000" spans="1:5" x14ac:dyDescent="0.2">
      <c r="A1000" s="3">
        <v>45713</v>
      </c>
      <c r="B1000" t="s">
        <v>1</v>
      </c>
      <c r="C1000">
        <v>1</v>
      </c>
      <c r="D1000" t="str">
        <f>_xlfn.XLOOKUP(RW_DT_PRODUCTION[[#This Row],[MATERIAL_ID]],DIM_MATERIAL[MATERIAL_ID],DIM_MATERIAL[UOM_AFTER_PROCESS])</f>
        <v>BALE</v>
      </c>
      <c r="E1000">
        <v>84</v>
      </c>
    </row>
    <row r="1001" spans="1:5" x14ac:dyDescent="0.2">
      <c r="A1001" s="3">
        <v>45713</v>
      </c>
      <c r="B1001" t="s">
        <v>1</v>
      </c>
      <c r="C1001">
        <v>1</v>
      </c>
      <c r="D1001" t="str">
        <f>_xlfn.XLOOKUP(RW_DT_PRODUCTION[[#This Row],[MATERIAL_ID]],DIM_MATERIAL[MATERIAL_ID],DIM_MATERIAL[UOM_AFTER_PROCESS])</f>
        <v>BALE</v>
      </c>
      <c r="E1001">
        <v>68</v>
      </c>
    </row>
    <row r="1002" spans="1:5" x14ac:dyDescent="0.2">
      <c r="A1002" s="3">
        <v>45713</v>
      </c>
      <c r="B1002" t="s">
        <v>1</v>
      </c>
      <c r="C1002">
        <v>1</v>
      </c>
      <c r="D1002" t="str">
        <f>_xlfn.XLOOKUP(RW_DT_PRODUCTION[[#This Row],[MATERIAL_ID]],DIM_MATERIAL[MATERIAL_ID],DIM_MATERIAL[UOM_AFTER_PROCESS])</f>
        <v>BALE</v>
      </c>
      <c r="E1002">
        <v>85</v>
      </c>
    </row>
    <row r="1003" spans="1:5" x14ac:dyDescent="0.2">
      <c r="A1003" s="3">
        <v>45713</v>
      </c>
      <c r="B1003" t="s">
        <v>1</v>
      </c>
      <c r="C1003">
        <v>1</v>
      </c>
      <c r="D1003" t="str">
        <f>_xlfn.XLOOKUP(RW_DT_PRODUCTION[[#This Row],[MATERIAL_ID]],DIM_MATERIAL[MATERIAL_ID],DIM_MATERIAL[UOM_AFTER_PROCESS])</f>
        <v>BALE</v>
      </c>
      <c r="E1003">
        <v>73</v>
      </c>
    </row>
    <row r="1004" spans="1:5" x14ac:dyDescent="0.2">
      <c r="A1004" s="3">
        <v>45713</v>
      </c>
      <c r="B1004" t="s">
        <v>2</v>
      </c>
      <c r="C1004">
        <v>1</v>
      </c>
      <c r="D1004" t="str">
        <f>_xlfn.XLOOKUP(RW_DT_PRODUCTION[[#This Row],[MATERIAL_ID]],DIM_MATERIAL[MATERIAL_ID],DIM_MATERIAL[UOM_AFTER_PROCESS])</f>
        <v>BAG</v>
      </c>
      <c r="E1004">
        <v>22</v>
      </c>
    </row>
    <row r="1005" spans="1:5" x14ac:dyDescent="0.2">
      <c r="A1005" s="3">
        <v>45713</v>
      </c>
      <c r="B1005" t="s">
        <v>2</v>
      </c>
      <c r="C1005">
        <v>1</v>
      </c>
      <c r="D1005" t="str">
        <f>_xlfn.XLOOKUP(RW_DT_PRODUCTION[[#This Row],[MATERIAL_ID]],DIM_MATERIAL[MATERIAL_ID],DIM_MATERIAL[UOM_AFTER_PROCESS])</f>
        <v>BAG</v>
      </c>
      <c r="E1005">
        <v>22</v>
      </c>
    </row>
    <row r="1006" spans="1:5" x14ac:dyDescent="0.2">
      <c r="A1006" s="3">
        <v>45713</v>
      </c>
      <c r="B1006" t="s">
        <v>2</v>
      </c>
      <c r="C1006">
        <v>1</v>
      </c>
      <c r="D1006" t="str">
        <f>_xlfn.XLOOKUP(RW_DT_PRODUCTION[[#This Row],[MATERIAL_ID]],DIM_MATERIAL[MATERIAL_ID],DIM_MATERIAL[UOM_AFTER_PROCESS])</f>
        <v>BAG</v>
      </c>
      <c r="E1006">
        <v>22</v>
      </c>
    </row>
    <row r="1007" spans="1:5" x14ac:dyDescent="0.2">
      <c r="A1007" s="3">
        <v>45715</v>
      </c>
      <c r="B1007" t="s">
        <v>1</v>
      </c>
      <c r="C1007">
        <v>1</v>
      </c>
      <c r="D1007" t="str">
        <f>_xlfn.XLOOKUP(RW_DT_PRODUCTION[[#This Row],[MATERIAL_ID]],DIM_MATERIAL[MATERIAL_ID],DIM_MATERIAL[UOM_AFTER_PROCESS])</f>
        <v>BALE</v>
      </c>
      <c r="E1007">
        <v>73</v>
      </c>
    </row>
    <row r="1008" spans="1:5" x14ac:dyDescent="0.2">
      <c r="A1008" s="3">
        <v>45715</v>
      </c>
      <c r="B1008" t="s">
        <v>1</v>
      </c>
      <c r="C1008">
        <v>1</v>
      </c>
      <c r="D1008" t="str">
        <f>_xlfn.XLOOKUP(RW_DT_PRODUCTION[[#This Row],[MATERIAL_ID]],DIM_MATERIAL[MATERIAL_ID],DIM_MATERIAL[UOM_AFTER_PROCESS])</f>
        <v>BALE</v>
      </c>
      <c r="E1008">
        <v>74</v>
      </c>
    </row>
    <row r="1009" spans="1:5" x14ac:dyDescent="0.2">
      <c r="A1009" s="3">
        <v>45715</v>
      </c>
      <c r="B1009" t="s">
        <v>1</v>
      </c>
      <c r="C1009">
        <v>1</v>
      </c>
      <c r="D1009" t="str">
        <f>_xlfn.XLOOKUP(RW_DT_PRODUCTION[[#This Row],[MATERIAL_ID]],DIM_MATERIAL[MATERIAL_ID],DIM_MATERIAL[UOM_AFTER_PROCESS])</f>
        <v>BALE</v>
      </c>
      <c r="E1009">
        <v>82</v>
      </c>
    </row>
    <row r="1010" spans="1:5" x14ac:dyDescent="0.2">
      <c r="A1010" s="3">
        <v>45715</v>
      </c>
      <c r="B1010" t="s">
        <v>1</v>
      </c>
      <c r="C1010">
        <v>1</v>
      </c>
      <c r="D1010" t="str">
        <f>_xlfn.XLOOKUP(RW_DT_PRODUCTION[[#This Row],[MATERIAL_ID]],DIM_MATERIAL[MATERIAL_ID],DIM_MATERIAL[UOM_AFTER_PROCESS])</f>
        <v>BALE</v>
      </c>
      <c r="E1010">
        <v>81</v>
      </c>
    </row>
    <row r="1011" spans="1:5" x14ac:dyDescent="0.2">
      <c r="A1011" s="3">
        <v>45715</v>
      </c>
      <c r="B1011" t="s">
        <v>1</v>
      </c>
      <c r="C1011">
        <v>1</v>
      </c>
      <c r="D1011" t="str">
        <f>_xlfn.XLOOKUP(RW_DT_PRODUCTION[[#This Row],[MATERIAL_ID]],DIM_MATERIAL[MATERIAL_ID],DIM_MATERIAL[UOM_AFTER_PROCESS])</f>
        <v>BALE</v>
      </c>
      <c r="E1011">
        <v>80</v>
      </c>
    </row>
    <row r="1012" spans="1:5" x14ac:dyDescent="0.2">
      <c r="A1012" s="3">
        <v>45715</v>
      </c>
      <c r="B1012" t="s">
        <v>1</v>
      </c>
      <c r="C1012">
        <v>1</v>
      </c>
      <c r="D1012" t="str">
        <f>_xlfn.XLOOKUP(RW_DT_PRODUCTION[[#This Row],[MATERIAL_ID]],DIM_MATERIAL[MATERIAL_ID],DIM_MATERIAL[UOM_AFTER_PROCESS])</f>
        <v>BALE</v>
      </c>
      <c r="E1012">
        <v>85</v>
      </c>
    </row>
    <row r="1013" spans="1:5" x14ac:dyDescent="0.2">
      <c r="A1013" s="3">
        <v>45715</v>
      </c>
      <c r="B1013" t="s">
        <v>1</v>
      </c>
      <c r="C1013">
        <v>1</v>
      </c>
      <c r="D1013" t="str">
        <f>_xlfn.XLOOKUP(RW_DT_PRODUCTION[[#This Row],[MATERIAL_ID]],DIM_MATERIAL[MATERIAL_ID],DIM_MATERIAL[UOM_AFTER_PROCESS])</f>
        <v>BALE</v>
      </c>
      <c r="E1013">
        <v>76</v>
      </c>
    </row>
    <row r="1014" spans="1:5" x14ac:dyDescent="0.2">
      <c r="A1014" s="3">
        <v>45715</v>
      </c>
      <c r="B1014" t="s">
        <v>1</v>
      </c>
      <c r="C1014">
        <v>1</v>
      </c>
      <c r="D1014" t="str">
        <f>_xlfn.XLOOKUP(RW_DT_PRODUCTION[[#This Row],[MATERIAL_ID]],DIM_MATERIAL[MATERIAL_ID],DIM_MATERIAL[UOM_AFTER_PROCESS])</f>
        <v>BALE</v>
      </c>
      <c r="E1014">
        <v>77</v>
      </c>
    </row>
    <row r="1015" spans="1:5" x14ac:dyDescent="0.2">
      <c r="A1015" s="3">
        <v>45715</v>
      </c>
      <c r="B1015" t="s">
        <v>1</v>
      </c>
      <c r="C1015">
        <v>1</v>
      </c>
      <c r="D1015" t="str">
        <f>_xlfn.XLOOKUP(RW_DT_PRODUCTION[[#This Row],[MATERIAL_ID]],DIM_MATERIAL[MATERIAL_ID],DIM_MATERIAL[UOM_AFTER_PROCESS])</f>
        <v>BALE</v>
      </c>
      <c r="E1015">
        <v>86</v>
      </c>
    </row>
    <row r="1016" spans="1:5" x14ac:dyDescent="0.2">
      <c r="A1016" s="3">
        <v>45715</v>
      </c>
      <c r="B1016" t="s">
        <v>2</v>
      </c>
      <c r="C1016">
        <v>1</v>
      </c>
      <c r="D1016" t="str">
        <f>_xlfn.XLOOKUP(RW_DT_PRODUCTION[[#This Row],[MATERIAL_ID]],DIM_MATERIAL[MATERIAL_ID],DIM_MATERIAL[UOM_AFTER_PROCESS])</f>
        <v>BAG</v>
      </c>
      <c r="E1016">
        <v>22</v>
      </c>
    </row>
    <row r="1017" spans="1:5" x14ac:dyDescent="0.2">
      <c r="A1017" s="3">
        <v>45715</v>
      </c>
      <c r="B1017" t="s">
        <v>2</v>
      </c>
      <c r="C1017">
        <v>1</v>
      </c>
      <c r="D1017" t="str">
        <f>_xlfn.XLOOKUP(RW_DT_PRODUCTION[[#This Row],[MATERIAL_ID]],DIM_MATERIAL[MATERIAL_ID],DIM_MATERIAL[UOM_AFTER_PROCESS])</f>
        <v>BAG</v>
      </c>
      <c r="E1017">
        <v>22</v>
      </c>
    </row>
    <row r="1018" spans="1:5" x14ac:dyDescent="0.2">
      <c r="A1018" s="3">
        <v>45716</v>
      </c>
      <c r="B1018" t="s">
        <v>1</v>
      </c>
      <c r="C1018">
        <v>1</v>
      </c>
      <c r="D1018" t="str">
        <f>_xlfn.XLOOKUP(RW_DT_PRODUCTION[[#This Row],[MATERIAL_ID]],DIM_MATERIAL[MATERIAL_ID],DIM_MATERIAL[UOM_AFTER_PROCESS])</f>
        <v>BALE</v>
      </c>
      <c r="E1018">
        <v>81</v>
      </c>
    </row>
    <row r="1019" spans="1:5" x14ac:dyDescent="0.2">
      <c r="A1019" s="3">
        <v>45716</v>
      </c>
      <c r="B1019" t="s">
        <v>1</v>
      </c>
      <c r="C1019">
        <v>1</v>
      </c>
      <c r="D1019" t="str">
        <f>_xlfn.XLOOKUP(RW_DT_PRODUCTION[[#This Row],[MATERIAL_ID]],DIM_MATERIAL[MATERIAL_ID],DIM_MATERIAL[UOM_AFTER_PROCESS])</f>
        <v>BALE</v>
      </c>
      <c r="E1019">
        <v>73</v>
      </c>
    </row>
    <row r="1020" spans="1:5" x14ac:dyDescent="0.2">
      <c r="A1020" s="3">
        <v>45716</v>
      </c>
      <c r="B1020" t="s">
        <v>1</v>
      </c>
      <c r="C1020">
        <v>1</v>
      </c>
      <c r="D1020" t="str">
        <f>_xlfn.XLOOKUP(RW_DT_PRODUCTION[[#This Row],[MATERIAL_ID]],DIM_MATERIAL[MATERIAL_ID],DIM_MATERIAL[UOM_AFTER_PROCESS])</f>
        <v>BALE</v>
      </c>
      <c r="E1020">
        <v>77</v>
      </c>
    </row>
    <row r="1021" spans="1:5" x14ac:dyDescent="0.2">
      <c r="A1021" s="3">
        <v>45716</v>
      </c>
      <c r="B1021" t="s">
        <v>1</v>
      </c>
      <c r="C1021">
        <v>1</v>
      </c>
      <c r="D1021" t="str">
        <f>_xlfn.XLOOKUP(RW_DT_PRODUCTION[[#This Row],[MATERIAL_ID]],DIM_MATERIAL[MATERIAL_ID],DIM_MATERIAL[UOM_AFTER_PROCESS])</f>
        <v>BALE</v>
      </c>
      <c r="E1021">
        <v>86</v>
      </c>
    </row>
    <row r="1022" spans="1:5" x14ac:dyDescent="0.2">
      <c r="A1022" s="3">
        <v>45716</v>
      </c>
      <c r="B1022" t="s">
        <v>1</v>
      </c>
      <c r="C1022">
        <v>1</v>
      </c>
      <c r="D1022" t="str">
        <f>_xlfn.XLOOKUP(RW_DT_PRODUCTION[[#This Row],[MATERIAL_ID]],DIM_MATERIAL[MATERIAL_ID],DIM_MATERIAL[UOM_AFTER_PROCESS])</f>
        <v>BALE</v>
      </c>
      <c r="E1022">
        <v>82</v>
      </c>
    </row>
    <row r="1023" spans="1:5" x14ac:dyDescent="0.2">
      <c r="A1023" s="3">
        <v>45719</v>
      </c>
      <c r="B1023" t="s">
        <v>1</v>
      </c>
      <c r="C1023">
        <v>1</v>
      </c>
      <c r="D1023" t="str">
        <f>_xlfn.XLOOKUP(RW_DT_PRODUCTION[[#This Row],[MATERIAL_ID]],DIM_MATERIAL[MATERIAL_ID],DIM_MATERIAL[UOM_AFTER_PROCESS])</f>
        <v>BALE</v>
      </c>
      <c r="E1023">
        <v>62</v>
      </c>
    </row>
    <row r="1024" spans="1:5" x14ac:dyDescent="0.2">
      <c r="A1024" s="3">
        <v>45720</v>
      </c>
      <c r="B1024" t="s">
        <v>1</v>
      </c>
      <c r="C1024">
        <v>1</v>
      </c>
      <c r="D1024" t="str">
        <f>_xlfn.XLOOKUP(RW_DT_PRODUCTION[[#This Row],[MATERIAL_ID]],DIM_MATERIAL[MATERIAL_ID],DIM_MATERIAL[UOM_AFTER_PROCESS])</f>
        <v>BALE</v>
      </c>
      <c r="E1024">
        <v>75</v>
      </c>
    </row>
    <row r="1025" spans="1:5" x14ac:dyDescent="0.2">
      <c r="A1025" s="3">
        <v>45720</v>
      </c>
      <c r="B1025" t="s">
        <v>1</v>
      </c>
      <c r="C1025">
        <v>1</v>
      </c>
      <c r="D1025" t="str">
        <f>_xlfn.XLOOKUP(RW_DT_PRODUCTION[[#This Row],[MATERIAL_ID]],DIM_MATERIAL[MATERIAL_ID],DIM_MATERIAL[UOM_AFTER_PROCESS])</f>
        <v>BALE</v>
      </c>
      <c r="E1025">
        <v>62</v>
      </c>
    </row>
    <row r="1026" spans="1:5" x14ac:dyDescent="0.2">
      <c r="A1026" s="3">
        <v>45720</v>
      </c>
      <c r="B1026" t="s">
        <v>1</v>
      </c>
      <c r="C1026">
        <v>1</v>
      </c>
      <c r="D1026" t="str">
        <f>_xlfn.XLOOKUP(RW_DT_PRODUCTION[[#This Row],[MATERIAL_ID]],DIM_MATERIAL[MATERIAL_ID],DIM_MATERIAL[UOM_AFTER_PROCESS])</f>
        <v>BALE</v>
      </c>
      <c r="E1026">
        <v>65</v>
      </c>
    </row>
    <row r="1027" spans="1:5" x14ac:dyDescent="0.2">
      <c r="A1027" s="3">
        <v>45720</v>
      </c>
      <c r="B1027" t="s">
        <v>1</v>
      </c>
      <c r="C1027">
        <v>1</v>
      </c>
      <c r="D1027" t="str">
        <f>_xlfn.XLOOKUP(RW_DT_PRODUCTION[[#This Row],[MATERIAL_ID]],DIM_MATERIAL[MATERIAL_ID],DIM_MATERIAL[UOM_AFTER_PROCESS])</f>
        <v>BALE</v>
      </c>
      <c r="E1027">
        <v>64</v>
      </c>
    </row>
    <row r="1028" spans="1:5" x14ac:dyDescent="0.2">
      <c r="A1028" s="3">
        <v>45720</v>
      </c>
      <c r="B1028" t="s">
        <v>1</v>
      </c>
      <c r="C1028">
        <v>1</v>
      </c>
      <c r="D1028" t="str">
        <f>_xlfn.XLOOKUP(RW_DT_PRODUCTION[[#This Row],[MATERIAL_ID]],DIM_MATERIAL[MATERIAL_ID],DIM_MATERIAL[UOM_AFTER_PROCESS])</f>
        <v>BALE</v>
      </c>
      <c r="E1028">
        <v>64</v>
      </c>
    </row>
    <row r="1029" spans="1:5" x14ac:dyDescent="0.2">
      <c r="A1029" s="3">
        <v>45720</v>
      </c>
      <c r="B1029" t="s">
        <v>1</v>
      </c>
      <c r="C1029">
        <v>1</v>
      </c>
      <c r="D1029" t="str">
        <f>_xlfn.XLOOKUP(RW_DT_PRODUCTION[[#This Row],[MATERIAL_ID]],DIM_MATERIAL[MATERIAL_ID],DIM_MATERIAL[UOM_AFTER_PROCESS])</f>
        <v>BALE</v>
      </c>
      <c r="E1029">
        <v>84</v>
      </c>
    </row>
    <row r="1030" spans="1:5" x14ac:dyDescent="0.2">
      <c r="A1030" s="3">
        <v>45720</v>
      </c>
      <c r="B1030" t="s">
        <v>1</v>
      </c>
      <c r="C1030">
        <v>1</v>
      </c>
      <c r="D1030" t="str">
        <f>_xlfn.XLOOKUP(RW_DT_PRODUCTION[[#This Row],[MATERIAL_ID]],DIM_MATERIAL[MATERIAL_ID],DIM_MATERIAL[UOM_AFTER_PROCESS])</f>
        <v>BALE</v>
      </c>
      <c r="E1030">
        <v>89</v>
      </c>
    </row>
    <row r="1031" spans="1:5" x14ac:dyDescent="0.2">
      <c r="A1031" s="3">
        <v>45720</v>
      </c>
      <c r="B1031" t="s">
        <v>1</v>
      </c>
      <c r="C1031">
        <v>1</v>
      </c>
      <c r="D1031" t="str">
        <f>_xlfn.XLOOKUP(RW_DT_PRODUCTION[[#This Row],[MATERIAL_ID]],DIM_MATERIAL[MATERIAL_ID],DIM_MATERIAL[UOM_AFTER_PROCESS])</f>
        <v>BALE</v>
      </c>
      <c r="E1031">
        <v>64</v>
      </c>
    </row>
    <row r="1032" spans="1:5" x14ac:dyDescent="0.2">
      <c r="A1032" s="3">
        <v>45720</v>
      </c>
      <c r="B1032" t="s">
        <v>1</v>
      </c>
      <c r="C1032">
        <v>1</v>
      </c>
      <c r="D1032" t="str">
        <f>_xlfn.XLOOKUP(RW_DT_PRODUCTION[[#This Row],[MATERIAL_ID]],DIM_MATERIAL[MATERIAL_ID],DIM_MATERIAL[UOM_AFTER_PROCESS])</f>
        <v>BALE</v>
      </c>
      <c r="E1032">
        <v>73</v>
      </c>
    </row>
    <row r="1033" spans="1:5" x14ac:dyDescent="0.2">
      <c r="A1033" s="3">
        <v>45720</v>
      </c>
      <c r="B1033" t="s">
        <v>1</v>
      </c>
      <c r="C1033">
        <v>1</v>
      </c>
      <c r="D1033" t="str">
        <f>_xlfn.XLOOKUP(RW_DT_PRODUCTION[[#This Row],[MATERIAL_ID]],DIM_MATERIAL[MATERIAL_ID],DIM_MATERIAL[UOM_AFTER_PROCESS])</f>
        <v>BALE</v>
      </c>
      <c r="E1033">
        <v>84</v>
      </c>
    </row>
    <row r="1034" spans="1:5" x14ac:dyDescent="0.2">
      <c r="A1034" s="3">
        <v>45720</v>
      </c>
      <c r="B1034" t="s">
        <v>1</v>
      </c>
      <c r="C1034">
        <v>1</v>
      </c>
      <c r="D1034" t="str">
        <f>_xlfn.XLOOKUP(RW_DT_PRODUCTION[[#This Row],[MATERIAL_ID]],DIM_MATERIAL[MATERIAL_ID],DIM_MATERIAL[UOM_AFTER_PROCESS])</f>
        <v>BALE</v>
      </c>
      <c r="E1034">
        <v>70</v>
      </c>
    </row>
    <row r="1035" spans="1:5" x14ac:dyDescent="0.2">
      <c r="A1035" s="3">
        <v>45721</v>
      </c>
      <c r="B1035" t="s">
        <v>1</v>
      </c>
      <c r="C1035">
        <v>1</v>
      </c>
      <c r="D1035" t="str">
        <f>_xlfn.XLOOKUP(RW_DT_PRODUCTION[[#This Row],[MATERIAL_ID]],DIM_MATERIAL[MATERIAL_ID],DIM_MATERIAL[UOM_AFTER_PROCESS])</f>
        <v>BALE</v>
      </c>
      <c r="E1035">
        <v>69</v>
      </c>
    </row>
    <row r="1036" spans="1:5" x14ac:dyDescent="0.2">
      <c r="A1036" s="3">
        <v>45721</v>
      </c>
      <c r="B1036" t="s">
        <v>1</v>
      </c>
      <c r="C1036">
        <v>1</v>
      </c>
      <c r="D1036" t="str">
        <f>_xlfn.XLOOKUP(RW_DT_PRODUCTION[[#This Row],[MATERIAL_ID]],DIM_MATERIAL[MATERIAL_ID],DIM_MATERIAL[UOM_AFTER_PROCESS])</f>
        <v>BALE</v>
      </c>
      <c r="E1036">
        <v>60</v>
      </c>
    </row>
    <row r="1037" spans="1:5" x14ac:dyDescent="0.2">
      <c r="A1037" s="3">
        <v>45721</v>
      </c>
      <c r="B1037" t="s">
        <v>1</v>
      </c>
      <c r="C1037">
        <v>1</v>
      </c>
      <c r="D1037" t="str">
        <f>_xlfn.XLOOKUP(RW_DT_PRODUCTION[[#This Row],[MATERIAL_ID]],DIM_MATERIAL[MATERIAL_ID],DIM_MATERIAL[UOM_AFTER_PROCESS])</f>
        <v>BALE</v>
      </c>
      <c r="E1037">
        <v>85</v>
      </c>
    </row>
    <row r="1038" spans="1:5" x14ac:dyDescent="0.2">
      <c r="A1038" s="3">
        <v>45721</v>
      </c>
      <c r="B1038" t="s">
        <v>1</v>
      </c>
      <c r="C1038">
        <v>1</v>
      </c>
      <c r="D1038" t="str">
        <f>_xlfn.XLOOKUP(RW_DT_PRODUCTION[[#This Row],[MATERIAL_ID]],DIM_MATERIAL[MATERIAL_ID],DIM_MATERIAL[UOM_AFTER_PROCESS])</f>
        <v>BALE</v>
      </c>
      <c r="E1038">
        <v>71</v>
      </c>
    </row>
    <row r="1039" spans="1:5" x14ac:dyDescent="0.2">
      <c r="A1039" s="3">
        <v>45721</v>
      </c>
      <c r="B1039" t="s">
        <v>1</v>
      </c>
      <c r="C1039">
        <v>1</v>
      </c>
      <c r="D1039" t="str">
        <f>_xlfn.XLOOKUP(RW_DT_PRODUCTION[[#This Row],[MATERIAL_ID]],DIM_MATERIAL[MATERIAL_ID],DIM_MATERIAL[UOM_AFTER_PROCESS])</f>
        <v>BALE</v>
      </c>
      <c r="E1039">
        <v>70</v>
      </c>
    </row>
    <row r="1040" spans="1:5" x14ac:dyDescent="0.2">
      <c r="A1040" s="3">
        <v>45721</v>
      </c>
      <c r="B1040" t="s">
        <v>1</v>
      </c>
      <c r="C1040">
        <v>1</v>
      </c>
      <c r="D1040" t="str">
        <f>_xlfn.XLOOKUP(RW_DT_PRODUCTION[[#This Row],[MATERIAL_ID]],DIM_MATERIAL[MATERIAL_ID],DIM_MATERIAL[UOM_AFTER_PROCESS])</f>
        <v>BALE</v>
      </c>
      <c r="E1040">
        <v>69</v>
      </c>
    </row>
    <row r="1041" spans="1:5" x14ac:dyDescent="0.2">
      <c r="A1041" s="3">
        <v>45721</v>
      </c>
      <c r="B1041" t="s">
        <v>1</v>
      </c>
      <c r="C1041">
        <v>1</v>
      </c>
      <c r="D1041" t="str">
        <f>_xlfn.XLOOKUP(RW_DT_PRODUCTION[[#This Row],[MATERIAL_ID]],DIM_MATERIAL[MATERIAL_ID],DIM_MATERIAL[UOM_AFTER_PROCESS])</f>
        <v>BALE</v>
      </c>
      <c r="E1041">
        <v>85</v>
      </c>
    </row>
    <row r="1042" spans="1:5" x14ac:dyDescent="0.2">
      <c r="A1042" s="3">
        <v>45721</v>
      </c>
      <c r="B1042" t="s">
        <v>1</v>
      </c>
      <c r="C1042">
        <v>1</v>
      </c>
      <c r="D1042" t="str">
        <f>_xlfn.XLOOKUP(RW_DT_PRODUCTION[[#This Row],[MATERIAL_ID]],DIM_MATERIAL[MATERIAL_ID],DIM_MATERIAL[UOM_AFTER_PROCESS])</f>
        <v>BALE</v>
      </c>
      <c r="E1042">
        <v>76</v>
      </c>
    </row>
    <row r="1043" spans="1:5" x14ac:dyDescent="0.2">
      <c r="A1043" s="3">
        <v>45721</v>
      </c>
      <c r="B1043" t="s">
        <v>1</v>
      </c>
      <c r="C1043">
        <v>1</v>
      </c>
      <c r="D1043" t="str">
        <f>_xlfn.XLOOKUP(RW_DT_PRODUCTION[[#This Row],[MATERIAL_ID]],DIM_MATERIAL[MATERIAL_ID],DIM_MATERIAL[UOM_AFTER_PROCESS])</f>
        <v>BALE</v>
      </c>
      <c r="E1043">
        <v>60</v>
      </c>
    </row>
    <row r="1044" spans="1:5" x14ac:dyDescent="0.2">
      <c r="A1044" s="3">
        <v>45721</v>
      </c>
      <c r="B1044" t="s">
        <v>1</v>
      </c>
      <c r="C1044">
        <v>1</v>
      </c>
      <c r="D1044" t="str">
        <f>_xlfn.XLOOKUP(RW_DT_PRODUCTION[[#This Row],[MATERIAL_ID]],DIM_MATERIAL[MATERIAL_ID],DIM_MATERIAL[UOM_AFTER_PROCESS])</f>
        <v>BALE</v>
      </c>
      <c r="E1044">
        <v>84</v>
      </c>
    </row>
    <row r="1045" spans="1:5" x14ac:dyDescent="0.2">
      <c r="A1045" s="3">
        <v>45721</v>
      </c>
      <c r="B1045" t="s">
        <v>1</v>
      </c>
      <c r="C1045">
        <v>1</v>
      </c>
      <c r="D1045" t="str">
        <f>_xlfn.XLOOKUP(RW_DT_PRODUCTION[[#This Row],[MATERIAL_ID]],DIM_MATERIAL[MATERIAL_ID],DIM_MATERIAL[UOM_AFTER_PROCESS])</f>
        <v>BALE</v>
      </c>
      <c r="E1045">
        <v>82</v>
      </c>
    </row>
    <row r="1046" spans="1:5" x14ac:dyDescent="0.2">
      <c r="A1046" s="3">
        <v>45721</v>
      </c>
      <c r="B1046" t="s">
        <v>1</v>
      </c>
      <c r="C1046">
        <v>1</v>
      </c>
      <c r="D1046" t="str">
        <f>_xlfn.XLOOKUP(RW_DT_PRODUCTION[[#This Row],[MATERIAL_ID]],DIM_MATERIAL[MATERIAL_ID],DIM_MATERIAL[UOM_AFTER_PROCESS])</f>
        <v>BALE</v>
      </c>
      <c r="E1046">
        <v>76</v>
      </c>
    </row>
    <row r="1047" spans="1:5" x14ac:dyDescent="0.2">
      <c r="A1047" s="3">
        <v>45722</v>
      </c>
      <c r="B1047" t="s">
        <v>1</v>
      </c>
      <c r="C1047">
        <v>1</v>
      </c>
      <c r="D1047" t="str">
        <f>_xlfn.XLOOKUP(RW_DT_PRODUCTION[[#This Row],[MATERIAL_ID]],DIM_MATERIAL[MATERIAL_ID],DIM_MATERIAL[UOM_AFTER_PROCESS])</f>
        <v>BALE</v>
      </c>
      <c r="E1047">
        <v>76</v>
      </c>
    </row>
    <row r="1048" spans="1:5" x14ac:dyDescent="0.2">
      <c r="A1048" s="3">
        <v>45722</v>
      </c>
      <c r="B1048" t="s">
        <v>1</v>
      </c>
      <c r="C1048">
        <v>1</v>
      </c>
      <c r="D1048" t="str">
        <f>_xlfn.XLOOKUP(RW_DT_PRODUCTION[[#This Row],[MATERIAL_ID]],DIM_MATERIAL[MATERIAL_ID],DIM_MATERIAL[UOM_AFTER_PROCESS])</f>
        <v>BALE</v>
      </c>
      <c r="E1048">
        <v>67</v>
      </c>
    </row>
    <row r="1049" spans="1:5" x14ac:dyDescent="0.2">
      <c r="A1049" s="3">
        <v>45722</v>
      </c>
      <c r="B1049" t="s">
        <v>1</v>
      </c>
      <c r="C1049">
        <v>1</v>
      </c>
      <c r="D1049" t="str">
        <f>_xlfn.XLOOKUP(RW_DT_PRODUCTION[[#This Row],[MATERIAL_ID]],DIM_MATERIAL[MATERIAL_ID],DIM_MATERIAL[UOM_AFTER_PROCESS])</f>
        <v>BALE</v>
      </c>
      <c r="E1049">
        <v>89</v>
      </c>
    </row>
    <row r="1050" spans="1:5" x14ac:dyDescent="0.2">
      <c r="A1050" s="3">
        <v>45722</v>
      </c>
      <c r="B1050" t="s">
        <v>1</v>
      </c>
      <c r="C1050">
        <v>1</v>
      </c>
      <c r="D1050" t="str">
        <f>_xlfn.XLOOKUP(RW_DT_PRODUCTION[[#This Row],[MATERIAL_ID]],DIM_MATERIAL[MATERIAL_ID],DIM_MATERIAL[UOM_AFTER_PROCESS])</f>
        <v>BALE</v>
      </c>
      <c r="E1050">
        <v>81</v>
      </c>
    </row>
    <row r="1051" spans="1:5" x14ac:dyDescent="0.2">
      <c r="A1051" s="3">
        <v>45722</v>
      </c>
      <c r="B1051" t="s">
        <v>1</v>
      </c>
      <c r="C1051">
        <v>1</v>
      </c>
      <c r="D1051" t="str">
        <f>_xlfn.XLOOKUP(RW_DT_PRODUCTION[[#This Row],[MATERIAL_ID]],DIM_MATERIAL[MATERIAL_ID],DIM_MATERIAL[UOM_AFTER_PROCESS])</f>
        <v>BALE</v>
      </c>
      <c r="E1051">
        <v>89</v>
      </c>
    </row>
    <row r="1052" spans="1:5" x14ac:dyDescent="0.2">
      <c r="A1052" s="3">
        <v>45722</v>
      </c>
      <c r="B1052" t="s">
        <v>2</v>
      </c>
      <c r="C1052">
        <v>1</v>
      </c>
      <c r="D1052" t="str">
        <f>_xlfn.XLOOKUP(RW_DT_PRODUCTION[[#This Row],[MATERIAL_ID]],DIM_MATERIAL[MATERIAL_ID],DIM_MATERIAL[UOM_AFTER_PROCESS])</f>
        <v>BAG</v>
      </c>
      <c r="E1052">
        <v>22</v>
      </c>
    </row>
    <row r="1053" spans="1:5" x14ac:dyDescent="0.2">
      <c r="A1053" s="3">
        <v>45722</v>
      </c>
      <c r="B1053" t="s">
        <v>2</v>
      </c>
      <c r="C1053">
        <v>1</v>
      </c>
      <c r="D1053" t="str">
        <f>_xlfn.XLOOKUP(RW_DT_PRODUCTION[[#This Row],[MATERIAL_ID]],DIM_MATERIAL[MATERIAL_ID],DIM_MATERIAL[UOM_AFTER_PROCESS])</f>
        <v>BAG</v>
      </c>
      <c r="E1053">
        <v>22</v>
      </c>
    </row>
    <row r="1054" spans="1:5" x14ac:dyDescent="0.2">
      <c r="A1054" s="3">
        <v>45722</v>
      </c>
      <c r="B1054" t="s">
        <v>2</v>
      </c>
      <c r="C1054">
        <v>1</v>
      </c>
      <c r="D1054" t="str">
        <f>_xlfn.XLOOKUP(RW_DT_PRODUCTION[[#This Row],[MATERIAL_ID]],DIM_MATERIAL[MATERIAL_ID],DIM_MATERIAL[UOM_AFTER_PROCESS])</f>
        <v>BAG</v>
      </c>
      <c r="E1054">
        <v>22</v>
      </c>
    </row>
    <row r="1055" spans="1:5" x14ac:dyDescent="0.2">
      <c r="A1055" s="3">
        <v>45722</v>
      </c>
      <c r="B1055" t="s">
        <v>2</v>
      </c>
      <c r="C1055">
        <v>1</v>
      </c>
      <c r="D1055" t="str">
        <f>_xlfn.XLOOKUP(RW_DT_PRODUCTION[[#This Row],[MATERIAL_ID]],DIM_MATERIAL[MATERIAL_ID],DIM_MATERIAL[UOM_AFTER_PROCESS])</f>
        <v>BAG</v>
      </c>
      <c r="E1055">
        <v>22</v>
      </c>
    </row>
    <row r="1056" spans="1:5" x14ac:dyDescent="0.2">
      <c r="A1056" s="3">
        <v>45722</v>
      </c>
      <c r="B1056" t="s">
        <v>2</v>
      </c>
      <c r="C1056">
        <v>1</v>
      </c>
      <c r="D1056" t="str">
        <f>_xlfn.XLOOKUP(RW_DT_PRODUCTION[[#This Row],[MATERIAL_ID]],DIM_MATERIAL[MATERIAL_ID],DIM_MATERIAL[UOM_AFTER_PROCESS])</f>
        <v>BAG</v>
      </c>
      <c r="E1056">
        <v>22</v>
      </c>
    </row>
    <row r="1057" spans="1:5" x14ac:dyDescent="0.2">
      <c r="A1057" s="3">
        <v>45724</v>
      </c>
      <c r="B1057" t="s">
        <v>1</v>
      </c>
      <c r="C1057">
        <v>1</v>
      </c>
      <c r="D1057" t="str">
        <f>_xlfn.XLOOKUP(RW_DT_PRODUCTION[[#This Row],[MATERIAL_ID]],DIM_MATERIAL[MATERIAL_ID],DIM_MATERIAL[UOM_AFTER_PROCESS])</f>
        <v>BALE</v>
      </c>
      <c r="E1057">
        <v>84</v>
      </c>
    </row>
    <row r="1058" spans="1:5" x14ac:dyDescent="0.2">
      <c r="A1058" s="3">
        <v>45724</v>
      </c>
      <c r="B1058" t="s">
        <v>1</v>
      </c>
      <c r="C1058">
        <v>1</v>
      </c>
      <c r="D1058" t="str">
        <f>_xlfn.XLOOKUP(RW_DT_PRODUCTION[[#This Row],[MATERIAL_ID]],DIM_MATERIAL[MATERIAL_ID],DIM_MATERIAL[UOM_AFTER_PROCESS])</f>
        <v>BALE</v>
      </c>
      <c r="E1058">
        <v>76</v>
      </c>
    </row>
    <row r="1059" spans="1:5" x14ac:dyDescent="0.2">
      <c r="A1059" s="3">
        <v>45724</v>
      </c>
      <c r="B1059" t="s">
        <v>1</v>
      </c>
      <c r="C1059">
        <v>1</v>
      </c>
      <c r="D1059" t="str">
        <f>_xlfn.XLOOKUP(RW_DT_PRODUCTION[[#This Row],[MATERIAL_ID]],DIM_MATERIAL[MATERIAL_ID],DIM_MATERIAL[UOM_AFTER_PROCESS])</f>
        <v>BALE</v>
      </c>
      <c r="E1059">
        <v>66</v>
      </c>
    </row>
    <row r="1060" spans="1:5" x14ac:dyDescent="0.2">
      <c r="A1060" s="3">
        <v>45726</v>
      </c>
      <c r="B1060" t="s">
        <v>1</v>
      </c>
      <c r="C1060">
        <v>1</v>
      </c>
      <c r="D1060" t="str">
        <f>_xlfn.XLOOKUP(RW_DT_PRODUCTION[[#This Row],[MATERIAL_ID]],DIM_MATERIAL[MATERIAL_ID],DIM_MATERIAL[UOM_AFTER_PROCESS])</f>
        <v>BALE</v>
      </c>
      <c r="E1060">
        <v>88</v>
      </c>
    </row>
    <row r="1061" spans="1:5" x14ac:dyDescent="0.2">
      <c r="A1061" s="3">
        <v>45726</v>
      </c>
      <c r="B1061" t="s">
        <v>1</v>
      </c>
      <c r="C1061">
        <v>1</v>
      </c>
      <c r="D1061" t="str">
        <f>_xlfn.XLOOKUP(RW_DT_PRODUCTION[[#This Row],[MATERIAL_ID]],DIM_MATERIAL[MATERIAL_ID],DIM_MATERIAL[UOM_AFTER_PROCESS])</f>
        <v>BALE</v>
      </c>
      <c r="E1061">
        <v>81</v>
      </c>
    </row>
    <row r="1062" spans="1:5" x14ac:dyDescent="0.2">
      <c r="A1062" s="3">
        <v>45726</v>
      </c>
      <c r="B1062" t="s">
        <v>1</v>
      </c>
      <c r="C1062">
        <v>1</v>
      </c>
      <c r="D1062" t="str">
        <f>_xlfn.XLOOKUP(RW_DT_PRODUCTION[[#This Row],[MATERIAL_ID]],DIM_MATERIAL[MATERIAL_ID],DIM_MATERIAL[UOM_AFTER_PROCESS])</f>
        <v>BALE</v>
      </c>
      <c r="E1062">
        <v>74</v>
      </c>
    </row>
    <row r="1063" spans="1:5" x14ac:dyDescent="0.2">
      <c r="A1063" s="3">
        <v>45726</v>
      </c>
      <c r="B1063" t="s">
        <v>1</v>
      </c>
      <c r="C1063">
        <v>1</v>
      </c>
      <c r="D1063" t="str">
        <f>_xlfn.XLOOKUP(RW_DT_PRODUCTION[[#This Row],[MATERIAL_ID]],DIM_MATERIAL[MATERIAL_ID],DIM_MATERIAL[UOM_AFTER_PROCESS])</f>
        <v>BALE</v>
      </c>
      <c r="E1063">
        <v>65</v>
      </c>
    </row>
    <row r="1064" spans="1:5" x14ac:dyDescent="0.2">
      <c r="A1064" s="3">
        <v>45726</v>
      </c>
      <c r="B1064" t="s">
        <v>1</v>
      </c>
      <c r="C1064">
        <v>1</v>
      </c>
      <c r="D1064" t="str">
        <f>_xlfn.XLOOKUP(RW_DT_PRODUCTION[[#This Row],[MATERIAL_ID]],DIM_MATERIAL[MATERIAL_ID],DIM_MATERIAL[UOM_AFTER_PROCESS])</f>
        <v>BALE</v>
      </c>
      <c r="E1064">
        <v>63</v>
      </c>
    </row>
    <row r="1065" spans="1:5" x14ac:dyDescent="0.2">
      <c r="A1065" s="3">
        <v>45726</v>
      </c>
      <c r="B1065" t="s">
        <v>1</v>
      </c>
      <c r="C1065">
        <v>1</v>
      </c>
      <c r="D1065" t="str">
        <f>_xlfn.XLOOKUP(RW_DT_PRODUCTION[[#This Row],[MATERIAL_ID]],DIM_MATERIAL[MATERIAL_ID],DIM_MATERIAL[UOM_AFTER_PROCESS])</f>
        <v>BALE</v>
      </c>
      <c r="E1065">
        <v>68</v>
      </c>
    </row>
    <row r="1066" spans="1:5" x14ac:dyDescent="0.2">
      <c r="A1066" s="3">
        <v>45726</v>
      </c>
      <c r="B1066" t="s">
        <v>1</v>
      </c>
      <c r="C1066">
        <v>1</v>
      </c>
      <c r="D1066" t="str">
        <f>_xlfn.XLOOKUP(RW_DT_PRODUCTION[[#This Row],[MATERIAL_ID]],DIM_MATERIAL[MATERIAL_ID],DIM_MATERIAL[UOM_AFTER_PROCESS])</f>
        <v>BALE</v>
      </c>
      <c r="E1066">
        <v>69</v>
      </c>
    </row>
    <row r="1067" spans="1:5" x14ac:dyDescent="0.2">
      <c r="A1067" s="3">
        <v>45726</v>
      </c>
      <c r="B1067" t="s">
        <v>1</v>
      </c>
      <c r="C1067">
        <v>1</v>
      </c>
      <c r="D1067" t="str">
        <f>_xlfn.XLOOKUP(RW_DT_PRODUCTION[[#This Row],[MATERIAL_ID]],DIM_MATERIAL[MATERIAL_ID],DIM_MATERIAL[UOM_AFTER_PROCESS])</f>
        <v>BALE</v>
      </c>
      <c r="E1067">
        <v>64</v>
      </c>
    </row>
    <row r="1068" spans="1:5" x14ac:dyDescent="0.2">
      <c r="A1068" s="3">
        <v>45726</v>
      </c>
      <c r="B1068" t="s">
        <v>1</v>
      </c>
      <c r="C1068">
        <v>1</v>
      </c>
      <c r="D1068" t="str">
        <f>_xlfn.XLOOKUP(RW_DT_PRODUCTION[[#This Row],[MATERIAL_ID]],DIM_MATERIAL[MATERIAL_ID],DIM_MATERIAL[UOM_AFTER_PROCESS])</f>
        <v>BALE</v>
      </c>
      <c r="E1068">
        <v>81</v>
      </c>
    </row>
    <row r="1069" spans="1:5" x14ac:dyDescent="0.2">
      <c r="A1069" s="3">
        <v>45726</v>
      </c>
      <c r="B1069" t="s">
        <v>1</v>
      </c>
      <c r="C1069">
        <v>1</v>
      </c>
      <c r="D1069" t="str">
        <f>_xlfn.XLOOKUP(RW_DT_PRODUCTION[[#This Row],[MATERIAL_ID]],DIM_MATERIAL[MATERIAL_ID],DIM_MATERIAL[UOM_AFTER_PROCESS])</f>
        <v>BALE</v>
      </c>
      <c r="E1069">
        <v>60</v>
      </c>
    </row>
    <row r="1070" spans="1:5" x14ac:dyDescent="0.2">
      <c r="A1070" s="3">
        <v>45726</v>
      </c>
      <c r="B1070" t="s">
        <v>1</v>
      </c>
      <c r="C1070">
        <v>1</v>
      </c>
      <c r="D1070" t="str">
        <f>_xlfn.XLOOKUP(RW_DT_PRODUCTION[[#This Row],[MATERIAL_ID]],DIM_MATERIAL[MATERIAL_ID],DIM_MATERIAL[UOM_AFTER_PROCESS])</f>
        <v>BALE</v>
      </c>
      <c r="E1070">
        <v>76</v>
      </c>
    </row>
    <row r="1071" spans="1:5" x14ac:dyDescent="0.2">
      <c r="A1071" s="3">
        <v>45727</v>
      </c>
      <c r="B1071" t="s">
        <v>1</v>
      </c>
      <c r="C1071">
        <v>1</v>
      </c>
      <c r="D1071" t="str">
        <f>_xlfn.XLOOKUP(RW_DT_PRODUCTION[[#This Row],[MATERIAL_ID]],DIM_MATERIAL[MATERIAL_ID],DIM_MATERIAL[UOM_AFTER_PROCESS])</f>
        <v>BALE</v>
      </c>
      <c r="E1071">
        <v>84</v>
      </c>
    </row>
    <row r="1072" spans="1:5" x14ac:dyDescent="0.2">
      <c r="A1072" s="3">
        <v>45727</v>
      </c>
      <c r="B1072" t="s">
        <v>1</v>
      </c>
      <c r="C1072">
        <v>1</v>
      </c>
      <c r="D1072" t="str">
        <f>_xlfn.XLOOKUP(RW_DT_PRODUCTION[[#This Row],[MATERIAL_ID]],DIM_MATERIAL[MATERIAL_ID],DIM_MATERIAL[UOM_AFTER_PROCESS])</f>
        <v>BALE</v>
      </c>
      <c r="E1072">
        <v>78</v>
      </c>
    </row>
    <row r="1073" spans="1:5" x14ac:dyDescent="0.2">
      <c r="A1073" s="3">
        <v>45727</v>
      </c>
      <c r="B1073" t="s">
        <v>1</v>
      </c>
      <c r="C1073">
        <v>1</v>
      </c>
      <c r="D1073" t="str">
        <f>_xlfn.XLOOKUP(RW_DT_PRODUCTION[[#This Row],[MATERIAL_ID]],DIM_MATERIAL[MATERIAL_ID],DIM_MATERIAL[UOM_AFTER_PROCESS])</f>
        <v>BALE</v>
      </c>
      <c r="E1073">
        <v>87</v>
      </c>
    </row>
    <row r="1074" spans="1:5" x14ac:dyDescent="0.2">
      <c r="A1074" s="3">
        <v>45727</v>
      </c>
      <c r="B1074" t="s">
        <v>1</v>
      </c>
      <c r="C1074">
        <v>1</v>
      </c>
      <c r="D1074" t="str">
        <f>_xlfn.XLOOKUP(RW_DT_PRODUCTION[[#This Row],[MATERIAL_ID]],DIM_MATERIAL[MATERIAL_ID],DIM_MATERIAL[UOM_AFTER_PROCESS])</f>
        <v>BALE</v>
      </c>
      <c r="E1074">
        <v>72</v>
      </c>
    </row>
    <row r="1075" spans="1:5" x14ac:dyDescent="0.2">
      <c r="A1075" s="3">
        <v>45727</v>
      </c>
      <c r="B1075" t="s">
        <v>1</v>
      </c>
      <c r="C1075">
        <v>1</v>
      </c>
      <c r="D1075" t="str">
        <f>_xlfn.XLOOKUP(RW_DT_PRODUCTION[[#This Row],[MATERIAL_ID]],DIM_MATERIAL[MATERIAL_ID],DIM_MATERIAL[UOM_AFTER_PROCESS])</f>
        <v>BALE</v>
      </c>
      <c r="E1075">
        <v>68</v>
      </c>
    </row>
    <row r="1076" spans="1:5" x14ac:dyDescent="0.2">
      <c r="A1076" s="3">
        <v>45727</v>
      </c>
      <c r="B1076" t="s">
        <v>1</v>
      </c>
      <c r="C1076">
        <v>1</v>
      </c>
      <c r="D1076" t="str">
        <f>_xlfn.XLOOKUP(RW_DT_PRODUCTION[[#This Row],[MATERIAL_ID]],DIM_MATERIAL[MATERIAL_ID],DIM_MATERIAL[UOM_AFTER_PROCESS])</f>
        <v>BALE</v>
      </c>
      <c r="E1076">
        <v>83</v>
      </c>
    </row>
    <row r="1077" spans="1:5" x14ac:dyDescent="0.2">
      <c r="A1077" s="3">
        <v>45727</v>
      </c>
      <c r="B1077" t="s">
        <v>1</v>
      </c>
      <c r="C1077">
        <v>1</v>
      </c>
      <c r="D1077" t="str">
        <f>_xlfn.XLOOKUP(RW_DT_PRODUCTION[[#This Row],[MATERIAL_ID]],DIM_MATERIAL[MATERIAL_ID],DIM_MATERIAL[UOM_AFTER_PROCESS])</f>
        <v>BALE</v>
      </c>
      <c r="E1077">
        <v>62</v>
      </c>
    </row>
    <row r="1078" spans="1:5" x14ac:dyDescent="0.2">
      <c r="A1078" s="3">
        <v>45727</v>
      </c>
      <c r="B1078" t="s">
        <v>1</v>
      </c>
      <c r="C1078">
        <v>1</v>
      </c>
      <c r="D1078" t="str">
        <f>_xlfn.XLOOKUP(RW_DT_PRODUCTION[[#This Row],[MATERIAL_ID]],DIM_MATERIAL[MATERIAL_ID],DIM_MATERIAL[UOM_AFTER_PROCESS])</f>
        <v>BALE</v>
      </c>
      <c r="E1078">
        <v>89</v>
      </c>
    </row>
    <row r="1079" spans="1:5" x14ac:dyDescent="0.2">
      <c r="A1079" s="3">
        <v>45727</v>
      </c>
      <c r="B1079" t="s">
        <v>1</v>
      </c>
      <c r="C1079">
        <v>1</v>
      </c>
      <c r="D1079" t="str">
        <f>_xlfn.XLOOKUP(RW_DT_PRODUCTION[[#This Row],[MATERIAL_ID]],DIM_MATERIAL[MATERIAL_ID],DIM_MATERIAL[UOM_AFTER_PROCESS])</f>
        <v>BALE</v>
      </c>
      <c r="E1079">
        <v>71</v>
      </c>
    </row>
    <row r="1080" spans="1:5" x14ac:dyDescent="0.2">
      <c r="A1080" s="3">
        <v>45727</v>
      </c>
      <c r="B1080" t="s">
        <v>1</v>
      </c>
      <c r="C1080">
        <v>1</v>
      </c>
      <c r="D1080" t="str">
        <f>_xlfn.XLOOKUP(RW_DT_PRODUCTION[[#This Row],[MATERIAL_ID]],DIM_MATERIAL[MATERIAL_ID],DIM_MATERIAL[UOM_AFTER_PROCESS])</f>
        <v>BALE</v>
      </c>
      <c r="E1080">
        <v>84</v>
      </c>
    </row>
    <row r="1081" spans="1:5" x14ac:dyDescent="0.2">
      <c r="A1081" s="3">
        <v>45727</v>
      </c>
      <c r="B1081" t="s">
        <v>1</v>
      </c>
      <c r="C1081">
        <v>1</v>
      </c>
      <c r="D1081" t="str">
        <f>_xlfn.XLOOKUP(RW_DT_PRODUCTION[[#This Row],[MATERIAL_ID]],DIM_MATERIAL[MATERIAL_ID],DIM_MATERIAL[UOM_AFTER_PROCESS])</f>
        <v>BALE</v>
      </c>
      <c r="E1081">
        <v>88</v>
      </c>
    </row>
    <row r="1082" spans="1:5" x14ac:dyDescent="0.2">
      <c r="A1082" s="3">
        <v>45728</v>
      </c>
      <c r="B1082" t="s">
        <v>1</v>
      </c>
      <c r="C1082">
        <v>1</v>
      </c>
      <c r="D1082" t="str">
        <f>_xlfn.XLOOKUP(RW_DT_PRODUCTION[[#This Row],[MATERIAL_ID]],DIM_MATERIAL[MATERIAL_ID],DIM_MATERIAL[UOM_AFTER_PROCESS])</f>
        <v>BALE</v>
      </c>
      <c r="E1082">
        <v>84</v>
      </c>
    </row>
    <row r="1083" spans="1:5" x14ac:dyDescent="0.2">
      <c r="A1083" s="3">
        <v>45728</v>
      </c>
      <c r="B1083" t="s">
        <v>1</v>
      </c>
      <c r="C1083">
        <v>1</v>
      </c>
      <c r="D1083" t="str">
        <f>_xlfn.XLOOKUP(RW_DT_PRODUCTION[[#This Row],[MATERIAL_ID]],DIM_MATERIAL[MATERIAL_ID],DIM_MATERIAL[UOM_AFTER_PROCESS])</f>
        <v>BALE</v>
      </c>
      <c r="E1083">
        <v>77</v>
      </c>
    </row>
    <row r="1084" spans="1:5" x14ac:dyDescent="0.2">
      <c r="A1084" s="3">
        <v>45728</v>
      </c>
      <c r="B1084" t="s">
        <v>1</v>
      </c>
      <c r="C1084">
        <v>1</v>
      </c>
      <c r="D1084" t="str">
        <f>_xlfn.XLOOKUP(RW_DT_PRODUCTION[[#This Row],[MATERIAL_ID]],DIM_MATERIAL[MATERIAL_ID],DIM_MATERIAL[UOM_AFTER_PROCESS])</f>
        <v>BALE</v>
      </c>
      <c r="E1084">
        <v>64</v>
      </c>
    </row>
    <row r="1085" spans="1:5" x14ac:dyDescent="0.2">
      <c r="A1085" s="3">
        <v>45728</v>
      </c>
      <c r="B1085" t="s">
        <v>1</v>
      </c>
      <c r="C1085">
        <v>1</v>
      </c>
      <c r="D1085" t="str">
        <f>_xlfn.XLOOKUP(RW_DT_PRODUCTION[[#This Row],[MATERIAL_ID]],DIM_MATERIAL[MATERIAL_ID],DIM_MATERIAL[UOM_AFTER_PROCESS])</f>
        <v>BALE</v>
      </c>
      <c r="E1085">
        <v>67</v>
      </c>
    </row>
    <row r="1086" spans="1:5" x14ac:dyDescent="0.2">
      <c r="A1086" s="3">
        <v>45728</v>
      </c>
      <c r="B1086" t="s">
        <v>1</v>
      </c>
      <c r="C1086">
        <v>1</v>
      </c>
      <c r="D1086" t="str">
        <f>_xlfn.XLOOKUP(RW_DT_PRODUCTION[[#This Row],[MATERIAL_ID]],DIM_MATERIAL[MATERIAL_ID],DIM_MATERIAL[UOM_AFTER_PROCESS])</f>
        <v>BALE</v>
      </c>
      <c r="E1086">
        <v>83</v>
      </c>
    </row>
    <row r="1087" spans="1:5" x14ac:dyDescent="0.2">
      <c r="A1087" s="3">
        <v>45728</v>
      </c>
      <c r="B1087" t="s">
        <v>1</v>
      </c>
      <c r="C1087">
        <v>1</v>
      </c>
      <c r="D1087" t="str">
        <f>_xlfn.XLOOKUP(RW_DT_PRODUCTION[[#This Row],[MATERIAL_ID]],DIM_MATERIAL[MATERIAL_ID],DIM_MATERIAL[UOM_AFTER_PROCESS])</f>
        <v>BALE</v>
      </c>
      <c r="E1087">
        <v>74</v>
      </c>
    </row>
    <row r="1088" spans="1:5" x14ac:dyDescent="0.2">
      <c r="A1088" s="3">
        <v>45728</v>
      </c>
      <c r="B1088" t="s">
        <v>1</v>
      </c>
      <c r="C1088">
        <v>1</v>
      </c>
      <c r="D1088" t="str">
        <f>_xlfn.XLOOKUP(RW_DT_PRODUCTION[[#This Row],[MATERIAL_ID]],DIM_MATERIAL[MATERIAL_ID],DIM_MATERIAL[UOM_AFTER_PROCESS])</f>
        <v>BALE</v>
      </c>
      <c r="E1088">
        <v>82</v>
      </c>
    </row>
    <row r="1089" spans="1:5" x14ac:dyDescent="0.2">
      <c r="A1089" s="3">
        <v>45728</v>
      </c>
      <c r="B1089" t="s">
        <v>2</v>
      </c>
      <c r="C1089">
        <v>1</v>
      </c>
      <c r="D1089" t="str">
        <f>_xlfn.XLOOKUP(RW_DT_PRODUCTION[[#This Row],[MATERIAL_ID]],DIM_MATERIAL[MATERIAL_ID],DIM_MATERIAL[UOM_AFTER_PROCESS])</f>
        <v>BAG</v>
      </c>
      <c r="E1089">
        <v>22</v>
      </c>
    </row>
    <row r="1090" spans="1:5" x14ac:dyDescent="0.2">
      <c r="A1090" s="3">
        <v>45728</v>
      </c>
      <c r="B1090" t="s">
        <v>2</v>
      </c>
      <c r="C1090">
        <v>1</v>
      </c>
      <c r="D1090" t="str">
        <f>_xlfn.XLOOKUP(RW_DT_PRODUCTION[[#This Row],[MATERIAL_ID]],DIM_MATERIAL[MATERIAL_ID],DIM_MATERIAL[UOM_AFTER_PROCESS])</f>
        <v>BAG</v>
      </c>
      <c r="E1090">
        <v>22</v>
      </c>
    </row>
    <row r="1091" spans="1:5" x14ac:dyDescent="0.2">
      <c r="A1091" s="3">
        <v>45728</v>
      </c>
      <c r="B1091" t="s">
        <v>2</v>
      </c>
      <c r="C1091">
        <v>1</v>
      </c>
      <c r="D1091" t="str">
        <f>_xlfn.XLOOKUP(RW_DT_PRODUCTION[[#This Row],[MATERIAL_ID]],DIM_MATERIAL[MATERIAL_ID],DIM_MATERIAL[UOM_AFTER_PROCESS])</f>
        <v>BAG</v>
      </c>
      <c r="E1091">
        <v>22</v>
      </c>
    </row>
    <row r="1092" spans="1:5" x14ac:dyDescent="0.2">
      <c r="A1092" s="3">
        <v>45728</v>
      </c>
      <c r="B1092" t="s">
        <v>2</v>
      </c>
      <c r="C1092">
        <v>1</v>
      </c>
      <c r="D1092" t="str">
        <f>_xlfn.XLOOKUP(RW_DT_PRODUCTION[[#This Row],[MATERIAL_ID]],DIM_MATERIAL[MATERIAL_ID],DIM_MATERIAL[UOM_AFTER_PROCESS])</f>
        <v>BAG</v>
      </c>
      <c r="E1092">
        <v>22</v>
      </c>
    </row>
    <row r="1093" spans="1:5" x14ac:dyDescent="0.2">
      <c r="A1093" s="3">
        <v>45728</v>
      </c>
      <c r="B1093" t="s">
        <v>2</v>
      </c>
      <c r="C1093">
        <v>1</v>
      </c>
      <c r="D1093" t="str">
        <f>_xlfn.XLOOKUP(RW_DT_PRODUCTION[[#This Row],[MATERIAL_ID]],DIM_MATERIAL[MATERIAL_ID],DIM_MATERIAL[UOM_AFTER_PROCESS])</f>
        <v>BAG</v>
      </c>
      <c r="E1093">
        <v>22</v>
      </c>
    </row>
    <row r="1094" spans="1:5" x14ac:dyDescent="0.2">
      <c r="A1094" s="3">
        <v>45728</v>
      </c>
      <c r="B1094" t="s">
        <v>2</v>
      </c>
      <c r="C1094">
        <v>1</v>
      </c>
      <c r="D1094" t="str">
        <f>_xlfn.XLOOKUP(RW_DT_PRODUCTION[[#This Row],[MATERIAL_ID]],DIM_MATERIAL[MATERIAL_ID],DIM_MATERIAL[UOM_AFTER_PROCESS])</f>
        <v>BAG</v>
      </c>
      <c r="E1094">
        <v>22</v>
      </c>
    </row>
    <row r="1095" spans="1:5" x14ac:dyDescent="0.2">
      <c r="A1095" s="3">
        <v>45729</v>
      </c>
      <c r="B1095" t="s">
        <v>1</v>
      </c>
      <c r="C1095">
        <v>1</v>
      </c>
      <c r="D1095" t="str">
        <f>_xlfn.XLOOKUP(RW_DT_PRODUCTION[[#This Row],[MATERIAL_ID]],DIM_MATERIAL[MATERIAL_ID],DIM_MATERIAL[UOM_AFTER_PROCESS])</f>
        <v>BALE</v>
      </c>
      <c r="E1095">
        <v>62</v>
      </c>
    </row>
    <row r="1096" spans="1:5" x14ac:dyDescent="0.2">
      <c r="A1096" s="3">
        <v>45729</v>
      </c>
      <c r="B1096" t="s">
        <v>1</v>
      </c>
      <c r="C1096">
        <v>1</v>
      </c>
      <c r="D1096" t="str">
        <f>_xlfn.XLOOKUP(RW_DT_PRODUCTION[[#This Row],[MATERIAL_ID]],DIM_MATERIAL[MATERIAL_ID],DIM_MATERIAL[UOM_AFTER_PROCESS])</f>
        <v>BALE</v>
      </c>
      <c r="E1096">
        <v>85</v>
      </c>
    </row>
    <row r="1097" spans="1:5" x14ac:dyDescent="0.2">
      <c r="A1097" s="3">
        <v>45729</v>
      </c>
      <c r="B1097" t="s">
        <v>1</v>
      </c>
      <c r="C1097">
        <v>1</v>
      </c>
      <c r="D1097" t="str">
        <f>_xlfn.XLOOKUP(RW_DT_PRODUCTION[[#This Row],[MATERIAL_ID]],DIM_MATERIAL[MATERIAL_ID],DIM_MATERIAL[UOM_AFTER_PROCESS])</f>
        <v>BALE</v>
      </c>
      <c r="E1097">
        <v>68</v>
      </c>
    </row>
    <row r="1098" spans="1:5" x14ac:dyDescent="0.2">
      <c r="A1098" s="3">
        <v>45729</v>
      </c>
      <c r="B1098" t="s">
        <v>1</v>
      </c>
      <c r="C1098">
        <v>1</v>
      </c>
      <c r="D1098" t="str">
        <f>_xlfn.XLOOKUP(RW_DT_PRODUCTION[[#This Row],[MATERIAL_ID]],DIM_MATERIAL[MATERIAL_ID],DIM_MATERIAL[UOM_AFTER_PROCESS])</f>
        <v>BALE</v>
      </c>
      <c r="E1098">
        <v>80</v>
      </c>
    </row>
    <row r="1099" spans="1:5" x14ac:dyDescent="0.2">
      <c r="A1099" s="3">
        <v>45729</v>
      </c>
      <c r="B1099" t="s">
        <v>1</v>
      </c>
      <c r="C1099">
        <v>1</v>
      </c>
      <c r="D1099" t="str">
        <f>_xlfn.XLOOKUP(RW_DT_PRODUCTION[[#This Row],[MATERIAL_ID]],DIM_MATERIAL[MATERIAL_ID],DIM_MATERIAL[UOM_AFTER_PROCESS])</f>
        <v>BALE</v>
      </c>
      <c r="E1099">
        <v>88</v>
      </c>
    </row>
    <row r="1100" spans="1:5" x14ac:dyDescent="0.2">
      <c r="A1100" s="3">
        <v>45729</v>
      </c>
      <c r="B1100" t="s">
        <v>1</v>
      </c>
      <c r="C1100">
        <v>1</v>
      </c>
      <c r="D1100" t="str">
        <f>_xlfn.XLOOKUP(RW_DT_PRODUCTION[[#This Row],[MATERIAL_ID]],DIM_MATERIAL[MATERIAL_ID],DIM_MATERIAL[UOM_AFTER_PROCESS])</f>
        <v>BALE</v>
      </c>
      <c r="E1100">
        <v>64</v>
      </c>
    </row>
    <row r="1101" spans="1:5" x14ac:dyDescent="0.2">
      <c r="A1101" s="3">
        <v>45729</v>
      </c>
      <c r="B1101" t="s">
        <v>1</v>
      </c>
      <c r="C1101">
        <v>1</v>
      </c>
      <c r="D1101" t="str">
        <f>_xlfn.XLOOKUP(RW_DT_PRODUCTION[[#This Row],[MATERIAL_ID]],DIM_MATERIAL[MATERIAL_ID],DIM_MATERIAL[UOM_AFTER_PROCESS])</f>
        <v>BALE</v>
      </c>
      <c r="E1101">
        <v>70</v>
      </c>
    </row>
    <row r="1102" spans="1:5" x14ac:dyDescent="0.2">
      <c r="A1102" s="3">
        <v>45730</v>
      </c>
      <c r="B1102" t="s">
        <v>1</v>
      </c>
      <c r="C1102">
        <v>1</v>
      </c>
      <c r="D1102" t="str">
        <f>_xlfn.XLOOKUP(RW_DT_PRODUCTION[[#This Row],[MATERIAL_ID]],DIM_MATERIAL[MATERIAL_ID],DIM_MATERIAL[UOM_AFTER_PROCESS])</f>
        <v>BALE</v>
      </c>
      <c r="E1102">
        <v>61</v>
      </c>
    </row>
    <row r="1103" spans="1:5" x14ac:dyDescent="0.2">
      <c r="A1103" s="3">
        <v>45730</v>
      </c>
      <c r="B1103" t="s">
        <v>1</v>
      </c>
      <c r="C1103">
        <v>1</v>
      </c>
      <c r="D1103" t="str">
        <f>_xlfn.XLOOKUP(RW_DT_PRODUCTION[[#This Row],[MATERIAL_ID]],DIM_MATERIAL[MATERIAL_ID],DIM_MATERIAL[UOM_AFTER_PROCESS])</f>
        <v>BALE</v>
      </c>
      <c r="E1103">
        <v>63</v>
      </c>
    </row>
    <row r="1104" spans="1:5" x14ac:dyDescent="0.2">
      <c r="A1104" s="3">
        <v>45730</v>
      </c>
      <c r="B1104" t="s">
        <v>1</v>
      </c>
      <c r="C1104">
        <v>1</v>
      </c>
      <c r="D1104" t="str">
        <f>_xlfn.XLOOKUP(RW_DT_PRODUCTION[[#This Row],[MATERIAL_ID]],DIM_MATERIAL[MATERIAL_ID],DIM_MATERIAL[UOM_AFTER_PROCESS])</f>
        <v>BALE</v>
      </c>
      <c r="E1104">
        <v>69</v>
      </c>
    </row>
    <row r="1105" spans="1:5" x14ac:dyDescent="0.2">
      <c r="A1105" s="3">
        <v>45730</v>
      </c>
      <c r="B1105" t="s">
        <v>1</v>
      </c>
      <c r="C1105">
        <v>1</v>
      </c>
      <c r="D1105" t="str">
        <f>_xlfn.XLOOKUP(RW_DT_PRODUCTION[[#This Row],[MATERIAL_ID]],DIM_MATERIAL[MATERIAL_ID],DIM_MATERIAL[UOM_AFTER_PROCESS])</f>
        <v>BALE</v>
      </c>
      <c r="E1105">
        <v>82</v>
      </c>
    </row>
    <row r="1106" spans="1:5" x14ac:dyDescent="0.2">
      <c r="A1106" s="3">
        <v>45730</v>
      </c>
      <c r="B1106" t="s">
        <v>1</v>
      </c>
      <c r="C1106">
        <v>1</v>
      </c>
      <c r="D1106" t="str">
        <f>_xlfn.XLOOKUP(RW_DT_PRODUCTION[[#This Row],[MATERIAL_ID]],DIM_MATERIAL[MATERIAL_ID],DIM_MATERIAL[UOM_AFTER_PROCESS])</f>
        <v>BALE</v>
      </c>
      <c r="E1106">
        <v>77</v>
      </c>
    </row>
    <row r="1107" spans="1:5" x14ac:dyDescent="0.2">
      <c r="A1107" s="3">
        <v>45730</v>
      </c>
      <c r="B1107" t="s">
        <v>1</v>
      </c>
      <c r="C1107">
        <v>1</v>
      </c>
      <c r="D1107" t="str">
        <f>_xlfn.XLOOKUP(RW_DT_PRODUCTION[[#This Row],[MATERIAL_ID]],DIM_MATERIAL[MATERIAL_ID],DIM_MATERIAL[UOM_AFTER_PROCESS])</f>
        <v>BALE</v>
      </c>
      <c r="E1107">
        <v>60</v>
      </c>
    </row>
    <row r="1108" spans="1:5" x14ac:dyDescent="0.2">
      <c r="A1108" s="3">
        <v>45733</v>
      </c>
      <c r="B1108" t="s">
        <v>1</v>
      </c>
      <c r="C1108">
        <v>1</v>
      </c>
      <c r="D1108" t="str">
        <f>_xlfn.XLOOKUP(RW_DT_PRODUCTION[[#This Row],[MATERIAL_ID]],DIM_MATERIAL[MATERIAL_ID],DIM_MATERIAL[UOM_AFTER_PROCESS])</f>
        <v>BALE</v>
      </c>
      <c r="E1108">
        <v>70</v>
      </c>
    </row>
    <row r="1109" spans="1:5" x14ac:dyDescent="0.2">
      <c r="A1109" s="3">
        <v>45733</v>
      </c>
      <c r="B1109" t="s">
        <v>1</v>
      </c>
      <c r="C1109">
        <v>1</v>
      </c>
      <c r="D1109" t="str">
        <f>_xlfn.XLOOKUP(RW_DT_PRODUCTION[[#This Row],[MATERIAL_ID]],DIM_MATERIAL[MATERIAL_ID],DIM_MATERIAL[UOM_AFTER_PROCESS])</f>
        <v>BALE</v>
      </c>
      <c r="E1109">
        <v>65</v>
      </c>
    </row>
    <row r="1110" spans="1:5" x14ac:dyDescent="0.2">
      <c r="A1110" s="3">
        <v>45733</v>
      </c>
      <c r="B1110" t="s">
        <v>1</v>
      </c>
      <c r="C1110">
        <v>1</v>
      </c>
      <c r="D1110" t="str">
        <f>_xlfn.XLOOKUP(RW_DT_PRODUCTION[[#This Row],[MATERIAL_ID]],DIM_MATERIAL[MATERIAL_ID],DIM_MATERIAL[UOM_AFTER_PROCESS])</f>
        <v>BALE</v>
      </c>
      <c r="E1110">
        <v>88</v>
      </c>
    </row>
    <row r="1111" spans="1:5" x14ac:dyDescent="0.2">
      <c r="A1111" s="3">
        <v>45733</v>
      </c>
      <c r="B1111" t="s">
        <v>1</v>
      </c>
      <c r="C1111">
        <v>1</v>
      </c>
      <c r="D1111" t="str">
        <f>_xlfn.XLOOKUP(RW_DT_PRODUCTION[[#This Row],[MATERIAL_ID]],DIM_MATERIAL[MATERIAL_ID],DIM_MATERIAL[UOM_AFTER_PROCESS])</f>
        <v>BALE</v>
      </c>
      <c r="E1111">
        <v>64</v>
      </c>
    </row>
    <row r="1112" spans="1:5" x14ac:dyDescent="0.2">
      <c r="A1112" s="3">
        <v>45733</v>
      </c>
      <c r="B1112" t="s">
        <v>1</v>
      </c>
      <c r="C1112">
        <v>1</v>
      </c>
      <c r="D1112" t="str">
        <f>_xlfn.XLOOKUP(RW_DT_PRODUCTION[[#This Row],[MATERIAL_ID]],DIM_MATERIAL[MATERIAL_ID],DIM_MATERIAL[UOM_AFTER_PROCESS])</f>
        <v>BALE</v>
      </c>
      <c r="E1112">
        <v>80</v>
      </c>
    </row>
    <row r="1113" spans="1:5" x14ac:dyDescent="0.2">
      <c r="A1113" s="3">
        <v>45733</v>
      </c>
      <c r="B1113" t="s">
        <v>1</v>
      </c>
      <c r="C1113">
        <v>1</v>
      </c>
      <c r="D1113" t="str">
        <f>_xlfn.XLOOKUP(RW_DT_PRODUCTION[[#This Row],[MATERIAL_ID]],DIM_MATERIAL[MATERIAL_ID],DIM_MATERIAL[UOM_AFTER_PROCESS])</f>
        <v>BALE</v>
      </c>
      <c r="E1113">
        <v>82</v>
      </c>
    </row>
    <row r="1114" spans="1:5" x14ac:dyDescent="0.2">
      <c r="A1114" s="3">
        <v>45733</v>
      </c>
      <c r="B1114" t="s">
        <v>1</v>
      </c>
      <c r="C1114">
        <v>1</v>
      </c>
      <c r="D1114" t="str">
        <f>_xlfn.XLOOKUP(RW_DT_PRODUCTION[[#This Row],[MATERIAL_ID]],DIM_MATERIAL[MATERIAL_ID],DIM_MATERIAL[UOM_AFTER_PROCESS])</f>
        <v>BALE</v>
      </c>
      <c r="E1114">
        <v>67</v>
      </c>
    </row>
    <row r="1115" spans="1:5" x14ac:dyDescent="0.2">
      <c r="A1115" s="3">
        <v>45733</v>
      </c>
      <c r="B1115" t="s">
        <v>1</v>
      </c>
      <c r="C1115">
        <v>1</v>
      </c>
      <c r="D1115" t="str">
        <f>_xlfn.XLOOKUP(RW_DT_PRODUCTION[[#This Row],[MATERIAL_ID]],DIM_MATERIAL[MATERIAL_ID],DIM_MATERIAL[UOM_AFTER_PROCESS])</f>
        <v>BALE</v>
      </c>
      <c r="E1115">
        <v>73</v>
      </c>
    </row>
    <row r="1116" spans="1:5" x14ac:dyDescent="0.2">
      <c r="A1116" s="3">
        <v>45733</v>
      </c>
      <c r="B1116" t="s">
        <v>1</v>
      </c>
      <c r="C1116">
        <v>1</v>
      </c>
      <c r="D1116" t="str">
        <f>_xlfn.XLOOKUP(RW_DT_PRODUCTION[[#This Row],[MATERIAL_ID]],DIM_MATERIAL[MATERIAL_ID],DIM_MATERIAL[UOM_AFTER_PROCESS])</f>
        <v>BALE</v>
      </c>
      <c r="E1116">
        <v>63</v>
      </c>
    </row>
    <row r="1117" spans="1:5" x14ac:dyDescent="0.2">
      <c r="A1117" s="3">
        <v>45733</v>
      </c>
      <c r="B1117" t="s">
        <v>1</v>
      </c>
      <c r="C1117">
        <v>1</v>
      </c>
      <c r="D1117" t="str">
        <f>_xlfn.XLOOKUP(RW_DT_PRODUCTION[[#This Row],[MATERIAL_ID]],DIM_MATERIAL[MATERIAL_ID],DIM_MATERIAL[UOM_AFTER_PROCESS])</f>
        <v>BALE</v>
      </c>
      <c r="E1117">
        <v>80</v>
      </c>
    </row>
    <row r="1118" spans="1:5" x14ac:dyDescent="0.2">
      <c r="A1118" s="3">
        <v>45733</v>
      </c>
      <c r="B1118" t="s">
        <v>2</v>
      </c>
      <c r="C1118">
        <v>1</v>
      </c>
      <c r="D1118" t="str">
        <f>_xlfn.XLOOKUP(RW_DT_PRODUCTION[[#This Row],[MATERIAL_ID]],DIM_MATERIAL[MATERIAL_ID],DIM_MATERIAL[UOM_AFTER_PROCESS])</f>
        <v>BAG</v>
      </c>
      <c r="E1118">
        <v>22</v>
      </c>
    </row>
    <row r="1119" spans="1:5" x14ac:dyDescent="0.2">
      <c r="A1119" s="3">
        <v>45734</v>
      </c>
      <c r="B1119" t="s">
        <v>1</v>
      </c>
      <c r="C1119">
        <v>1</v>
      </c>
      <c r="D1119" t="str">
        <f>_xlfn.XLOOKUP(RW_DT_PRODUCTION[[#This Row],[MATERIAL_ID]],DIM_MATERIAL[MATERIAL_ID],DIM_MATERIAL[UOM_AFTER_PROCESS])</f>
        <v>BALE</v>
      </c>
      <c r="E1119">
        <v>67</v>
      </c>
    </row>
    <row r="1120" spans="1:5" x14ac:dyDescent="0.2">
      <c r="A1120" s="3">
        <v>45734</v>
      </c>
      <c r="B1120" t="s">
        <v>1</v>
      </c>
      <c r="C1120">
        <v>1</v>
      </c>
      <c r="D1120" t="str">
        <f>_xlfn.XLOOKUP(RW_DT_PRODUCTION[[#This Row],[MATERIAL_ID]],DIM_MATERIAL[MATERIAL_ID],DIM_MATERIAL[UOM_AFTER_PROCESS])</f>
        <v>BALE</v>
      </c>
      <c r="E1120">
        <v>82</v>
      </c>
    </row>
    <row r="1121" spans="1:5" x14ac:dyDescent="0.2">
      <c r="A1121" s="3">
        <v>45734</v>
      </c>
      <c r="B1121" t="s">
        <v>1</v>
      </c>
      <c r="C1121">
        <v>1</v>
      </c>
      <c r="D1121" t="str">
        <f>_xlfn.XLOOKUP(RW_DT_PRODUCTION[[#This Row],[MATERIAL_ID]],DIM_MATERIAL[MATERIAL_ID],DIM_MATERIAL[UOM_AFTER_PROCESS])</f>
        <v>BALE</v>
      </c>
      <c r="E1121">
        <v>68</v>
      </c>
    </row>
    <row r="1122" spans="1:5" x14ac:dyDescent="0.2">
      <c r="A1122" s="3">
        <v>45734</v>
      </c>
      <c r="B1122" t="s">
        <v>1</v>
      </c>
      <c r="C1122">
        <v>1</v>
      </c>
      <c r="D1122" t="str">
        <f>_xlfn.XLOOKUP(RW_DT_PRODUCTION[[#This Row],[MATERIAL_ID]],DIM_MATERIAL[MATERIAL_ID],DIM_MATERIAL[UOM_AFTER_PROCESS])</f>
        <v>BALE</v>
      </c>
      <c r="E1122">
        <v>64</v>
      </c>
    </row>
    <row r="1123" spans="1:5" x14ac:dyDescent="0.2">
      <c r="A1123" s="3">
        <v>45734</v>
      </c>
      <c r="B1123" t="s">
        <v>1</v>
      </c>
      <c r="C1123">
        <v>1</v>
      </c>
      <c r="D1123" t="str">
        <f>_xlfn.XLOOKUP(RW_DT_PRODUCTION[[#This Row],[MATERIAL_ID]],DIM_MATERIAL[MATERIAL_ID],DIM_MATERIAL[UOM_AFTER_PROCESS])</f>
        <v>BALE</v>
      </c>
      <c r="E1123">
        <v>67</v>
      </c>
    </row>
    <row r="1124" spans="1:5" x14ac:dyDescent="0.2">
      <c r="A1124" s="3">
        <v>45734</v>
      </c>
      <c r="B1124" t="s">
        <v>1</v>
      </c>
      <c r="C1124">
        <v>1</v>
      </c>
      <c r="D1124" t="str">
        <f>_xlfn.XLOOKUP(RW_DT_PRODUCTION[[#This Row],[MATERIAL_ID]],DIM_MATERIAL[MATERIAL_ID],DIM_MATERIAL[UOM_AFTER_PROCESS])</f>
        <v>BALE</v>
      </c>
      <c r="E1124">
        <v>89</v>
      </c>
    </row>
    <row r="1125" spans="1:5" x14ac:dyDescent="0.2">
      <c r="A1125" s="3">
        <v>45734</v>
      </c>
      <c r="B1125" t="s">
        <v>1</v>
      </c>
      <c r="C1125">
        <v>1</v>
      </c>
      <c r="D1125" t="str">
        <f>_xlfn.XLOOKUP(RW_DT_PRODUCTION[[#This Row],[MATERIAL_ID]],DIM_MATERIAL[MATERIAL_ID],DIM_MATERIAL[UOM_AFTER_PROCESS])</f>
        <v>BALE</v>
      </c>
      <c r="E1125">
        <v>76</v>
      </c>
    </row>
    <row r="1126" spans="1:5" x14ac:dyDescent="0.2">
      <c r="A1126" s="3">
        <v>45734</v>
      </c>
      <c r="B1126" t="s">
        <v>1</v>
      </c>
      <c r="C1126">
        <v>1</v>
      </c>
      <c r="D1126" t="str">
        <f>_xlfn.XLOOKUP(RW_DT_PRODUCTION[[#This Row],[MATERIAL_ID]],DIM_MATERIAL[MATERIAL_ID],DIM_MATERIAL[UOM_AFTER_PROCESS])</f>
        <v>BALE</v>
      </c>
      <c r="E1126">
        <v>74</v>
      </c>
    </row>
    <row r="1127" spans="1:5" x14ac:dyDescent="0.2">
      <c r="A1127" s="3">
        <v>45735</v>
      </c>
      <c r="B1127" t="s">
        <v>1</v>
      </c>
      <c r="C1127">
        <v>1</v>
      </c>
      <c r="D1127" t="str">
        <f>_xlfn.XLOOKUP(RW_DT_PRODUCTION[[#This Row],[MATERIAL_ID]],DIM_MATERIAL[MATERIAL_ID],DIM_MATERIAL[UOM_AFTER_PROCESS])</f>
        <v>BALE</v>
      </c>
      <c r="E1127">
        <v>68</v>
      </c>
    </row>
    <row r="1128" spans="1:5" x14ac:dyDescent="0.2">
      <c r="A1128" s="3">
        <v>45735</v>
      </c>
      <c r="B1128" t="s">
        <v>1</v>
      </c>
      <c r="C1128">
        <v>1</v>
      </c>
      <c r="D1128" t="str">
        <f>_xlfn.XLOOKUP(RW_DT_PRODUCTION[[#This Row],[MATERIAL_ID]],DIM_MATERIAL[MATERIAL_ID],DIM_MATERIAL[UOM_AFTER_PROCESS])</f>
        <v>BALE</v>
      </c>
      <c r="E1128">
        <v>75</v>
      </c>
    </row>
    <row r="1129" spans="1:5" x14ac:dyDescent="0.2">
      <c r="A1129" s="3">
        <v>45735</v>
      </c>
      <c r="B1129" t="s">
        <v>1</v>
      </c>
      <c r="C1129">
        <v>1</v>
      </c>
      <c r="D1129" t="str">
        <f>_xlfn.XLOOKUP(RW_DT_PRODUCTION[[#This Row],[MATERIAL_ID]],DIM_MATERIAL[MATERIAL_ID],DIM_MATERIAL[UOM_AFTER_PROCESS])</f>
        <v>BALE</v>
      </c>
      <c r="E1129">
        <v>82</v>
      </c>
    </row>
    <row r="1130" spans="1:5" x14ac:dyDescent="0.2">
      <c r="A1130" s="3">
        <v>45735</v>
      </c>
      <c r="B1130" t="s">
        <v>1</v>
      </c>
      <c r="C1130">
        <v>1</v>
      </c>
      <c r="D1130" t="str">
        <f>_xlfn.XLOOKUP(RW_DT_PRODUCTION[[#This Row],[MATERIAL_ID]],DIM_MATERIAL[MATERIAL_ID],DIM_MATERIAL[UOM_AFTER_PROCESS])</f>
        <v>BALE</v>
      </c>
      <c r="E1130">
        <v>71</v>
      </c>
    </row>
    <row r="1131" spans="1:5" x14ac:dyDescent="0.2">
      <c r="A1131" s="3">
        <v>45735</v>
      </c>
      <c r="B1131" t="s">
        <v>1</v>
      </c>
      <c r="C1131">
        <v>1</v>
      </c>
      <c r="D1131" t="str">
        <f>_xlfn.XLOOKUP(RW_DT_PRODUCTION[[#This Row],[MATERIAL_ID]],DIM_MATERIAL[MATERIAL_ID],DIM_MATERIAL[UOM_AFTER_PROCESS])</f>
        <v>BALE</v>
      </c>
      <c r="E1131">
        <v>87</v>
      </c>
    </row>
    <row r="1132" spans="1:5" x14ac:dyDescent="0.2">
      <c r="A1132" s="3">
        <v>45735</v>
      </c>
      <c r="B1132" t="s">
        <v>1</v>
      </c>
      <c r="C1132">
        <v>1</v>
      </c>
      <c r="D1132" t="str">
        <f>_xlfn.XLOOKUP(RW_DT_PRODUCTION[[#This Row],[MATERIAL_ID]],DIM_MATERIAL[MATERIAL_ID],DIM_MATERIAL[UOM_AFTER_PROCESS])</f>
        <v>BALE</v>
      </c>
      <c r="E1132">
        <v>87</v>
      </c>
    </row>
    <row r="1133" spans="1:5" x14ac:dyDescent="0.2">
      <c r="A1133" s="3">
        <v>45736</v>
      </c>
      <c r="B1133" t="s">
        <v>1</v>
      </c>
      <c r="C1133">
        <v>1</v>
      </c>
      <c r="D1133" t="str">
        <f>_xlfn.XLOOKUP(RW_DT_PRODUCTION[[#This Row],[MATERIAL_ID]],DIM_MATERIAL[MATERIAL_ID],DIM_MATERIAL[UOM_AFTER_PROCESS])</f>
        <v>BALE</v>
      </c>
      <c r="E1133">
        <v>66</v>
      </c>
    </row>
    <row r="1134" spans="1:5" x14ac:dyDescent="0.2">
      <c r="A1134" s="3">
        <v>45736</v>
      </c>
      <c r="B1134" t="s">
        <v>1</v>
      </c>
      <c r="C1134">
        <v>1</v>
      </c>
      <c r="D1134" t="str">
        <f>_xlfn.XLOOKUP(RW_DT_PRODUCTION[[#This Row],[MATERIAL_ID]],DIM_MATERIAL[MATERIAL_ID],DIM_MATERIAL[UOM_AFTER_PROCESS])</f>
        <v>BALE</v>
      </c>
      <c r="E1134">
        <v>61</v>
      </c>
    </row>
    <row r="1135" spans="1:5" x14ac:dyDescent="0.2">
      <c r="A1135" s="3">
        <v>45736</v>
      </c>
      <c r="B1135" t="s">
        <v>1</v>
      </c>
      <c r="C1135">
        <v>1</v>
      </c>
      <c r="D1135" t="str">
        <f>_xlfn.XLOOKUP(RW_DT_PRODUCTION[[#This Row],[MATERIAL_ID]],DIM_MATERIAL[MATERIAL_ID],DIM_MATERIAL[UOM_AFTER_PROCESS])</f>
        <v>BALE</v>
      </c>
      <c r="E1135">
        <v>70</v>
      </c>
    </row>
    <row r="1136" spans="1:5" x14ac:dyDescent="0.2">
      <c r="A1136" s="3">
        <v>45736</v>
      </c>
      <c r="B1136" t="s">
        <v>1</v>
      </c>
      <c r="C1136">
        <v>1</v>
      </c>
      <c r="D1136" t="str">
        <f>_xlfn.XLOOKUP(RW_DT_PRODUCTION[[#This Row],[MATERIAL_ID]],DIM_MATERIAL[MATERIAL_ID],DIM_MATERIAL[UOM_AFTER_PROCESS])</f>
        <v>BALE</v>
      </c>
      <c r="E1136">
        <v>71</v>
      </c>
    </row>
    <row r="1137" spans="1:5" x14ac:dyDescent="0.2">
      <c r="A1137" s="3">
        <v>45736</v>
      </c>
      <c r="B1137" t="s">
        <v>1</v>
      </c>
      <c r="C1137">
        <v>1</v>
      </c>
      <c r="D1137" t="str">
        <f>_xlfn.XLOOKUP(RW_DT_PRODUCTION[[#This Row],[MATERIAL_ID]],DIM_MATERIAL[MATERIAL_ID],DIM_MATERIAL[UOM_AFTER_PROCESS])</f>
        <v>BALE</v>
      </c>
      <c r="E1137">
        <v>84</v>
      </c>
    </row>
    <row r="1138" spans="1:5" x14ac:dyDescent="0.2">
      <c r="A1138" s="3">
        <v>45736</v>
      </c>
      <c r="B1138" t="s">
        <v>1</v>
      </c>
      <c r="C1138">
        <v>1</v>
      </c>
      <c r="D1138" t="str">
        <f>_xlfn.XLOOKUP(RW_DT_PRODUCTION[[#This Row],[MATERIAL_ID]],DIM_MATERIAL[MATERIAL_ID],DIM_MATERIAL[UOM_AFTER_PROCESS])</f>
        <v>BALE</v>
      </c>
      <c r="E1138">
        <v>67</v>
      </c>
    </row>
    <row r="1139" spans="1:5" x14ac:dyDescent="0.2">
      <c r="A1139" s="3">
        <v>45736</v>
      </c>
      <c r="B1139" t="s">
        <v>1</v>
      </c>
      <c r="C1139">
        <v>1</v>
      </c>
      <c r="D1139" t="str">
        <f>_xlfn.XLOOKUP(RW_DT_PRODUCTION[[#This Row],[MATERIAL_ID]],DIM_MATERIAL[MATERIAL_ID],DIM_MATERIAL[UOM_AFTER_PROCESS])</f>
        <v>BALE</v>
      </c>
      <c r="E1139">
        <v>65</v>
      </c>
    </row>
    <row r="1140" spans="1:5" x14ac:dyDescent="0.2">
      <c r="A1140" s="3">
        <v>45736</v>
      </c>
      <c r="B1140" t="s">
        <v>1</v>
      </c>
      <c r="C1140">
        <v>1</v>
      </c>
      <c r="D1140" t="str">
        <f>_xlfn.XLOOKUP(RW_DT_PRODUCTION[[#This Row],[MATERIAL_ID]],DIM_MATERIAL[MATERIAL_ID],DIM_MATERIAL[UOM_AFTER_PROCESS])</f>
        <v>BALE</v>
      </c>
      <c r="E1140">
        <v>63</v>
      </c>
    </row>
    <row r="1141" spans="1:5" x14ac:dyDescent="0.2">
      <c r="A1141" s="3">
        <v>45736</v>
      </c>
      <c r="B1141" t="s">
        <v>1</v>
      </c>
      <c r="C1141">
        <v>1</v>
      </c>
      <c r="D1141" t="str">
        <f>_xlfn.XLOOKUP(RW_DT_PRODUCTION[[#This Row],[MATERIAL_ID]],DIM_MATERIAL[MATERIAL_ID],DIM_MATERIAL[UOM_AFTER_PROCESS])</f>
        <v>BALE</v>
      </c>
      <c r="E1141">
        <v>63</v>
      </c>
    </row>
    <row r="1142" spans="1:5" x14ac:dyDescent="0.2">
      <c r="A1142" s="3">
        <v>45736</v>
      </c>
      <c r="B1142" t="s">
        <v>1</v>
      </c>
      <c r="C1142">
        <v>1</v>
      </c>
      <c r="D1142" t="str">
        <f>_xlfn.XLOOKUP(RW_DT_PRODUCTION[[#This Row],[MATERIAL_ID]],DIM_MATERIAL[MATERIAL_ID],DIM_MATERIAL[UOM_AFTER_PROCESS])</f>
        <v>BALE</v>
      </c>
      <c r="E1142">
        <v>64</v>
      </c>
    </row>
    <row r="1143" spans="1:5" x14ac:dyDescent="0.2">
      <c r="A1143" s="3">
        <v>45736</v>
      </c>
      <c r="B1143" t="s">
        <v>1</v>
      </c>
      <c r="C1143">
        <v>1</v>
      </c>
      <c r="D1143" t="str">
        <f>_xlfn.XLOOKUP(RW_DT_PRODUCTION[[#This Row],[MATERIAL_ID]],DIM_MATERIAL[MATERIAL_ID],DIM_MATERIAL[UOM_AFTER_PROCESS])</f>
        <v>BALE</v>
      </c>
      <c r="E1143">
        <v>73</v>
      </c>
    </row>
    <row r="1144" spans="1:5" x14ac:dyDescent="0.2">
      <c r="A1144" s="3">
        <v>45736</v>
      </c>
      <c r="B1144" t="s">
        <v>2</v>
      </c>
      <c r="C1144">
        <v>1</v>
      </c>
      <c r="D1144" t="str">
        <f>_xlfn.XLOOKUP(RW_DT_PRODUCTION[[#This Row],[MATERIAL_ID]],DIM_MATERIAL[MATERIAL_ID],DIM_MATERIAL[UOM_AFTER_PROCESS])</f>
        <v>BAG</v>
      </c>
      <c r="E1144">
        <v>22</v>
      </c>
    </row>
    <row r="1145" spans="1:5" x14ac:dyDescent="0.2">
      <c r="A1145" s="3">
        <v>45736</v>
      </c>
      <c r="B1145" t="s">
        <v>2</v>
      </c>
      <c r="C1145">
        <v>1</v>
      </c>
      <c r="D1145" t="str">
        <f>_xlfn.XLOOKUP(RW_DT_PRODUCTION[[#This Row],[MATERIAL_ID]],DIM_MATERIAL[MATERIAL_ID],DIM_MATERIAL[UOM_AFTER_PROCESS])</f>
        <v>BAG</v>
      </c>
      <c r="E1145">
        <v>22</v>
      </c>
    </row>
    <row r="1146" spans="1:5" x14ac:dyDescent="0.2">
      <c r="A1146" s="3">
        <v>45737</v>
      </c>
      <c r="B1146" t="s">
        <v>1</v>
      </c>
      <c r="C1146">
        <v>1</v>
      </c>
      <c r="D1146" t="str">
        <f>_xlfn.XLOOKUP(RW_DT_PRODUCTION[[#This Row],[MATERIAL_ID]],DIM_MATERIAL[MATERIAL_ID],DIM_MATERIAL[UOM_AFTER_PROCESS])</f>
        <v>BALE</v>
      </c>
      <c r="E1146">
        <v>82</v>
      </c>
    </row>
    <row r="1147" spans="1:5" x14ac:dyDescent="0.2">
      <c r="A1147" s="3">
        <v>45737</v>
      </c>
      <c r="B1147" t="s">
        <v>1</v>
      </c>
      <c r="C1147">
        <v>1</v>
      </c>
      <c r="D1147" t="str">
        <f>_xlfn.XLOOKUP(RW_DT_PRODUCTION[[#This Row],[MATERIAL_ID]],DIM_MATERIAL[MATERIAL_ID],DIM_MATERIAL[UOM_AFTER_PROCESS])</f>
        <v>BALE</v>
      </c>
      <c r="E1147">
        <v>73</v>
      </c>
    </row>
    <row r="1148" spans="1:5" x14ac:dyDescent="0.2">
      <c r="A1148" s="3">
        <v>45737</v>
      </c>
      <c r="B1148" t="s">
        <v>1</v>
      </c>
      <c r="C1148">
        <v>1</v>
      </c>
      <c r="D1148" t="str">
        <f>_xlfn.XLOOKUP(RW_DT_PRODUCTION[[#This Row],[MATERIAL_ID]],DIM_MATERIAL[MATERIAL_ID],DIM_MATERIAL[UOM_AFTER_PROCESS])</f>
        <v>BALE</v>
      </c>
      <c r="E1148">
        <v>86</v>
      </c>
    </row>
    <row r="1149" spans="1:5" x14ac:dyDescent="0.2">
      <c r="A1149" s="3">
        <v>45737</v>
      </c>
      <c r="B1149" t="s">
        <v>1</v>
      </c>
      <c r="C1149">
        <v>1</v>
      </c>
      <c r="D1149" t="str">
        <f>_xlfn.XLOOKUP(RW_DT_PRODUCTION[[#This Row],[MATERIAL_ID]],DIM_MATERIAL[MATERIAL_ID],DIM_MATERIAL[UOM_AFTER_PROCESS])</f>
        <v>BALE</v>
      </c>
      <c r="E1149">
        <v>71</v>
      </c>
    </row>
    <row r="1150" spans="1:5" x14ac:dyDescent="0.2">
      <c r="A1150" s="3">
        <v>45737</v>
      </c>
      <c r="B1150" t="s">
        <v>1</v>
      </c>
      <c r="C1150">
        <v>1</v>
      </c>
      <c r="D1150" t="str">
        <f>_xlfn.XLOOKUP(RW_DT_PRODUCTION[[#This Row],[MATERIAL_ID]],DIM_MATERIAL[MATERIAL_ID],DIM_MATERIAL[UOM_AFTER_PROCESS])</f>
        <v>BALE</v>
      </c>
      <c r="E1150">
        <v>71</v>
      </c>
    </row>
    <row r="1151" spans="1:5" x14ac:dyDescent="0.2">
      <c r="A1151" s="3">
        <v>45737</v>
      </c>
      <c r="B1151" t="s">
        <v>1</v>
      </c>
      <c r="C1151">
        <v>1</v>
      </c>
      <c r="D1151" t="str">
        <f>_xlfn.XLOOKUP(RW_DT_PRODUCTION[[#This Row],[MATERIAL_ID]],DIM_MATERIAL[MATERIAL_ID],DIM_MATERIAL[UOM_AFTER_PROCESS])</f>
        <v>BALE</v>
      </c>
      <c r="E1151">
        <v>72</v>
      </c>
    </row>
    <row r="1152" spans="1:5" x14ac:dyDescent="0.2">
      <c r="A1152" s="3">
        <v>45737</v>
      </c>
      <c r="B1152" t="s">
        <v>1</v>
      </c>
      <c r="C1152">
        <v>1</v>
      </c>
      <c r="D1152" t="str">
        <f>_xlfn.XLOOKUP(RW_DT_PRODUCTION[[#This Row],[MATERIAL_ID]],DIM_MATERIAL[MATERIAL_ID],DIM_MATERIAL[UOM_AFTER_PROCESS])</f>
        <v>BALE</v>
      </c>
      <c r="E1152">
        <v>84</v>
      </c>
    </row>
    <row r="1153" spans="1:5" x14ac:dyDescent="0.2">
      <c r="A1153" s="3">
        <v>45737</v>
      </c>
      <c r="B1153" t="s">
        <v>1</v>
      </c>
      <c r="C1153">
        <v>1</v>
      </c>
      <c r="D1153" t="str">
        <f>_xlfn.XLOOKUP(RW_DT_PRODUCTION[[#This Row],[MATERIAL_ID]],DIM_MATERIAL[MATERIAL_ID],DIM_MATERIAL[UOM_AFTER_PROCESS])</f>
        <v>BALE</v>
      </c>
      <c r="E1153">
        <v>88</v>
      </c>
    </row>
    <row r="1154" spans="1:5" x14ac:dyDescent="0.2">
      <c r="A1154" s="3">
        <v>45737</v>
      </c>
      <c r="B1154" t="s">
        <v>1</v>
      </c>
      <c r="C1154">
        <v>1</v>
      </c>
      <c r="D1154" t="str">
        <f>_xlfn.XLOOKUP(RW_DT_PRODUCTION[[#This Row],[MATERIAL_ID]],DIM_MATERIAL[MATERIAL_ID],DIM_MATERIAL[UOM_AFTER_PROCESS])</f>
        <v>BALE</v>
      </c>
      <c r="E1154">
        <v>73</v>
      </c>
    </row>
    <row r="1155" spans="1:5" x14ac:dyDescent="0.2">
      <c r="A1155" s="3">
        <v>45737</v>
      </c>
      <c r="B1155" t="s">
        <v>2</v>
      </c>
      <c r="C1155">
        <v>1</v>
      </c>
      <c r="D1155" t="str">
        <f>_xlfn.XLOOKUP(RW_DT_PRODUCTION[[#This Row],[MATERIAL_ID]],DIM_MATERIAL[MATERIAL_ID],DIM_MATERIAL[UOM_AFTER_PROCESS])</f>
        <v>BAG</v>
      </c>
      <c r="E1155">
        <v>22</v>
      </c>
    </row>
    <row r="1156" spans="1:5" x14ac:dyDescent="0.2">
      <c r="A1156" s="3">
        <v>45740</v>
      </c>
      <c r="B1156" t="s">
        <v>1</v>
      </c>
      <c r="C1156">
        <v>1</v>
      </c>
      <c r="D1156" t="str">
        <f>_xlfn.XLOOKUP(RW_DT_PRODUCTION[[#This Row],[MATERIAL_ID]],DIM_MATERIAL[MATERIAL_ID],DIM_MATERIAL[UOM_AFTER_PROCESS])</f>
        <v>BALE</v>
      </c>
      <c r="E1156">
        <v>85</v>
      </c>
    </row>
    <row r="1157" spans="1:5" x14ac:dyDescent="0.2">
      <c r="A1157" s="3">
        <v>45740</v>
      </c>
      <c r="B1157" t="s">
        <v>1</v>
      </c>
      <c r="C1157">
        <v>1</v>
      </c>
      <c r="D1157" t="str">
        <f>_xlfn.XLOOKUP(RW_DT_PRODUCTION[[#This Row],[MATERIAL_ID]],DIM_MATERIAL[MATERIAL_ID],DIM_MATERIAL[UOM_AFTER_PROCESS])</f>
        <v>BALE</v>
      </c>
      <c r="E1157">
        <v>63</v>
      </c>
    </row>
    <row r="1158" spans="1:5" x14ac:dyDescent="0.2">
      <c r="A1158" s="3">
        <v>45740</v>
      </c>
      <c r="B1158" t="s">
        <v>1</v>
      </c>
      <c r="C1158">
        <v>1</v>
      </c>
      <c r="D1158" t="str">
        <f>_xlfn.XLOOKUP(RW_DT_PRODUCTION[[#This Row],[MATERIAL_ID]],DIM_MATERIAL[MATERIAL_ID],DIM_MATERIAL[UOM_AFTER_PROCESS])</f>
        <v>BALE</v>
      </c>
      <c r="E1158">
        <v>77</v>
      </c>
    </row>
    <row r="1159" spans="1:5" x14ac:dyDescent="0.2">
      <c r="A1159" s="3">
        <v>45740</v>
      </c>
      <c r="B1159" t="s">
        <v>1</v>
      </c>
      <c r="C1159">
        <v>1</v>
      </c>
      <c r="D1159" t="str">
        <f>_xlfn.XLOOKUP(RW_DT_PRODUCTION[[#This Row],[MATERIAL_ID]],DIM_MATERIAL[MATERIAL_ID],DIM_MATERIAL[UOM_AFTER_PROCESS])</f>
        <v>BALE</v>
      </c>
      <c r="E1159">
        <v>89</v>
      </c>
    </row>
    <row r="1160" spans="1:5" x14ac:dyDescent="0.2">
      <c r="A1160" s="3">
        <v>45741</v>
      </c>
      <c r="B1160" t="s">
        <v>1</v>
      </c>
      <c r="C1160">
        <v>1</v>
      </c>
      <c r="D1160" t="str">
        <f>_xlfn.XLOOKUP(RW_DT_PRODUCTION[[#This Row],[MATERIAL_ID]],DIM_MATERIAL[MATERIAL_ID],DIM_MATERIAL[UOM_AFTER_PROCESS])</f>
        <v>BALE</v>
      </c>
      <c r="E1160">
        <v>76</v>
      </c>
    </row>
    <row r="1161" spans="1:5" x14ac:dyDescent="0.2">
      <c r="A1161" s="3">
        <v>45741</v>
      </c>
      <c r="B1161" t="s">
        <v>1</v>
      </c>
      <c r="C1161">
        <v>1</v>
      </c>
      <c r="D1161" t="str">
        <f>_xlfn.XLOOKUP(RW_DT_PRODUCTION[[#This Row],[MATERIAL_ID]],DIM_MATERIAL[MATERIAL_ID],DIM_MATERIAL[UOM_AFTER_PROCESS])</f>
        <v>BALE</v>
      </c>
      <c r="E1161">
        <v>79</v>
      </c>
    </row>
    <row r="1162" spans="1:5" x14ac:dyDescent="0.2">
      <c r="A1162" s="3">
        <v>45741</v>
      </c>
      <c r="B1162" t="s">
        <v>1</v>
      </c>
      <c r="C1162">
        <v>1</v>
      </c>
      <c r="D1162" t="str">
        <f>_xlfn.XLOOKUP(RW_DT_PRODUCTION[[#This Row],[MATERIAL_ID]],DIM_MATERIAL[MATERIAL_ID],DIM_MATERIAL[UOM_AFTER_PROCESS])</f>
        <v>BALE</v>
      </c>
      <c r="E1162">
        <v>83</v>
      </c>
    </row>
    <row r="1163" spans="1:5" x14ac:dyDescent="0.2">
      <c r="A1163" s="3">
        <v>45741</v>
      </c>
      <c r="B1163" t="s">
        <v>1</v>
      </c>
      <c r="C1163">
        <v>1</v>
      </c>
      <c r="D1163" t="str">
        <f>_xlfn.XLOOKUP(RW_DT_PRODUCTION[[#This Row],[MATERIAL_ID]],DIM_MATERIAL[MATERIAL_ID],DIM_MATERIAL[UOM_AFTER_PROCESS])</f>
        <v>BALE</v>
      </c>
      <c r="E1163">
        <v>77</v>
      </c>
    </row>
    <row r="1164" spans="1:5" x14ac:dyDescent="0.2">
      <c r="A1164" s="3">
        <v>45741</v>
      </c>
      <c r="B1164" t="s">
        <v>2</v>
      </c>
      <c r="C1164">
        <v>1</v>
      </c>
      <c r="D1164" t="str">
        <f>_xlfn.XLOOKUP(RW_DT_PRODUCTION[[#This Row],[MATERIAL_ID]],DIM_MATERIAL[MATERIAL_ID],DIM_MATERIAL[UOM_AFTER_PROCESS])</f>
        <v>BAG</v>
      </c>
      <c r="E1164">
        <v>22</v>
      </c>
    </row>
    <row r="1165" spans="1:5" x14ac:dyDescent="0.2">
      <c r="A1165" s="3">
        <v>45741</v>
      </c>
      <c r="B1165" t="s">
        <v>2</v>
      </c>
      <c r="C1165">
        <v>1</v>
      </c>
      <c r="D1165" t="str">
        <f>_xlfn.XLOOKUP(RW_DT_PRODUCTION[[#This Row],[MATERIAL_ID]],DIM_MATERIAL[MATERIAL_ID],DIM_MATERIAL[UOM_AFTER_PROCESS])</f>
        <v>BAG</v>
      </c>
      <c r="E1165">
        <v>22</v>
      </c>
    </row>
    <row r="1166" spans="1:5" x14ac:dyDescent="0.2">
      <c r="A1166" s="3">
        <v>45743</v>
      </c>
      <c r="B1166" t="s">
        <v>1</v>
      </c>
      <c r="C1166">
        <v>1</v>
      </c>
      <c r="D1166" t="str">
        <f>_xlfn.XLOOKUP(RW_DT_PRODUCTION[[#This Row],[MATERIAL_ID]],DIM_MATERIAL[MATERIAL_ID],DIM_MATERIAL[UOM_AFTER_PROCESS])</f>
        <v>BALE</v>
      </c>
      <c r="E1166">
        <v>60</v>
      </c>
    </row>
    <row r="1167" spans="1:5" x14ac:dyDescent="0.2">
      <c r="A1167" s="3">
        <v>45743</v>
      </c>
      <c r="B1167" t="s">
        <v>1</v>
      </c>
      <c r="C1167">
        <v>1</v>
      </c>
      <c r="D1167" t="str">
        <f>_xlfn.XLOOKUP(RW_DT_PRODUCTION[[#This Row],[MATERIAL_ID]],DIM_MATERIAL[MATERIAL_ID],DIM_MATERIAL[UOM_AFTER_PROCESS])</f>
        <v>BALE</v>
      </c>
      <c r="E1167">
        <v>63</v>
      </c>
    </row>
    <row r="1168" spans="1:5" x14ac:dyDescent="0.2">
      <c r="A1168" s="3">
        <v>45743</v>
      </c>
      <c r="B1168" t="s">
        <v>1</v>
      </c>
      <c r="C1168">
        <v>1</v>
      </c>
      <c r="D1168" t="str">
        <f>_xlfn.XLOOKUP(RW_DT_PRODUCTION[[#This Row],[MATERIAL_ID]],DIM_MATERIAL[MATERIAL_ID],DIM_MATERIAL[UOM_AFTER_PROCESS])</f>
        <v>BALE</v>
      </c>
      <c r="E1168">
        <v>65</v>
      </c>
    </row>
    <row r="1169" spans="1:5" x14ac:dyDescent="0.2">
      <c r="A1169" s="3">
        <v>45743</v>
      </c>
      <c r="B1169" t="s">
        <v>1</v>
      </c>
      <c r="C1169">
        <v>1</v>
      </c>
      <c r="D1169" t="str">
        <f>_xlfn.XLOOKUP(RW_DT_PRODUCTION[[#This Row],[MATERIAL_ID]],DIM_MATERIAL[MATERIAL_ID],DIM_MATERIAL[UOM_AFTER_PROCESS])</f>
        <v>BALE</v>
      </c>
      <c r="E1169">
        <v>75</v>
      </c>
    </row>
    <row r="1170" spans="1:5" x14ac:dyDescent="0.2">
      <c r="A1170" s="3">
        <v>45743</v>
      </c>
      <c r="B1170" t="s">
        <v>1</v>
      </c>
      <c r="C1170">
        <v>1</v>
      </c>
      <c r="D1170" t="str">
        <f>_xlfn.XLOOKUP(RW_DT_PRODUCTION[[#This Row],[MATERIAL_ID]],DIM_MATERIAL[MATERIAL_ID],DIM_MATERIAL[UOM_AFTER_PROCESS])</f>
        <v>BALE</v>
      </c>
      <c r="E1170">
        <v>77</v>
      </c>
    </row>
    <row r="1171" spans="1:5" x14ac:dyDescent="0.2">
      <c r="A1171" s="3">
        <v>45743</v>
      </c>
      <c r="B1171" t="s">
        <v>1</v>
      </c>
      <c r="C1171">
        <v>1</v>
      </c>
      <c r="D1171" t="str">
        <f>_xlfn.XLOOKUP(RW_DT_PRODUCTION[[#This Row],[MATERIAL_ID]],DIM_MATERIAL[MATERIAL_ID],DIM_MATERIAL[UOM_AFTER_PROCESS])</f>
        <v>BALE</v>
      </c>
      <c r="E1171">
        <v>82</v>
      </c>
    </row>
    <row r="1172" spans="1:5" x14ac:dyDescent="0.2">
      <c r="A1172" s="3">
        <v>45743</v>
      </c>
      <c r="B1172" t="s">
        <v>1</v>
      </c>
      <c r="C1172">
        <v>1</v>
      </c>
      <c r="D1172" t="str">
        <f>_xlfn.XLOOKUP(RW_DT_PRODUCTION[[#This Row],[MATERIAL_ID]],DIM_MATERIAL[MATERIAL_ID],DIM_MATERIAL[UOM_AFTER_PROCESS])</f>
        <v>BALE</v>
      </c>
      <c r="E1172">
        <v>82</v>
      </c>
    </row>
    <row r="1173" spans="1:5" x14ac:dyDescent="0.2">
      <c r="A1173" s="3">
        <v>45743</v>
      </c>
      <c r="B1173" t="s">
        <v>2</v>
      </c>
      <c r="C1173">
        <v>1</v>
      </c>
      <c r="D1173" t="str">
        <f>_xlfn.XLOOKUP(RW_DT_PRODUCTION[[#This Row],[MATERIAL_ID]],DIM_MATERIAL[MATERIAL_ID],DIM_MATERIAL[UOM_AFTER_PROCESS])</f>
        <v>BAG</v>
      </c>
      <c r="E1173">
        <v>22</v>
      </c>
    </row>
    <row r="1174" spans="1:5" x14ac:dyDescent="0.2">
      <c r="A1174" s="3">
        <v>45743</v>
      </c>
      <c r="B1174" t="s">
        <v>2</v>
      </c>
      <c r="C1174">
        <v>1</v>
      </c>
      <c r="D1174" t="str">
        <f>_xlfn.XLOOKUP(RW_DT_PRODUCTION[[#This Row],[MATERIAL_ID]],DIM_MATERIAL[MATERIAL_ID],DIM_MATERIAL[UOM_AFTER_PROCESS])</f>
        <v>BAG</v>
      </c>
      <c r="E1174">
        <v>22</v>
      </c>
    </row>
    <row r="1175" spans="1:5" x14ac:dyDescent="0.2">
      <c r="A1175" s="3">
        <v>45744</v>
      </c>
      <c r="B1175" t="s">
        <v>1</v>
      </c>
      <c r="C1175">
        <v>1</v>
      </c>
      <c r="D1175" t="str">
        <f>_xlfn.XLOOKUP(RW_DT_PRODUCTION[[#This Row],[MATERIAL_ID]],DIM_MATERIAL[MATERIAL_ID],DIM_MATERIAL[UOM_AFTER_PROCESS])</f>
        <v>BALE</v>
      </c>
      <c r="E1175">
        <v>69</v>
      </c>
    </row>
    <row r="1176" spans="1:5" x14ac:dyDescent="0.2">
      <c r="A1176" s="3">
        <v>45744</v>
      </c>
      <c r="B1176" t="s">
        <v>1</v>
      </c>
      <c r="C1176">
        <v>1</v>
      </c>
      <c r="D1176" t="str">
        <f>_xlfn.XLOOKUP(RW_DT_PRODUCTION[[#This Row],[MATERIAL_ID]],DIM_MATERIAL[MATERIAL_ID],DIM_MATERIAL[UOM_AFTER_PROCESS])</f>
        <v>BALE</v>
      </c>
      <c r="E1176">
        <v>76</v>
      </c>
    </row>
    <row r="1177" spans="1:5" x14ac:dyDescent="0.2">
      <c r="A1177" s="3">
        <v>45744</v>
      </c>
      <c r="B1177" t="s">
        <v>1</v>
      </c>
      <c r="C1177">
        <v>1</v>
      </c>
      <c r="D1177" t="str">
        <f>_xlfn.XLOOKUP(RW_DT_PRODUCTION[[#This Row],[MATERIAL_ID]],DIM_MATERIAL[MATERIAL_ID],DIM_MATERIAL[UOM_AFTER_PROCESS])</f>
        <v>BALE</v>
      </c>
      <c r="E1177">
        <v>88</v>
      </c>
    </row>
    <row r="1178" spans="1:5" x14ac:dyDescent="0.2">
      <c r="A1178" s="3">
        <v>45744</v>
      </c>
      <c r="B1178" t="s">
        <v>1</v>
      </c>
      <c r="C1178">
        <v>1</v>
      </c>
      <c r="D1178" t="str">
        <f>_xlfn.XLOOKUP(RW_DT_PRODUCTION[[#This Row],[MATERIAL_ID]],DIM_MATERIAL[MATERIAL_ID],DIM_MATERIAL[UOM_AFTER_PROCESS])</f>
        <v>BALE</v>
      </c>
      <c r="E1178">
        <v>81</v>
      </c>
    </row>
    <row r="1179" spans="1:5" x14ac:dyDescent="0.2">
      <c r="A1179" s="3">
        <v>45744</v>
      </c>
      <c r="B1179" t="s">
        <v>1</v>
      </c>
      <c r="C1179">
        <v>1</v>
      </c>
      <c r="D1179" t="str">
        <f>_xlfn.XLOOKUP(RW_DT_PRODUCTION[[#This Row],[MATERIAL_ID]],DIM_MATERIAL[MATERIAL_ID],DIM_MATERIAL[UOM_AFTER_PROCESS])</f>
        <v>BALE</v>
      </c>
      <c r="E1179">
        <v>62</v>
      </c>
    </row>
    <row r="1180" spans="1:5" x14ac:dyDescent="0.2">
      <c r="A1180" s="3">
        <v>45744</v>
      </c>
      <c r="B1180" t="s">
        <v>1</v>
      </c>
      <c r="C1180">
        <v>1</v>
      </c>
      <c r="D1180" t="str">
        <f>_xlfn.XLOOKUP(RW_DT_PRODUCTION[[#This Row],[MATERIAL_ID]],DIM_MATERIAL[MATERIAL_ID],DIM_MATERIAL[UOM_AFTER_PROCESS])</f>
        <v>BALE</v>
      </c>
      <c r="E1180">
        <v>82</v>
      </c>
    </row>
    <row r="1181" spans="1:5" x14ac:dyDescent="0.2">
      <c r="A1181" s="3">
        <v>45744</v>
      </c>
      <c r="B1181" t="s">
        <v>1</v>
      </c>
      <c r="C1181">
        <v>1</v>
      </c>
      <c r="D1181" t="str">
        <f>_xlfn.XLOOKUP(RW_DT_PRODUCTION[[#This Row],[MATERIAL_ID]],DIM_MATERIAL[MATERIAL_ID],DIM_MATERIAL[UOM_AFTER_PROCESS])</f>
        <v>BALE</v>
      </c>
      <c r="E1181">
        <v>86</v>
      </c>
    </row>
    <row r="1182" spans="1:5" x14ac:dyDescent="0.2">
      <c r="A1182" s="3">
        <v>45744</v>
      </c>
      <c r="B1182" t="s">
        <v>1</v>
      </c>
      <c r="C1182">
        <v>1</v>
      </c>
      <c r="D1182" t="str">
        <f>_xlfn.XLOOKUP(RW_DT_PRODUCTION[[#This Row],[MATERIAL_ID]],DIM_MATERIAL[MATERIAL_ID],DIM_MATERIAL[UOM_AFTER_PROCESS])</f>
        <v>BALE</v>
      </c>
      <c r="E1182">
        <v>81</v>
      </c>
    </row>
    <row r="1183" spans="1:5" x14ac:dyDescent="0.2">
      <c r="A1183" s="3">
        <v>45744</v>
      </c>
      <c r="B1183" t="s">
        <v>1</v>
      </c>
      <c r="C1183">
        <v>1</v>
      </c>
      <c r="D1183" t="str">
        <f>_xlfn.XLOOKUP(RW_DT_PRODUCTION[[#This Row],[MATERIAL_ID]],DIM_MATERIAL[MATERIAL_ID],DIM_MATERIAL[UOM_AFTER_PROCESS])</f>
        <v>BALE</v>
      </c>
      <c r="E1183">
        <v>64</v>
      </c>
    </row>
    <row r="1184" spans="1:5" x14ac:dyDescent="0.2">
      <c r="A1184" s="3">
        <v>45744</v>
      </c>
      <c r="B1184" t="s">
        <v>1</v>
      </c>
      <c r="C1184">
        <v>1</v>
      </c>
      <c r="D1184" t="str">
        <f>_xlfn.XLOOKUP(RW_DT_PRODUCTION[[#This Row],[MATERIAL_ID]],DIM_MATERIAL[MATERIAL_ID],DIM_MATERIAL[UOM_AFTER_PROCESS])</f>
        <v>BALE</v>
      </c>
      <c r="E1184">
        <v>70</v>
      </c>
    </row>
    <row r="1185" spans="1:5" x14ac:dyDescent="0.2">
      <c r="A1185" s="3">
        <v>45744</v>
      </c>
      <c r="B1185" t="s">
        <v>1</v>
      </c>
      <c r="C1185">
        <v>1</v>
      </c>
      <c r="D1185" t="str">
        <f>_xlfn.XLOOKUP(RW_DT_PRODUCTION[[#This Row],[MATERIAL_ID]],DIM_MATERIAL[MATERIAL_ID],DIM_MATERIAL[UOM_AFTER_PROCESS])</f>
        <v>BALE</v>
      </c>
      <c r="E1185">
        <v>86</v>
      </c>
    </row>
    <row r="1186" spans="1:5" x14ac:dyDescent="0.2">
      <c r="A1186" s="3">
        <v>45749</v>
      </c>
      <c r="B1186" t="s">
        <v>1</v>
      </c>
      <c r="C1186">
        <v>1</v>
      </c>
      <c r="D1186" t="str">
        <f>_xlfn.XLOOKUP(RW_DT_PRODUCTION[[#This Row],[MATERIAL_ID]],DIM_MATERIAL[MATERIAL_ID],DIM_MATERIAL[UOM_AFTER_PROCESS])</f>
        <v>BALE</v>
      </c>
      <c r="E1186">
        <v>60</v>
      </c>
    </row>
    <row r="1187" spans="1:5" x14ac:dyDescent="0.2">
      <c r="A1187" s="3">
        <v>45749</v>
      </c>
      <c r="B1187" t="s">
        <v>1</v>
      </c>
      <c r="C1187">
        <v>1</v>
      </c>
      <c r="D1187" t="str">
        <f>_xlfn.XLOOKUP(RW_DT_PRODUCTION[[#This Row],[MATERIAL_ID]],DIM_MATERIAL[MATERIAL_ID],DIM_MATERIAL[UOM_AFTER_PROCESS])</f>
        <v>BALE</v>
      </c>
      <c r="E1187">
        <v>65</v>
      </c>
    </row>
    <row r="1188" spans="1:5" x14ac:dyDescent="0.2">
      <c r="A1188" s="3">
        <v>45749</v>
      </c>
      <c r="B1188" t="s">
        <v>1</v>
      </c>
      <c r="C1188">
        <v>1</v>
      </c>
      <c r="D1188" t="str">
        <f>_xlfn.XLOOKUP(RW_DT_PRODUCTION[[#This Row],[MATERIAL_ID]],DIM_MATERIAL[MATERIAL_ID],DIM_MATERIAL[UOM_AFTER_PROCESS])</f>
        <v>BALE</v>
      </c>
      <c r="E1188">
        <v>78</v>
      </c>
    </row>
    <row r="1189" spans="1:5" x14ac:dyDescent="0.2">
      <c r="A1189" s="3">
        <v>45749</v>
      </c>
      <c r="B1189" t="s">
        <v>1</v>
      </c>
      <c r="C1189">
        <v>1</v>
      </c>
      <c r="D1189" t="str">
        <f>_xlfn.XLOOKUP(RW_DT_PRODUCTION[[#This Row],[MATERIAL_ID]],DIM_MATERIAL[MATERIAL_ID],DIM_MATERIAL[UOM_AFTER_PROCESS])</f>
        <v>BALE</v>
      </c>
      <c r="E1189">
        <v>87</v>
      </c>
    </row>
    <row r="1190" spans="1:5" x14ac:dyDescent="0.2">
      <c r="A1190" s="3">
        <v>45749</v>
      </c>
      <c r="B1190" t="s">
        <v>1</v>
      </c>
      <c r="C1190">
        <v>1</v>
      </c>
      <c r="D1190" t="str">
        <f>_xlfn.XLOOKUP(RW_DT_PRODUCTION[[#This Row],[MATERIAL_ID]],DIM_MATERIAL[MATERIAL_ID],DIM_MATERIAL[UOM_AFTER_PROCESS])</f>
        <v>BALE</v>
      </c>
      <c r="E1190">
        <v>62</v>
      </c>
    </row>
    <row r="1191" spans="1:5" x14ac:dyDescent="0.2">
      <c r="A1191" s="3">
        <v>45749</v>
      </c>
      <c r="B1191" t="s">
        <v>1</v>
      </c>
      <c r="C1191">
        <v>1</v>
      </c>
      <c r="D1191" t="str">
        <f>_xlfn.XLOOKUP(RW_DT_PRODUCTION[[#This Row],[MATERIAL_ID]],DIM_MATERIAL[MATERIAL_ID],DIM_MATERIAL[UOM_AFTER_PROCESS])</f>
        <v>BALE</v>
      </c>
      <c r="E1191">
        <v>74</v>
      </c>
    </row>
    <row r="1192" spans="1:5" x14ac:dyDescent="0.2">
      <c r="A1192" s="3">
        <v>45749</v>
      </c>
      <c r="B1192" t="s">
        <v>1</v>
      </c>
      <c r="C1192">
        <v>1</v>
      </c>
      <c r="D1192" t="str">
        <f>_xlfn.XLOOKUP(RW_DT_PRODUCTION[[#This Row],[MATERIAL_ID]],DIM_MATERIAL[MATERIAL_ID],DIM_MATERIAL[UOM_AFTER_PROCESS])</f>
        <v>BALE</v>
      </c>
      <c r="E1192">
        <v>71</v>
      </c>
    </row>
    <row r="1193" spans="1:5" x14ac:dyDescent="0.2">
      <c r="A1193" s="3">
        <v>45749</v>
      </c>
      <c r="B1193" t="s">
        <v>1</v>
      </c>
      <c r="C1193">
        <v>1</v>
      </c>
      <c r="D1193" t="str">
        <f>_xlfn.XLOOKUP(RW_DT_PRODUCTION[[#This Row],[MATERIAL_ID]],DIM_MATERIAL[MATERIAL_ID],DIM_MATERIAL[UOM_AFTER_PROCESS])</f>
        <v>BALE</v>
      </c>
      <c r="E1193">
        <v>78</v>
      </c>
    </row>
    <row r="1194" spans="1:5" x14ac:dyDescent="0.2">
      <c r="A1194" s="3">
        <v>45749</v>
      </c>
      <c r="B1194" t="s">
        <v>1</v>
      </c>
      <c r="C1194">
        <v>1</v>
      </c>
      <c r="D1194" t="str">
        <f>_xlfn.XLOOKUP(RW_DT_PRODUCTION[[#This Row],[MATERIAL_ID]],DIM_MATERIAL[MATERIAL_ID],DIM_MATERIAL[UOM_AFTER_PROCESS])</f>
        <v>BALE</v>
      </c>
      <c r="E1194">
        <v>88</v>
      </c>
    </row>
    <row r="1195" spans="1:5" x14ac:dyDescent="0.2">
      <c r="A1195" s="3">
        <v>45749</v>
      </c>
      <c r="B1195" t="s">
        <v>1</v>
      </c>
      <c r="C1195">
        <v>1</v>
      </c>
      <c r="D1195" t="str">
        <f>_xlfn.XLOOKUP(RW_DT_PRODUCTION[[#This Row],[MATERIAL_ID]],DIM_MATERIAL[MATERIAL_ID],DIM_MATERIAL[UOM_AFTER_PROCESS])</f>
        <v>BALE</v>
      </c>
      <c r="E1195">
        <v>62</v>
      </c>
    </row>
    <row r="1196" spans="1:5" x14ac:dyDescent="0.2">
      <c r="A1196" s="3">
        <v>45749</v>
      </c>
      <c r="B1196" t="s">
        <v>1</v>
      </c>
      <c r="C1196">
        <v>1</v>
      </c>
      <c r="D1196" t="str">
        <f>_xlfn.XLOOKUP(RW_DT_PRODUCTION[[#This Row],[MATERIAL_ID]],DIM_MATERIAL[MATERIAL_ID],DIM_MATERIAL[UOM_AFTER_PROCESS])</f>
        <v>BALE</v>
      </c>
      <c r="E1196">
        <v>84</v>
      </c>
    </row>
    <row r="1197" spans="1:5" x14ac:dyDescent="0.2">
      <c r="A1197" s="3">
        <v>45749</v>
      </c>
      <c r="B1197" t="s">
        <v>1</v>
      </c>
      <c r="C1197">
        <v>1</v>
      </c>
      <c r="D1197" t="str">
        <f>_xlfn.XLOOKUP(RW_DT_PRODUCTION[[#This Row],[MATERIAL_ID]],DIM_MATERIAL[MATERIAL_ID],DIM_MATERIAL[UOM_AFTER_PROCESS])</f>
        <v>BALE</v>
      </c>
      <c r="E1197">
        <v>62</v>
      </c>
    </row>
    <row r="1198" spans="1:5" x14ac:dyDescent="0.2">
      <c r="A1198" s="3">
        <v>45749</v>
      </c>
      <c r="B1198" t="s">
        <v>2</v>
      </c>
      <c r="C1198">
        <v>1</v>
      </c>
      <c r="D1198" t="str">
        <f>_xlfn.XLOOKUP(RW_DT_PRODUCTION[[#This Row],[MATERIAL_ID]],DIM_MATERIAL[MATERIAL_ID],DIM_MATERIAL[UOM_AFTER_PROCESS])</f>
        <v>BAG</v>
      </c>
      <c r="E1198">
        <v>22</v>
      </c>
    </row>
    <row r="1199" spans="1:5" x14ac:dyDescent="0.2">
      <c r="A1199" s="3">
        <v>45750</v>
      </c>
      <c r="B1199" t="s">
        <v>1</v>
      </c>
      <c r="C1199">
        <v>1</v>
      </c>
      <c r="D1199" t="str">
        <f>_xlfn.XLOOKUP(RW_DT_PRODUCTION[[#This Row],[MATERIAL_ID]],DIM_MATERIAL[MATERIAL_ID],DIM_MATERIAL[UOM_AFTER_PROCESS])</f>
        <v>BALE</v>
      </c>
      <c r="E1199">
        <v>76</v>
      </c>
    </row>
    <row r="1200" spans="1:5" x14ac:dyDescent="0.2">
      <c r="A1200" s="3">
        <v>45750</v>
      </c>
      <c r="B1200" t="s">
        <v>1</v>
      </c>
      <c r="C1200">
        <v>1</v>
      </c>
      <c r="D1200" t="str">
        <f>_xlfn.XLOOKUP(RW_DT_PRODUCTION[[#This Row],[MATERIAL_ID]],DIM_MATERIAL[MATERIAL_ID],DIM_MATERIAL[UOM_AFTER_PROCESS])</f>
        <v>BALE</v>
      </c>
      <c r="E1200">
        <v>86</v>
      </c>
    </row>
    <row r="1201" spans="1:5" x14ac:dyDescent="0.2">
      <c r="A1201" s="3">
        <v>45750</v>
      </c>
      <c r="B1201" t="s">
        <v>1</v>
      </c>
      <c r="C1201">
        <v>1</v>
      </c>
      <c r="D1201" t="str">
        <f>_xlfn.XLOOKUP(RW_DT_PRODUCTION[[#This Row],[MATERIAL_ID]],DIM_MATERIAL[MATERIAL_ID],DIM_MATERIAL[UOM_AFTER_PROCESS])</f>
        <v>BALE</v>
      </c>
      <c r="E1201">
        <v>87</v>
      </c>
    </row>
    <row r="1202" spans="1:5" x14ac:dyDescent="0.2">
      <c r="A1202" s="3">
        <v>45750</v>
      </c>
      <c r="B1202" t="s">
        <v>1</v>
      </c>
      <c r="C1202">
        <v>1</v>
      </c>
      <c r="D1202" t="str">
        <f>_xlfn.XLOOKUP(RW_DT_PRODUCTION[[#This Row],[MATERIAL_ID]],DIM_MATERIAL[MATERIAL_ID],DIM_MATERIAL[UOM_AFTER_PROCESS])</f>
        <v>BALE</v>
      </c>
      <c r="E1202">
        <v>86</v>
      </c>
    </row>
    <row r="1203" spans="1:5" x14ac:dyDescent="0.2">
      <c r="A1203" s="3">
        <v>45750</v>
      </c>
      <c r="B1203" t="s">
        <v>1</v>
      </c>
      <c r="C1203">
        <v>1</v>
      </c>
      <c r="D1203" t="str">
        <f>_xlfn.XLOOKUP(RW_DT_PRODUCTION[[#This Row],[MATERIAL_ID]],DIM_MATERIAL[MATERIAL_ID],DIM_MATERIAL[UOM_AFTER_PROCESS])</f>
        <v>BALE</v>
      </c>
      <c r="E1203">
        <v>75</v>
      </c>
    </row>
    <row r="1204" spans="1:5" x14ac:dyDescent="0.2">
      <c r="A1204" s="3">
        <v>45750</v>
      </c>
      <c r="B1204" t="s">
        <v>2</v>
      </c>
      <c r="C1204">
        <v>1</v>
      </c>
      <c r="D1204" t="str">
        <f>_xlfn.XLOOKUP(RW_DT_PRODUCTION[[#This Row],[MATERIAL_ID]],DIM_MATERIAL[MATERIAL_ID],DIM_MATERIAL[UOM_AFTER_PROCESS])</f>
        <v>BAG</v>
      </c>
      <c r="E1204">
        <v>22</v>
      </c>
    </row>
    <row r="1205" spans="1:5" x14ac:dyDescent="0.2">
      <c r="A1205" s="3">
        <v>45750</v>
      </c>
      <c r="B1205" t="s">
        <v>2</v>
      </c>
      <c r="C1205">
        <v>1</v>
      </c>
      <c r="D1205" t="str">
        <f>_xlfn.XLOOKUP(RW_DT_PRODUCTION[[#This Row],[MATERIAL_ID]],DIM_MATERIAL[MATERIAL_ID],DIM_MATERIAL[UOM_AFTER_PROCESS])</f>
        <v>BAG</v>
      </c>
      <c r="E1205">
        <v>22</v>
      </c>
    </row>
    <row r="1206" spans="1:5" x14ac:dyDescent="0.2">
      <c r="A1206" s="3">
        <v>45750</v>
      </c>
      <c r="B1206" t="s">
        <v>2</v>
      </c>
      <c r="C1206">
        <v>1</v>
      </c>
      <c r="D1206" t="str">
        <f>_xlfn.XLOOKUP(RW_DT_PRODUCTION[[#This Row],[MATERIAL_ID]],DIM_MATERIAL[MATERIAL_ID],DIM_MATERIAL[UOM_AFTER_PROCESS])</f>
        <v>BAG</v>
      </c>
      <c r="E1206">
        <v>22</v>
      </c>
    </row>
    <row r="1207" spans="1:5" x14ac:dyDescent="0.2">
      <c r="A1207" s="3">
        <v>45754</v>
      </c>
      <c r="B1207" t="s">
        <v>1</v>
      </c>
      <c r="C1207">
        <v>1</v>
      </c>
      <c r="D1207" t="str">
        <f>_xlfn.XLOOKUP(RW_DT_PRODUCTION[[#This Row],[MATERIAL_ID]],DIM_MATERIAL[MATERIAL_ID],DIM_MATERIAL[UOM_AFTER_PROCESS])</f>
        <v>BALE</v>
      </c>
      <c r="E1207">
        <v>85</v>
      </c>
    </row>
    <row r="1208" spans="1:5" x14ac:dyDescent="0.2">
      <c r="A1208" s="3">
        <v>45754</v>
      </c>
      <c r="B1208" t="s">
        <v>1</v>
      </c>
      <c r="C1208">
        <v>1</v>
      </c>
      <c r="D1208" t="str">
        <f>_xlfn.XLOOKUP(RW_DT_PRODUCTION[[#This Row],[MATERIAL_ID]],DIM_MATERIAL[MATERIAL_ID],DIM_MATERIAL[UOM_AFTER_PROCESS])</f>
        <v>BALE</v>
      </c>
      <c r="E1208">
        <v>66</v>
      </c>
    </row>
    <row r="1209" spans="1:5" x14ac:dyDescent="0.2">
      <c r="A1209" s="3">
        <v>45754</v>
      </c>
      <c r="B1209" t="s">
        <v>1</v>
      </c>
      <c r="C1209">
        <v>1</v>
      </c>
      <c r="D1209" t="str">
        <f>_xlfn.XLOOKUP(RW_DT_PRODUCTION[[#This Row],[MATERIAL_ID]],DIM_MATERIAL[MATERIAL_ID],DIM_MATERIAL[UOM_AFTER_PROCESS])</f>
        <v>BALE</v>
      </c>
      <c r="E1209">
        <v>88</v>
      </c>
    </row>
    <row r="1210" spans="1:5" x14ac:dyDescent="0.2">
      <c r="A1210" s="3">
        <v>45754</v>
      </c>
      <c r="B1210" t="s">
        <v>1</v>
      </c>
      <c r="C1210">
        <v>1</v>
      </c>
      <c r="D1210" t="str">
        <f>_xlfn.XLOOKUP(RW_DT_PRODUCTION[[#This Row],[MATERIAL_ID]],DIM_MATERIAL[MATERIAL_ID],DIM_MATERIAL[UOM_AFTER_PROCESS])</f>
        <v>BALE</v>
      </c>
      <c r="E1210">
        <v>67</v>
      </c>
    </row>
    <row r="1211" spans="1:5" x14ac:dyDescent="0.2">
      <c r="A1211" s="3">
        <v>45754</v>
      </c>
      <c r="B1211" t="s">
        <v>1</v>
      </c>
      <c r="C1211">
        <v>1</v>
      </c>
      <c r="D1211" t="str">
        <f>_xlfn.XLOOKUP(RW_DT_PRODUCTION[[#This Row],[MATERIAL_ID]],DIM_MATERIAL[MATERIAL_ID],DIM_MATERIAL[UOM_AFTER_PROCESS])</f>
        <v>BALE</v>
      </c>
      <c r="E1211">
        <v>78</v>
      </c>
    </row>
    <row r="1212" spans="1:5" x14ac:dyDescent="0.2">
      <c r="A1212" s="3">
        <v>45754</v>
      </c>
      <c r="B1212" t="s">
        <v>1</v>
      </c>
      <c r="C1212">
        <v>1</v>
      </c>
      <c r="D1212" t="str">
        <f>_xlfn.XLOOKUP(RW_DT_PRODUCTION[[#This Row],[MATERIAL_ID]],DIM_MATERIAL[MATERIAL_ID],DIM_MATERIAL[UOM_AFTER_PROCESS])</f>
        <v>BALE</v>
      </c>
      <c r="E1212">
        <v>70</v>
      </c>
    </row>
    <row r="1213" spans="1:5" x14ac:dyDescent="0.2">
      <c r="A1213" s="3">
        <v>45754</v>
      </c>
      <c r="B1213" t="s">
        <v>1</v>
      </c>
      <c r="C1213">
        <v>1</v>
      </c>
      <c r="D1213" t="str">
        <f>_xlfn.XLOOKUP(RW_DT_PRODUCTION[[#This Row],[MATERIAL_ID]],DIM_MATERIAL[MATERIAL_ID],DIM_MATERIAL[UOM_AFTER_PROCESS])</f>
        <v>BALE</v>
      </c>
      <c r="E1213">
        <v>81</v>
      </c>
    </row>
    <row r="1214" spans="1:5" x14ac:dyDescent="0.2">
      <c r="A1214" s="3">
        <v>45754</v>
      </c>
      <c r="B1214" t="s">
        <v>1</v>
      </c>
      <c r="C1214">
        <v>1</v>
      </c>
      <c r="D1214" t="str">
        <f>_xlfn.XLOOKUP(RW_DT_PRODUCTION[[#This Row],[MATERIAL_ID]],DIM_MATERIAL[MATERIAL_ID],DIM_MATERIAL[UOM_AFTER_PROCESS])</f>
        <v>BALE</v>
      </c>
      <c r="E1214">
        <v>62</v>
      </c>
    </row>
    <row r="1215" spans="1:5" x14ac:dyDescent="0.2">
      <c r="A1215" s="3">
        <v>45754</v>
      </c>
      <c r="B1215" t="s">
        <v>1</v>
      </c>
      <c r="C1215">
        <v>1</v>
      </c>
      <c r="D1215" t="str">
        <f>_xlfn.XLOOKUP(RW_DT_PRODUCTION[[#This Row],[MATERIAL_ID]],DIM_MATERIAL[MATERIAL_ID],DIM_MATERIAL[UOM_AFTER_PROCESS])</f>
        <v>BALE</v>
      </c>
      <c r="E1215">
        <v>65</v>
      </c>
    </row>
    <row r="1216" spans="1:5" x14ac:dyDescent="0.2">
      <c r="A1216" s="3">
        <v>45754</v>
      </c>
      <c r="B1216" t="s">
        <v>1</v>
      </c>
      <c r="C1216">
        <v>1</v>
      </c>
      <c r="D1216" t="str">
        <f>_xlfn.XLOOKUP(RW_DT_PRODUCTION[[#This Row],[MATERIAL_ID]],DIM_MATERIAL[MATERIAL_ID],DIM_MATERIAL[UOM_AFTER_PROCESS])</f>
        <v>BALE</v>
      </c>
      <c r="E1216">
        <v>80</v>
      </c>
    </row>
    <row r="1217" spans="1:5" x14ac:dyDescent="0.2">
      <c r="A1217" s="3">
        <v>45755</v>
      </c>
      <c r="B1217" t="s">
        <v>1</v>
      </c>
      <c r="C1217">
        <v>1</v>
      </c>
      <c r="D1217" t="str">
        <f>_xlfn.XLOOKUP(RW_DT_PRODUCTION[[#This Row],[MATERIAL_ID]],DIM_MATERIAL[MATERIAL_ID],DIM_MATERIAL[UOM_AFTER_PROCESS])</f>
        <v>BALE</v>
      </c>
      <c r="E1217">
        <v>69</v>
      </c>
    </row>
    <row r="1218" spans="1:5" x14ac:dyDescent="0.2">
      <c r="A1218" s="3">
        <v>45755</v>
      </c>
      <c r="B1218" t="s">
        <v>1</v>
      </c>
      <c r="C1218">
        <v>1</v>
      </c>
      <c r="D1218" t="str">
        <f>_xlfn.XLOOKUP(RW_DT_PRODUCTION[[#This Row],[MATERIAL_ID]],DIM_MATERIAL[MATERIAL_ID],DIM_MATERIAL[UOM_AFTER_PROCESS])</f>
        <v>BALE</v>
      </c>
      <c r="E1218">
        <v>82</v>
      </c>
    </row>
    <row r="1219" spans="1:5" x14ac:dyDescent="0.2">
      <c r="A1219" s="3">
        <v>45755</v>
      </c>
      <c r="B1219" t="s">
        <v>1</v>
      </c>
      <c r="C1219">
        <v>1</v>
      </c>
      <c r="D1219" t="str">
        <f>_xlfn.XLOOKUP(RW_DT_PRODUCTION[[#This Row],[MATERIAL_ID]],DIM_MATERIAL[MATERIAL_ID],DIM_MATERIAL[UOM_AFTER_PROCESS])</f>
        <v>BALE</v>
      </c>
      <c r="E1219">
        <v>88</v>
      </c>
    </row>
    <row r="1220" spans="1:5" x14ac:dyDescent="0.2">
      <c r="A1220" s="3">
        <v>45755</v>
      </c>
      <c r="B1220" t="s">
        <v>1</v>
      </c>
      <c r="C1220">
        <v>1</v>
      </c>
      <c r="D1220" t="str">
        <f>_xlfn.XLOOKUP(RW_DT_PRODUCTION[[#This Row],[MATERIAL_ID]],DIM_MATERIAL[MATERIAL_ID],DIM_MATERIAL[UOM_AFTER_PROCESS])</f>
        <v>BALE</v>
      </c>
      <c r="E1220">
        <v>71</v>
      </c>
    </row>
    <row r="1221" spans="1:5" x14ac:dyDescent="0.2">
      <c r="A1221" s="3">
        <v>45755</v>
      </c>
      <c r="B1221" t="s">
        <v>1</v>
      </c>
      <c r="C1221">
        <v>1</v>
      </c>
      <c r="D1221" t="str">
        <f>_xlfn.XLOOKUP(RW_DT_PRODUCTION[[#This Row],[MATERIAL_ID]],DIM_MATERIAL[MATERIAL_ID],DIM_MATERIAL[UOM_AFTER_PROCESS])</f>
        <v>BALE</v>
      </c>
      <c r="E1221">
        <v>64</v>
      </c>
    </row>
    <row r="1222" spans="1:5" x14ac:dyDescent="0.2">
      <c r="A1222" s="3">
        <v>45756</v>
      </c>
      <c r="B1222" t="s">
        <v>1</v>
      </c>
      <c r="C1222">
        <v>1</v>
      </c>
      <c r="D1222" t="str">
        <f>_xlfn.XLOOKUP(RW_DT_PRODUCTION[[#This Row],[MATERIAL_ID]],DIM_MATERIAL[MATERIAL_ID],DIM_MATERIAL[UOM_AFTER_PROCESS])</f>
        <v>BALE</v>
      </c>
      <c r="E1222">
        <v>82</v>
      </c>
    </row>
    <row r="1223" spans="1:5" x14ac:dyDescent="0.2">
      <c r="A1223" s="3">
        <v>45756</v>
      </c>
      <c r="B1223" t="s">
        <v>1</v>
      </c>
      <c r="C1223">
        <v>1</v>
      </c>
      <c r="D1223" t="str">
        <f>_xlfn.XLOOKUP(RW_DT_PRODUCTION[[#This Row],[MATERIAL_ID]],DIM_MATERIAL[MATERIAL_ID],DIM_MATERIAL[UOM_AFTER_PROCESS])</f>
        <v>BALE</v>
      </c>
      <c r="E1223">
        <v>60</v>
      </c>
    </row>
    <row r="1224" spans="1:5" x14ac:dyDescent="0.2">
      <c r="A1224" s="3">
        <v>45756</v>
      </c>
      <c r="B1224" t="s">
        <v>2</v>
      </c>
      <c r="C1224">
        <v>1</v>
      </c>
      <c r="D1224" t="str">
        <f>_xlfn.XLOOKUP(RW_DT_PRODUCTION[[#This Row],[MATERIAL_ID]],DIM_MATERIAL[MATERIAL_ID],DIM_MATERIAL[UOM_AFTER_PROCESS])</f>
        <v>BAG</v>
      </c>
      <c r="E1224">
        <v>22</v>
      </c>
    </row>
    <row r="1225" spans="1:5" x14ac:dyDescent="0.2">
      <c r="A1225" s="3">
        <v>45757</v>
      </c>
      <c r="B1225" t="s">
        <v>1</v>
      </c>
      <c r="C1225">
        <v>1</v>
      </c>
      <c r="D1225" t="str">
        <f>_xlfn.XLOOKUP(RW_DT_PRODUCTION[[#This Row],[MATERIAL_ID]],DIM_MATERIAL[MATERIAL_ID],DIM_MATERIAL[UOM_AFTER_PROCESS])</f>
        <v>BALE</v>
      </c>
      <c r="E1225">
        <v>75</v>
      </c>
    </row>
    <row r="1226" spans="1:5" x14ac:dyDescent="0.2">
      <c r="A1226" s="3">
        <v>45757</v>
      </c>
      <c r="B1226" t="s">
        <v>1</v>
      </c>
      <c r="C1226">
        <v>1</v>
      </c>
      <c r="D1226" t="str">
        <f>_xlfn.XLOOKUP(RW_DT_PRODUCTION[[#This Row],[MATERIAL_ID]],DIM_MATERIAL[MATERIAL_ID],DIM_MATERIAL[UOM_AFTER_PROCESS])</f>
        <v>BALE</v>
      </c>
      <c r="E1226">
        <v>86</v>
      </c>
    </row>
    <row r="1227" spans="1:5" x14ac:dyDescent="0.2">
      <c r="A1227" s="3">
        <v>45757</v>
      </c>
      <c r="B1227" t="s">
        <v>1</v>
      </c>
      <c r="C1227">
        <v>1</v>
      </c>
      <c r="D1227" t="str">
        <f>_xlfn.XLOOKUP(RW_DT_PRODUCTION[[#This Row],[MATERIAL_ID]],DIM_MATERIAL[MATERIAL_ID],DIM_MATERIAL[UOM_AFTER_PROCESS])</f>
        <v>BALE</v>
      </c>
      <c r="E1227">
        <v>87</v>
      </c>
    </row>
    <row r="1228" spans="1:5" x14ac:dyDescent="0.2">
      <c r="A1228" s="3">
        <v>45757</v>
      </c>
      <c r="B1228" t="s">
        <v>1</v>
      </c>
      <c r="C1228">
        <v>1</v>
      </c>
      <c r="D1228" t="str">
        <f>_xlfn.XLOOKUP(RW_DT_PRODUCTION[[#This Row],[MATERIAL_ID]],DIM_MATERIAL[MATERIAL_ID],DIM_MATERIAL[UOM_AFTER_PROCESS])</f>
        <v>BALE</v>
      </c>
      <c r="E1228">
        <v>89</v>
      </c>
    </row>
    <row r="1229" spans="1:5" x14ac:dyDescent="0.2">
      <c r="A1229" s="3">
        <v>45757</v>
      </c>
      <c r="B1229" t="s">
        <v>1</v>
      </c>
      <c r="C1229">
        <v>1</v>
      </c>
      <c r="D1229" t="str">
        <f>_xlfn.XLOOKUP(RW_DT_PRODUCTION[[#This Row],[MATERIAL_ID]],DIM_MATERIAL[MATERIAL_ID],DIM_MATERIAL[UOM_AFTER_PROCESS])</f>
        <v>BALE</v>
      </c>
      <c r="E1229">
        <v>81</v>
      </c>
    </row>
    <row r="1230" spans="1:5" x14ac:dyDescent="0.2">
      <c r="A1230" s="3">
        <v>45757</v>
      </c>
      <c r="B1230" t="s">
        <v>1</v>
      </c>
      <c r="C1230">
        <v>1</v>
      </c>
      <c r="D1230" t="str">
        <f>_xlfn.XLOOKUP(RW_DT_PRODUCTION[[#This Row],[MATERIAL_ID]],DIM_MATERIAL[MATERIAL_ID],DIM_MATERIAL[UOM_AFTER_PROCESS])</f>
        <v>BALE</v>
      </c>
      <c r="E1230">
        <v>86</v>
      </c>
    </row>
    <row r="1231" spans="1:5" x14ac:dyDescent="0.2">
      <c r="A1231" s="3">
        <v>45757</v>
      </c>
      <c r="B1231" t="s">
        <v>1</v>
      </c>
      <c r="C1231">
        <v>1</v>
      </c>
      <c r="D1231" t="str">
        <f>_xlfn.XLOOKUP(RW_DT_PRODUCTION[[#This Row],[MATERIAL_ID]],DIM_MATERIAL[MATERIAL_ID],DIM_MATERIAL[UOM_AFTER_PROCESS])</f>
        <v>BALE</v>
      </c>
      <c r="E1231">
        <v>60</v>
      </c>
    </row>
    <row r="1232" spans="1:5" x14ac:dyDescent="0.2">
      <c r="A1232" s="3">
        <v>45758</v>
      </c>
      <c r="B1232" t="s">
        <v>1</v>
      </c>
      <c r="C1232">
        <v>1</v>
      </c>
      <c r="D1232" t="str">
        <f>_xlfn.XLOOKUP(RW_DT_PRODUCTION[[#This Row],[MATERIAL_ID]],DIM_MATERIAL[MATERIAL_ID],DIM_MATERIAL[UOM_AFTER_PROCESS])</f>
        <v>BALE</v>
      </c>
      <c r="E1232">
        <v>70</v>
      </c>
    </row>
    <row r="1233" spans="1:5" x14ac:dyDescent="0.2">
      <c r="A1233" s="3">
        <v>45758</v>
      </c>
      <c r="B1233" t="s">
        <v>1</v>
      </c>
      <c r="C1233">
        <v>1</v>
      </c>
      <c r="D1233" t="str">
        <f>_xlfn.XLOOKUP(RW_DT_PRODUCTION[[#This Row],[MATERIAL_ID]],DIM_MATERIAL[MATERIAL_ID],DIM_MATERIAL[UOM_AFTER_PROCESS])</f>
        <v>BALE</v>
      </c>
      <c r="E1233">
        <v>61</v>
      </c>
    </row>
    <row r="1234" spans="1:5" x14ac:dyDescent="0.2">
      <c r="A1234" s="3">
        <v>45758</v>
      </c>
      <c r="B1234" t="s">
        <v>1</v>
      </c>
      <c r="C1234">
        <v>1</v>
      </c>
      <c r="D1234" t="str">
        <f>_xlfn.XLOOKUP(RW_DT_PRODUCTION[[#This Row],[MATERIAL_ID]],DIM_MATERIAL[MATERIAL_ID],DIM_MATERIAL[UOM_AFTER_PROCESS])</f>
        <v>BALE</v>
      </c>
      <c r="E1234">
        <v>82</v>
      </c>
    </row>
    <row r="1235" spans="1:5" x14ac:dyDescent="0.2">
      <c r="A1235" s="3">
        <v>45758</v>
      </c>
      <c r="B1235" t="s">
        <v>1</v>
      </c>
      <c r="C1235">
        <v>1</v>
      </c>
      <c r="D1235" t="str">
        <f>_xlfn.XLOOKUP(RW_DT_PRODUCTION[[#This Row],[MATERIAL_ID]],DIM_MATERIAL[MATERIAL_ID],DIM_MATERIAL[UOM_AFTER_PROCESS])</f>
        <v>BALE</v>
      </c>
      <c r="E1235">
        <v>71</v>
      </c>
    </row>
    <row r="1236" spans="1:5" x14ac:dyDescent="0.2">
      <c r="A1236" s="3">
        <v>45758</v>
      </c>
      <c r="B1236" t="s">
        <v>1</v>
      </c>
      <c r="C1236">
        <v>1</v>
      </c>
      <c r="D1236" t="str">
        <f>_xlfn.XLOOKUP(RW_DT_PRODUCTION[[#This Row],[MATERIAL_ID]],DIM_MATERIAL[MATERIAL_ID],DIM_MATERIAL[UOM_AFTER_PROCESS])</f>
        <v>BALE</v>
      </c>
      <c r="E1236">
        <v>78</v>
      </c>
    </row>
    <row r="1237" spans="1:5" x14ac:dyDescent="0.2">
      <c r="A1237" s="3">
        <v>45758</v>
      </c>
      <c r="B1237" t="s">
        <v>1</v>
      </c>
      <c r="C1237">
        <v>1</v>
      </c>
      <c r="D1237" t="str">
        <f>_xlfn.XLOOKUP(RW_DT_PRODUCTION[[#This Row],[MATERIAL_ID]],DIM_MATERIAL[MATERIAL_ID],DIM_MATERIAL[UOM_AFTER_PROCESS])</f>
        <v>BALE</v>
      </c>
      <c r="E1237">
        <v>74</v>
      </c>
    </row>
    <row r="1238" spans="1:5" x14ac:dyDescent="0.2">
      <c r="A1238" s="3">
        <v>45758</v>
      </c>
      <c r="B1238" t="s">
        <v>1</v>
      </c>
      <c r="C1238">
        <v>1</v>
      </c>
      <c r="D1238" t="str">
        <f>_xlfn.XLOOKUP(RW_DT_PRODUCTION[[#This Row],[MATERIAL_ID]],DIM_MATERIAL[MATERIAL_ID],DIM_MATERIAL[UOM_AFTER_PROCESS])</f>
        <v>BALE</v>
      </c>
      <c r="E1238">
        <v>79</v>
      </c>
    </row>
    <row r="1239" spans="1:5" x14ac:dyDescent="0.2">
      <c r="A1239" s="3">
        <v>45758</v>
      </c>
      <c r="B1239" t="s">
        <v>1</v>
      </c>
      <c r="C1239">
        <v>1</v>
      </c>
      <c r="D1239" t="str">
        <f>_xlfn.XLOOKUP(RW_DT_PRODUCTION[[#This Row],[MATERIAL_ID]],DIM_MATERIAL[MATERIAL_ID],DIM_MATERIAL[UOM_AFTER_PROCESS])</f>
        <v>BALE</v>
      </c>
      <c r="E1239">
        <v>89</v>
      </c>
    </row>
    <row r="1240" spans="1:5" x14ac:dyDescent="0.2">
      <c r="A1240" s="3">
        <v>45758</v>
      </c>
      <c r="B1240" t="s">
        <v>2</v>
      </c>
      <c r="C1240">
        <v>1</v>
      </c>
      <c r="D1240" t="str">
        <f>_xlfn.XLOOKUP(RW_DT_PRODUCTION[[#This Row],[MATERIAL_ID]],DIM_MATERIAL[MATERIAL_ID],DIM_MATERIAL[UOM_AFTER_PROCESS])</f>
        <v>BAG</v>
      </c>
      <c r="E1240">
        <v>22</v>
      </c>
    </row>
    <row r="1241" spans="1:5" x14ac:dyDescent="0.2">
      <c r="A1241" s="3">
        <v>45759</v>
      </c>
      <c r="B1241" t="s">
        <v>1</v>
      </c>
      <c r="C1241">
        <v>1</v>
      </c>
      <c r="D1241" t="str">
        <f>_xlfn.XLOOKUP(RW_DT_PRODUCTION[[#This Row],[MATERIAL_ID]],DIM_MATERIAL[MATERIAL_ID],DIM_MATERIAL[UOM_AFTER_PROCESS])</f>
        <v>BALE</v>
      </c>
      <c r="E1241">
        <v>61</v>
      </c>
    </row>
    <row r="1242" spans="1:5" x14ac:dyDescent="0.2">
      <c r="A1242" s="3">
        <v>45759</v>
      </c>
      <c r="B1242" t="s">
        <v>1</v>
      </c>
      <c r="C1242">
        <v>1</v>
      </c>
      <c r="D1242" t="str">
        <f>_xlfn.XLOOKUP(RW_DT_PRODUCTION[[#This Row],[MATERIAL_ID]],DIM_MATERIAL[MATERIAL_ID],DIM_MATERIAL[UOM_AFTER_PROCESS])</f>
        <v>BALE</v>
      </c>
      <c r="E1242">
        <v>72</v>
      </c>
    </row>
    <row r="1243" spans="1:5" x14ac:dyDescent="0.2">
      <c r="A1243" s="3">
        <v>45761</v>
      </c>
      <c r="B1243" t="s">
        <v>1</v>
      </c>
      <c r="C1243">
        <v>1</v>
      </c>
      <c r="D1243" t="str">
        <f>_xlfn.XLOOKUP(RW_DT_PRODUCTION[[#This Row],[MATERIAL_ID]],DIM_MATERIAL[MATERIAL_ID],DIM_MATERIAL[UOM_AFTER_PROCESS])</f>
        <v>BALE</v>
      </c>
      <c r="E1243">
        <v>71</v>
      </c>
    </row>
    <row r="1244" spans="1:5" x14ac:dyDescent="0.2">
      <c r="A1244" s="3">
        <v>45761</v>
      </c>
      <c r="B1244" t="s">
        <v>1</v>
      </c>
      <c r="C1244">
        <v>1</v>
      </c>
      <c r="D1244" t="str">
        <f>_xlfn.XLOOKUP(RW_DT_PRODUCTION[[#This Row],[MATERIAL_ID]],DIM_MATERIAL[MATERIAL_ID],DIM_MATERIAL[UOM_AFTER_PROCESS])</f>
        <v>BALE</v>
      </c>
      <c r="E1244">
        <v>82</v>
      </c>
    </row>
    <row r="1245" spans="1:5" x14ac:dyDescent="0.2">
      <c r="A1245" s="3">
        <v>45761</v>
      </c>
      <c r="B1245" t="s">
        <v>1</v>
      </c>
      <c r="C1245">
        <v>1</v>
      </c>
      <c r="D1245" t="str">
        <f>_xlfn.XLOOKUP(RW_DT_PRODUCTION[[#This Row],[MATERIAL_ID]],DIM_MATERIAL[MATERIAL_ID],DIM_MATERIAL[UOM_AFTER_PROCESS])</f>
        <v>BALE</v>
      </c>
      <c r="E1245">
        <v>89</v>
      </c>
    </row>
    <row r="1246" spans="1:5" x14ac:dyDescent="0.2">
      <c r="A1246" s="3">
        <v>45761</v>
      </c>
      <c r="B1246" t="s">
        <v>1</v>
      </c>
      <c r="C1246">
        <v>1</v>
      </c>
      <c r="D1246" t="str">
        <f>_xlfn.XLOOKUP(RW_DT_PRODUCTION[[#This Row],[MATERIAL_ID]],DIM_MATERIAL[MATERIAL_ID],DIM_MATERIAL[UOM_AFTER_PROCESS])</f>
        <v>BALE</v>
      </c>
      <c r="E1246">
        <v>71</v>
      </c>
    </row>
    <row r="1247" spans="1:5" x14ac:dyDescent="0.2">
      <c r="A1247" s="3">
        <v>45761</v>
      </c>
      <c r="B1247" t="s">
        <v>1</v>
      </c>
      <c r="C1247">
        <v>1</v>
      </c>
      <c r="D1247" t="str">
        <f>_xlfn.XLOOKUP(RW_DT_PRODUCTION[[#This Row],[MATERIAL_ID]],DIM_MATERIAL[MATERIAL_ID],DIM_MATERIAL[UOM_AFTER_PROCESS])</f>
        <v>BALE</v>
      </c>
      <c r="E1247">
        <v>84</v>
      </c>
    </row>
    <row r="1248" spans="1:5" x14ac:dyDescent="0.2">
      <c r="A1248" s="3">
        <v>45761</v>
      </c>
      <c r="B1248" t="s">
        <v>1</v>
      </c>
      <c r="C1248">
        <v>1</v>
      </c>
      <c r="D1248" t="str">
        <f>_xlfn.XLOOKUP(RW_DT_PRODUCTION[[#This Row],[MATERIAL_ID]],DIM_MATERIAL[MATERIAL_ID],DIM_MATERIAL[UOM_AFTER_PROCESS])</f>
        <v>BALE</v>
      </c>
      <c r="E1248">
        <v>74</v>
      </c>
    </row>
    <row r="1249" spans="1:5" x14ac:dyDescent="0.2">
      <c r="A1249" s="3">
        <v>45761</v>
      </c>
      <c r="B1249" t="s">
        <v>1</v>
      </c>
      <c r="C1249">
        <v>1</v>
      </c>
      <c r="D1249" t="str">
        <f>_xlfn.XLOOKUP(RW_DT_PRODUCTION[[#This Row],[MATERIAL_ID]],DIM_MATERIAL[MATERIAL_ID],DIM_MATERIAL[UOM_AFTER_PROCESS])</f>
        <v>BALE</v>
      </c>
      <c r="E1249">
        <v>88</v>
      </c>
    </row>
    <row r="1250" spans="1:5" x14ac:dyDescent="0.2">
      <c r="A1250" s="3">
        <v>45762</v>
      </c>
      <c r="B1250" t="s">
        <v>1</v>
      </c>
      <c r="C1250">
        <v>1</v>
      </c>
      <c r="D1250" t="str">
        <f>_xlfn.XLOOKUP(RW_DT_PRODUCTION[[#This Row],[MATERIAL_ID]],DIM_MATERIAL[MATERIAL_ID],DIM_MATERIAL[UOM_AFTER_PROCESS])</f>
        <v>BALE</v>
      </c>
      <c r="E1250">
        <v>65</v>
      </c>
    </row>
    <row r="1251" spans="1:5" x14ac:dyDescent="0.2">
      <c r="A1251" s="3">
        <v>45762</v>
      </c>
      <c r="B1251" t="s">
        <v>1</v>
      </c>
      <c r="C1251">
        <v>1</v>
      </c>
      <c r="D1251" t="str">
        <f>_xlfn.XLOOKUP(RW_DT_PRODUCTION[[#This Row],[MATERIAL_ID]],DIM_MATERIAL[MATERIAL_ID],DIM_MATERIAL[UOM_AFTER_PROCESS])</f>
        <v>BALE</v>
      </c>
      <c r="E1251">
        <v>88</v>
      </c>
    </row>
    <row r="1252" spans="1:5" x14ac:dyDescent="0.2">
      <c r="A1252" s="3">
        <v>45762</v>
      </c>
      <c r="B1252" t="s">
        <v>1</v>
      </c>
      <c r="C1252">
        <v>1</v>
      </c>
      <c r="D1252" t="str">
        <f>_xlfn.XLOOKUP(RW_DT_PRODUCTION[[#This Row],[MATERIAL_ID]],DIM_MATERIAL[MATERIAL_ID],DIM_MATERIAL[UOM_AFTER_PROCESS])</f>
        <v>BALE</v>
      </c>
      <c r="E1252">
        <v>84</v>
      </c>
    </row>
    <row r="1253" spans="1:5" x14ac:dyDescent="0.2">
      <c r="A1253" s="3">
        <v>45762</v>
      </c>
      <c r="B1253" t="s">
        <v>1</v>
      </c>
      <c r="C1253">
        <v>1</v>
      </c>
      <c r="D1253" t="str">
        <f>_xlfn.XLOOKUP(RW_DT_PRODUCTION[[#This Row],[MATERIAL_ID]],DIM_MATERIAL[MATERIAL_ID],DIM_MATERIAL[UOM_AFTER_PROCESS])</f>
        <v>BALE</v>
      </c>
      <c r="E1253">
        <v>80</v>
      </c>
    </row>
    <row r="1254" spans="1:5" x14ac:dyDescent="0.2">
      <c r="A1254" s="3">
        <v>45762</v>
      </c>
      <c r="B1254" t="s">
        <v>1</v>
      </c>
      <c r="C1254">
        <v>1</v>
      </c>
      <c r="D1254" t="str">
        <f>_xlfn.XLOOKUP(RW_DT_PRODUCTION[[#This Row],[MATERIAL_ID]],DIM_MATERIAL[MATERIAL_ID],DIM_MATERIAL[UOM_AFTER_PROCESS])</f>
        <v>BALE</v>
      </c>
      <c r="E1254">
        <v>61</v>
      </c>
    </row>
    <row r="1255" spans="1:5" x14ac:dyDescent="0.2">
      <c r="A1255" s="3">
        <v>45762</v>
      </c>
      <c r="B1255" t="s">
        <v>1</v>
      </c>
      <c r="C1255">
        <v>1</v>
      </c>
      <c r="D1255" t="str">
        <f>_xlfn.XLOOKUP(RW_DT_PRODUCTION[[#This Row],[MATERIAL_ID]],DIM_MATERIAL[MATERIAL_ID],DIM_MATERIAL[UOM_AFTER_PROCESS])</f>
        <v>BALE</v>
      </c>
      <c r="E1255">
        <v>87</v>
      </c>
    </row>
    <row r="1256" spans="1:5" x14ac:dyDescent="0.2">
      <c r="A1256" s="3">
        <v>45762</v>
      </c>
      <c r="B1256" t="s">
        <v>1</v>
      </c>
      <c r="C1256">
        <v>1</v>
      </c>
      <c r="D1256" t="str">
        <f>_xlfn.XLOOKUP(RW_DT_PRODUCTION[[#This Row],[MATERIAL_ID]],DIM_MATERIAL[MATERIAL_ID],DIM_MATERIAL[UOM_AFTER_PROCESS])</f>
        <v>BALE</v>
      </c>
      <c r="E1256">
        <v>87</v>
      </c>
    </row>
    <row r="1257" spans="1:5" x14ac:dyDescent="0.2">
      <c r="A1257" s="3">
        <v>45762</v>
      </c>
      <c r="B1257" t="s">
        <v>1</v>
      </c>
      <c r="C1257">
        <v>1</v>
      </c>
      <c r="D1257" t="str">
        <f>_xlfn.XLOOKUP(RW_DT_PRODUCTION[[#This Row],[MATERIAL_ID]],DIM_MATERIAL[MATERIAL_ID],DIM_MATERIAL[UOM_AFTER_PROCESS])</f>
        <v>BALE</v>
      </c>
      <c r="E1257">
        <v>83</v>
      </c>
    </row>
    <row r="1258" spans="1:5" x14ac:dyDescent="0.2">
      <c r="A1258" s="3">
        <v>45762</v>
      </c>
      <c r="B1258" t="s">
        <v>1</v>
      </c>
      <c r="C1258">
        <v>1</v>
      </c>
      <c r="D1258" t="str">
        <f>_xlfn.XLOOKUP(RW_DT_PRODUCTION[[#This Row],[MATERIAL_ID]],DIM_MATERIAL[MATERIAL_ID],DIM_MATERIAL[UOM_AFTER_PROCESS])</f>
        <v>BALE</v>
      </c>
      <c r="E1258">
        <v>67</v>
      </c>
    </row>
    <row r="1259" spans="1:5" x14ac:dyDescent="0.2">
      <c r="A1259" s="3">
        <v>45762</v>
      </c>
      <c r="B1259" t="s">
        <v>2</v>
      </c>
      <c r="C1259">
        <v>1</v>
      </c>
      <c r="D1259" t="str">
        <f>_xlfn.XLOOKUP(RW_DT_PRODUCTION[[#This Row],[MATERIAL_ID]],DIM_MATERIAL[MATERIAL_ID],DIM_MATERIAL[UOM_AFTER_PROCESS])</f>
        <v>BAG</v>
      </c>
      <c r="E1259">
        <v>22</v>
      </c>
    </row>
    <row r="1260" spans="1:5" x14ac:dyDescent="0.2">
      <c r="A1260" s="3">
        <v>45763</v>
      </c>
      <c r="B1260" t="s">
        <v>1</v>
      </c>
      <c r="C1260">
        <v>1</v>
      </c>
      <c r="D1260" t="str">
        <f>_xlfn.XLOOKUP(RW_DT_PRODUCTION[[#This Row],[MATERIAL_ID]],DIM_MATERIAL[MATERIAL_ID],DIM_MATERIAL[UOM_AFTER_PROCESS])</f>
        <v>BALE</v>
      </c>
      <c r="E1260">
        <v>68</v>
      </c>
    </row>
    <row r="1261" spans="1:5" x14ac:dyDescent="0.2">
      <c r="A1261" s="3">
        <v>45763</v>
      </c>
      <c r="B1261" t="s">
        <v>1</v>
      </c>
      <c r="C1261">
        <v>1</v>
      </c>
      <c r="D1261" t="str">
        <f>_xlfn.XLOOKUP(RW_DT_PRODUCTION[[#This Row],[MATERIAL_ID]],DIM_MATERIAL[MATERIAL_ID],DIM_MATERIAL[UOM_AFTER_PROCESS])</f>
        <v>BALE</v>
      </c>
      <c r="E1261">
        <v>65</v>
      </c>
    </row>
    <row r="1262" spans="1:5" x14ac:dyDescent="0.2">
      <c r="A1262" s="3">
        <v>45763</v>
      </c>
      <c r="B1262" t="s">
        <v>1</v>
      </c>
      <c r="C1262">
        <v>1</v>
      </c>
      <c r="D1262" t="str">
        <f>_xlfn.XLOOKUP(RW_DT_PRODUCTION[[#This Row],[MATERIAL_ID]],DIM_MATERIAL[MATERIAL_ID],DIM_MATERIAL[UOM_AFTER_PROCESS])</f>
        <v>BALE</v>
      </c>
      <c r="E1262">
        <v>77</v>
      </c>
    </row>
    <row r="1263" spans="1:5" x14ac:dyDescent="0.2">
      <c r="A1263" s="3">
        <v>45763</v>
      </c>
      <c r="B1263" t="s">
        <v>1</v>
      </c>
      <c r="C1263">
        <v>1</v>
      </c>
      <c r="D1263" t="str">
        <f>_xlfn.XLOOKUP(RW_DT_PRODUCTION[[#This Row],[MATERIAL_ID]],DIM_MATERIAL[MATERIAL_ID],DIM_MATERIAL[UOM_AFTER_PROCESS])</f>
        <v>BALE</v>
      </c>
      <c r="E1263">
        <v>71</v>
      </c>
    </row>
    <row r="1264" spans="1:5" x14ac:dyDescent="0.2">
      <c r="A1264" s="3">
        <v>45763</v>
      </c>
      <c r="B1264" t="s">
        <v>1</v>
      </c>
      <c r="C1264">
        <v>1</v>
      </c>
      <c r="D1264" t="str">
        <f>_xlfn.XLOOKUP(RW_DT_PRODUCTION[[#This Row],[MATERIAL_ID]],DIM_MATERIAL[MATERIAL_ID],DIM_MATERIAL[UOM_AFTER_PROCESS])</f>
        <v>BALE</v>
      </c>
      <c r="E1264">
        <v>60</v>
      </c>
    </row>
    <row r="1265" spans="1:5" x14ac:dyDescent="0.2">
      <c r="A1265" s="3">
        <v>45763</v>
      </c>
      <c r="B1265" t="s">
        <v>1</v>
      </c>
      <c r="C1265">
        <v>1</v>
      </c>
      <c r="D1265" t="str">
        <f>_xlfn.XLOOKUP(RW_DT_PRODUCTION[[#This Row],[MATERIAL_ID]],DIM_MATERIAL[MATERIAL_ID],DIM_MATERIAL[UOM_AFTER_PROCESS])</f>
        <v>BALE</v>
      </c>
      <c r="E1265">
        <v>85</v>
      </c>
    </row>
    <row r="1266" spans="1:5" x14ac:dyDescent="0.2">
      <c r="A1266" s="3">
        <v>45763</v>
      </c>
      <c r="B1266" t="s">
        <v>1</v>
      </c>
      <c r="C1266">
        <v>1</v>
      </c>
      <c r="D1266" t="str">
        <f>_xlfn.XLOOKUP(RW_DT_PRODUCTION[[#This Row],[MATERIAL_ID]],DIM_MATERIAL[MATERIAL_ID],DIM_MATERIAL[UOM_AFTER_PROCESS])</f>
        <v>BALE</v>
      </c>
      <c r="E1266">
        <v>85</v>
      </c>
    </row>
    <row r="1267" spans="1:5" x14ac:dyDescent="0.2">
      <c r="A1267" s="3">
        <v>45763</v>
      </c>
      <c r="B1267" t="s">
        <v>1</v>
      </c>
      <c r="C1267">
        <v>1</v>
      </c>
      <c r="D1267" t="str">
        <f>_xlfn.XLOOKUP(RW_DT_PRODUCTION[[#This Row],[MATERIAL_ID]],DIM_MATERIAL[MATERIAL_ID],DIM_MATERIAL[UOM_AFTER_PROCESS])</f>
        <v>BALE</v>
      </c>
      <c r="E1267">
        <v>77</v>
      </c>
    </row>
    <row r="1268" spans="1:5" x14ac:dyDescent="0.2">
      <c r="A1268" s="3">
        <v>45764</v>
      </c>
      <c r="B1268" t="s">
        <v>1</v>
      </c>
      <c r="C1268">
        <v>1</v>
      </c>
      <c r="D1268" t="str">
        <f>_xlfn.XLOOKUP(RW_DT_PRODUCTION[[#This Row],[MATERIAL_ID]],DIM_MATERIAL[MATERIAL_ID],DIM_MATERIAL[UOM_AFTER_PROCESS])</f>
        <v>BALE</v>
      </c>
      <c r="E1268">
        <v>88</v>
      </c>
    </row>
    <row r="1269" spans="1:5" x14ac:dyDescent="0.2">
      <c r="A1269" s="3">
        <v>45764</v>
      </c>
      <c r="B1269" t="s">
        <v>1</v>
      </c>
      <c r="C1269">
        <v>1</v>
      </c>
      <c r="D1269" t="str">
        <f>_xlfn.XLOOKUP(RW_DT_PRODUCTION[[#This Row],[MATERIAL_ID]],DIM_MATERIAL[MATERIAL_ID],DIM_MATERIAL[UOM_AFTER_PROCESS])</f>
        <v>BALE</v>
      </c>
      <c r="E1269">
        <v>65</v>
      </c>
    </row>
    <row r="1270" spans="1:5" x14ac:dyDescent="0.2">
      <c r="A1270" s="3">
        <v>45764</v>
      </c>
      <c r="B1270" t="s">
        <v>1</v>
      </c>
      <c r="C1270">
        <v>1</v>
      </c>
      <c r="D1270" t="str">
        <f>_xlfn.XLOOKUP(RW_DT_PRODUCTION[[#This Row],[MATERIAL_ID]],DIM_MATERIAL[MATERIAL_ID],DIM_MATERIAL[UOM_AFTER_PROCESS])</f>
        <v>BALE</v>
      </c>
      <c r="E1270">
        <v>87</v>
      </c>
    </row>
    <row r="1271" spans="1:5" x14ac:dyDescent="0.2">
      <c r="A1271" s="3">
        <v>45764</v>
      </c>
      <c r="B1271" t="s">
        <v>1</v>
      </c>
      <c r="C1271">
        <v>1</v>
      </c>
      <c r="D1271" t="str">
        <f>_xlfn.XLOOKUP(RW_DT_PRODUCTION[[#This Row],[MATERIAL_ID]],DIM_MATERIAL[MATERIAL_ID],DIM_MATERIAL[UOM_AFTER_PROCESS])</f>
        <v>BALE</v>
      </c>
      <c r="E1271">
        <v>87</v>
      </c>
    </row>
    <row r="1272" spans="1:5" x14ac:dyDescent="0.2">
      <c r="A1272" s="3">
        <v>45764</v>
      </c>
      <c r="B1272" t="s">
        <v>1</v>
      </c>
      <c r="C1272">
        <v>1</v>
      </c>
      <c r="D1272" t="str">
        <f>_xlfn.XLOOKUP(RW_DT_PRODUCTION[[#This Row],[MATERIAL_ID]],DIM_MATERIAL[MATERIAL_ID],DIM_MATERIAL[UOM_AFTER_PROCESS])</f>
        <v>BALE</v>
      </c>
      <c r="E1272">
        <v>74</v>
      </c>
    </row>
    <row r="1273" spans="1:5" x14ac:dyDescent="0.2">
      <c r="A1273" s="3">
        <v>45764</v>
      </c>
      <c r="B1273" t="s">
        <v>1</v>
      </c>
      <c r="C1273">
        <v>1</v>
      </c>
      <c r="D1273" t="str">
        <f>_xlfn.XLOOKUP(RW_DT_PRODUCTION[[#This Row],[MATERIAL_ID]],DIM_MATERIAL[MATERIAL_ID],DIM_MATERIAL[UOM_AFTER_PROCESS])</f>
        <v>BALE</v>
      </c>
      <c r="E1273">
        <v>63</v>
      </c>
    </row>
    <row r="1274" spans="1:5" x14ac:dyDescent="0.2">
      <c r="A1274" s="3">
        <v>45764</v>
      </c>
      <c r="B1274" t="s">
        <v>1</v>
      </c>
      <c r="C1274">
        <v>1</v>
      </c>
      <c r="D1274" t="str">
        <f>_xlfn.XLOOKUP(RW_DT_PRODUCTION[[#This Row],[MATERIAL_ID]],DIM_MATERIAL[MATERIAL_ID],DIM_MATERIAL[UOM_AFTER_PROCESS])</f>
        <v>BALE</v>
      </c>
      <c r="E1274">
        <v>71</v>
      </c>
    </row>
    <row r="1275" spans="1:5" x14ac:dyDescent="0.2">
      <c r="A1275" s="3">
        <v>45764</v>
      </c>
      <c r="B1275" t="s">
        <v>1</v>
      </c>
      <c r="C1275">
        <v>1</v>
      </c>
      <c r="D1275" t="str">
        <f>_xlfn.XLOOKUP(RW_DT_PRODUCTION[[#This Row],[MATERIAL_ID]],DIM_MATERIAL[MATERIAL_ID],DIM_MATERIAL[UOM_AFTER_PROCESS])</f>
        <v>BALE</v>
      </c>
      <c r="E1275">
        <v>76</v>
      </c>
    </row>
    <row r="1276" spans="1:5" x14ac:dyDescent="0.2">
      <c r="A1276" s="3">
        <v>45765</v>
      </c>
      <c r="B1276" t="s">
        <v>1</v>
      </c>
      <c r="C1276">
        <v>1</v>
      </c>
      <c r="D1276" t="str">
        <f>_xlfn.XLOOKUP(RW_DT_PRODUCTION[[#This Row],[MATERIAL_ID]],DIM_MATERIAL[MATERIAL_ID],DIM_MATERIAL[UOM_AFTER_PROCESS])</f>
        <v>BALE</v>
      </c>
      <c r="E1276">
        <v>69</v>
      </c>
    </row>
    <row r="1277" spans="1:5" x14ac:dyDescent="0.2">
      <c r="A1277" s="3">
        <v>45765</v>
      </c>
      <c r="B1277" t="s">
        <v>1</v>
      </c>
      <c r="C1277">
        <v>1</v>
      </c>
      <c r="D1277" t="str">
        <f>_xlfn.XLOOKUP(RW_DT_PRODUCTION[[#This Row],[MATERIAL_ID]],DIM_MATERIAL[MATERIAL_ID],DIM_MATERIAL[UOM_AFTER_PROCESS])</f>
        <v>BALE</v>
      </c>
      <c r="E1277">
        <v>85</v>
      </c>
    </row>
    <row r="1278" spans="1:5" x14ac:dyDescent="0.2">
      <c r="A1278" s="3">
        <v>45765</v>
      </c>
      <c r="B1278" t="s">
        <v>1</v>
      </c>
      <c r="C1278">
        <v>1</v>
      </c>
      <c r="D1278" t="str">
        <f>_xlfn.XLOOKUP(RW_DT_PRODUCTION[[#This Row],[MATERIAL_ID]],DIM_MATERIAL[MATERIAL_ID],DIM_MATERIAL[UOM_AFTER_PROCESS])</f>
        <v>BALE</v>
      </c>
      <c r="E1278">
        <v>67</v>
      </c>
    </row>
    <row r="1279" spans="1:5" x14ac:dyDescent="0.2">
      <c r="A1279" s="3">
        <v>45766</v>
      </c>
      <c r="B1279" t="s">
        <v>1</v>
      </c>
      <c r="C1279">
        <v>1</v>
      </c>
      <c r="D1279" t="str">
        <f>_xlfn.XLOOKUP(RW_DT_PRODUCTION[[#This Row],[MATERIAL_ID]],DIM_MATERIAL[MATERIAL_ID],DIM_MATERIAL[UOM_AFTER_PROCESS])</f>
        <v>BALE</v>
      </c>
      <c r="E1279">
        <v>63</v>
      </c>
    </row>
    <row r="1280" spans="1:5" x14ac:dyDescent="0.2">
      <c r="A1280" s="3">
        <v>45768</v>
      </c>
      <c r="B1280" t="s">
        <v>1</v>
      </c>
      <c r="C1280">
        <v>1</v>
      </c>
      <c r="D1280" t="str">
        <f>_xlfn.XLOOKUP(RW_DT_PRODUCTION[[#This Row],[MATERIAL_ID]],DIM_MATERIAL[MATERIAL_ID],DIM_MATERIAL[UOM_AFTER_PROCESS])</f>
        <v>BALE</v>
      </c>
      <c r="E1280">
        <v>67</v>
      </c>
    </row>
    <row r="1281" spans="1:5" x14ac:dyDescent="0.2">
      <c r="A1281" s="3">
        <v>45768</v>
      </c>
      <c r="B1281" t="s">
        <v>1</v>
      </c>
      <c r="C1281">
        <v>1</v>
      </c>
      <c r="D1281" t="str">
        <f>_xlfn.XLOOKUP(RW_DT_PRODUCTION[[#This Row],[MATERIAL_ID]],DIM_MATERIAL[MATERIAL_ID],DIM_MATERIAL[UOM_AFTER_PROCESS])</f>
        <v>BALE</v>
      </c>
      <c r="E1281">
        <v>75</v>
      </c>
    </row>
    <row r="1282" spans="1:5" x14ac:dyDescent="0.2">
      <c r="A1282" s="3">
        <v>45768</v>
      </c>
      <c r="B1282" t="s">
        <v>1</v>
      </c>
      <c r="C1282">
        <v>1</v>
      </c>
      <c r="D1282" t="str">
        <f>_xlfn.XLOOKUP(RW_DT_PRODUCTION[[#This Row],[MATERIAL_ID]],DIM_MATERIAL[MATERIAL_ID],DIM_MATERIAL[UOM_AFTER_PROCESS])</f>
        <v>BALE</v>
      </c>
      <c r="E1282">
        <v>64</v>
      </c>
    </row>
    <row r="1283" spans="1:5" x14ac:dyDescent="0.2">
      <c r="A1283" s="3">
        <v>45768</v>
      </c>
      <c r="B1283" t="s">
        <v>1</v>
      </c>
      <c r="C1283">
        <v>1</v>
      </c>
      <c r="D1283" t="str">
        <f>_xlfn.XLOOKUP(RW_DT_PRODUCTION[[#This Row],[MATERIAL_ID]],DIM_MATERIAL[MATERIAL_ID],DIM_MATERIAL[UOM_AFTER_PROCESS])</f>
        <v>BALE</v>
      </c>
      <c r="E1283">
        <v>65</v>
      </c>
    </row>
    <row r="1284" spans="1:5" x14ac:dyDescent="0.2">
      <c r="A1284" s="3">
        <v>45768</v>
      </c>
      <c r="B1284" t="s">
        <v>1</v>
      </c>
      <c r="C1284">
        <v>1</v>
      </c>
      <c r="D1284" t="str">
        <f>_xlfn.XLOOKUP(RW_DT_PRODUCTION[[#This Row],[MATERIAL_ID]],DIM_MATERIAL[MATERIAL_ID],DIM_MATERIAL[UOM_AFTER_PROCESS])</f>
        <v>BALE</v>
      </c>
      <c r="E1284">
        <v>72</v>
      </c>
    </row>
    <row r="1285" spans="1:5" x14ac:dyDescent="0.2">
      <c r="A1285" s="3">
        <v>45768</v>
      </c>
      <c r="B1285" t="s">
        <v>1</v>
      </c>
      <c r="C1285">
        <v>1</v>
      </c>
      <c r="D1285" t="str">
        <f>_xlfn.XLOOKUP(RW_DT_PRODUCTION[[#This Row],[MATERIAL_ID]],DIM_MATERIAL[MATERIAL_ID],DIM_MATERIAL[UOM_AFTER_PROCESS])</f>
        <v>BALE</v>
      </c>
      <c r="E1285">
        <v>60</v>
      </c>
    </row>
    <row r="1286" spans="1:5" x14ac:dyDescent="0.2">
      <c r="A1286" s="3">
        <v>45768</v>
      </c>
      <c r="B1286" t="s">
        <v>2</v>
      </c>
      <c r="C1286">
        <v>1</v>
      </c>
      <c r="D1286" t="str">
        <f>_xlfn.XLOOKUP(RW_DT_PRODUCTION[[#This Row],[MATERIAL_ID]],DIM_MATERIAL[MATERIAL_ID],DIM_MATERIAL[UOM_AFTER_PROCESS])</f>
        <v>BAG</v>
      </c>
      <c r="E1286">
        <v>22</v>
      </c>
    </row>
    <row r="1287" spans="1:5" x14ac:dyDescent="0.2">
      <c r="A1287" s="3">
        <v>45768</v>
      </c>
      <c r="B1287" t="s">
        <v>2</v>
      </c>
      <c r="C1287">
        <v>1</v>
      </c>
      <c r="D1287" t="str">
        <f>_xlfn.XLOOKUP(RW_DT_PRODUCTION[[#This Row],[MATERIAL_ID]],DIM_MATERIAL[MATERIAL_ID],DIM_MATERIAL[UOM_AFTER_PROCESS])</f>
        <v>BAG</v>
      </c>
      <c r="E1287">
        <v>22</v>
      </c>
    </row>
    <row r="1288" spans="1:5" x14ac:dyDescent="0.2">
      <c r="A1288" s="3">
        <v>45769</v>
      </c>
      <c r="B1288" t="s">
        <v>1</v>
      </c>
      <c r="C1288">
        <v>1</v>
      </c>
      <c r="D1288" t="str">
        <f>_xlfn.XLOOKUP(RW_DT_PRODUCTION[[#This Row],[MATERIAL_ID]],DIM_MATERIAL[MATERIAL_ID],DIM_MATERIAL[UOM_AFTER_PROCESS])</f>
        <v>BALE</v>
      </c>
      <c r="E1288">
        <v>76</v>
      </c>
    </row>
    <row r="1289" spans="1:5" x14ac:dyDescent="0.2">
      <c r="A1289" s="3">
        <v>45769</v>
      </c>
      <c r="B1289" t="s">
        <v>1</v>
      </c>
      <c r="C1289">
        <v>1</v>
      </c>
      <c r="D1289" t="str">
        <f>_xlfn.XLOOKUP(RW_DT_PRODUCTION[[#This Row],[MATERIAL_ID]],DIM_MATERIAL[MATERIAL_ID],DIM_MATERIAL[UOM_AFTER_PROCESS])</f>
        <v>BALE</v>
      </c>
      <c r="E1289">
        <v>67</v>
      </c>
    </row>
    <row r="1290" spans="1:5" x14ac:dyDescent="0.2">
      <c r="A1290" s="3">
        <v>45769</v>
      </c>
      <c r="B1290" t="s">
        <v>1</v>
      </c>
      <c r="C1290">
        <v>1</v>
      </c>
      <c r="D1290" t="str">
        <f>_xlfn.XLOOKUP(RW_DT_PRODUCTION[[#This Row],[MATERIAL_ID]],DIM_MATERIAL[MATERIAL_ID],DIM_MATERIAL[UOM_AFTER_PROCESS])</f>
        <v>BALE</v>
      </c>
      <c r="E1290">
        <v>80</v>
      </c>
    </row>
    <row r="1291" spans="1:5" x14ac:dyDescent="0.2">
      <c r="A1291" s="3">
        <v>45769</v>
      </c>
      <c r="B1291" t="s">
        <v>1</v>
      </c>
      <c r="C1291">
        <v>1</v>
      </c>
      <c r="D1291" t="str">
        <f>_xlfn.XLOOKUP(RW_DT_PRODUCTION[[#This Row],[MATERIAL_ID]],DIM_MATERIAL[MATERIAL_ID],DIM_MATERIAL[UOM_AFTER_PROCESS])</f>
        <v>BALE</v>
      </c>
      <c r="E1291">
        <v>84</v>
      </c>
    </row>
    <row r="1292" spans="1:5" x14ac:dyDescent="0.2">
      <c r="A1292" s="3">
        <v>45769</v>
      </c>
      <c r="B1292" t="s">
        <v>1</v>
      </c>
      <c r="C1292">
        <v>1</v>
      </c>
      <c r="D1292" t="str">
        <f>_xlfn.XLOOKUP(RW_DT_PRODUCTION[[#This Row],[MATERIAL_ID]],DIM_MATERIAL[MATERIAL_ID],DIM_MATERIAL[UOM_AFTER_PROCESS])</f>
        <v>BALE</v>
      </c>
      <c r="E1292">
        <v>73</v>
      </c>
    </row>
    <row r="1293" spans="1:5" x14ac:dyDescent="0.2">
      <c r="A1293" s="3">
        <v>45769</v>
      </c>
      <c r="B1293" t="s">
        <v>1</v>
      </c>
      <c r="C1293">
        <v>1</v>
      </c>
      <c r="D1293" t="str">
        <f>_xlfn.XLOOKUP(RW_DT_PRODUCTION[[#This Row],[MATERIAL_ID]],DIM_MATERIAL[MATERIAL_ID],DIM_MATERIAL[UOM_AFTER_PROCESS])</f>
        <v>BALE</v>
      </c>
      <c r="E1293">
        <v>65</v>
      </c>
    </row>
    <row r="1294" spans="1:5" x14ac:dyDescent="0.2">
      <c r="A1294" s="3">
        <v>45769</v>
      </c>
      <c r="B1294" t="s">
        <v>1</v>
      </c>
      <c r="C1294">
        <v>1</v>
      </c>
      <c r="D1294" t="str">
        <f>_xlfn.XLOOKUP(RW_DT_PRODUCTION[[#This Row],[MATERIAL_ID]],DIM_MATERIAL[MATERIAL_ID],DIM_MATERIAL[UOM_AFTER_PROCESS])</f>
        <v>BALE</v>
      </c>
      <c r="E1294">
        <v>74</v>
      </c>
    </row>
    <row r="1295" spans="1:5" x14ac:dyDescent="0.2">
      <c r="A1295" s="3">
        <v>45770</v>
      </c>
      <c r="B1295" t="s">
        <v>1</v>
      </c>
      <c r="C1295">
        <v>1</v>
      </c>
      <c r="D1295" t="str">
        <f>_xlfn.XLOOKUP(RW_DT_PRODUCTION[[#This Row],[MATERIAL_ID]],DIM_MATERIAL[MATERIAL_ID],DIM_MATERIAL[UOM_AFTER_PROCESS])</f>
        <v>BALE</v>
      </c>
      <c r="E1295">
        <v>75</v>
      </c>
    </row>
    <row r="1296" spans="1:5" x14ac:dyDescent="0.2">
      <c r="A1296" s="3">
        <v>45770</v>
      </c>
      <c r="B1296" t="s">
        <v>1</v>
      </c>
      <c r="C1296">
        <v>1</v>
      </c>
      <c r="D1296" t="str">
        <f>_xlfn.XLOOKUP(RW_DT_PRODUCTION[[#This Row],[MATERIAL_ID]],DIM_MATERIAL[MATERIAL_ID],DIM_MATERIAL[UOM_AFTER_PROCESS])</f>
        <v>BALE</v>
      </c>
      <c r="E1296">
        <v>60</v>
      </c>
    </row>
    <row r="1297" spans="1:5" x14ac:dyDescent="0.2">
      <c r="A1297" s="3">
        <v>45770</v>
      </c>
      <c r="B1297" t="s">
        <v>1</v>
      </c>
      <c r="C1297">
        <v>1</v>
      </c>
      <c r="D1297" t="str">
        <f>_xlfn.XLOOKUP(RW_DT_PRODUCTION[[#This Row],[MATERIAL_ID]],DIM_MATERIAL[MATERIAL_ID],DIM_MATERIAL[UOM_AFTER_PROCESS])</f>
        <v>BALE</v>
      </c>
      <c r="E1297">
        <v>72</v>
      </c>
    </row>
    <row r="1298" spans="1:5" x14ac:dyDescent="0.2">
      <c r="A1298" s="3">
        <v>45770</v>
      </c>
      <c r="B1298" t="s">
        <v>1</v>
      </c>
      <c r="C1298">
        <v>1</v>
      </c>
      <c r="D1298" t="str">
        <f>_xlfn.XLOOKUP(RW_DT_PRODUCTION[[#This Row],[MATERIAL_ID]],DIM_MATERIAL[MATERIAL_ID],DIM_MATERIAL[UOM_AFTER_PROCESS])</f>
        <v>BALE</v>
      </c>
      <c r="E1298">
        <v>88</v>
      </c>
    </row>
    <row r="1299" spans="1:5" x14ac:dyDescent="0.2">
      <c r="A1299" s="3">
        <v>45770</v>
      </c>
      <c r="B1299" t="s">
        <v>1</v>
      </c>
      <c r="C1299">
        <v>1</v>
      </c>
      <c r="D1299" t="str">
        <f>_xlfn.XLOOKUP(RW_DT_PRODUCTION[[#This Row],[MATERIAL_ID]],DIM_MATERIAL[MATERIAL_ID],DIM_MATERIAL[UOM_AFTER_PROCESS])</f>
        <v>BALE</v>
      </c>
      <c r="E1299">
        <v>60</v>
      </c>
    </row>
    <row r="1300" spans="1:5" x14ac:dyDescent="0.2">
      <c r="A1300" s="3">
        <v>45770</v>
      </c>
      <c r="B1300" t="s">
        <v>1</v>
      </c>
      <c r="C1300">
        <v>1</v>
      </c>
      <c r="D1300" t="str">
        <f>_xlfn.XLOOKUP(RW_DT_PRODUCTION[[#This Row],[MATERIAL_ID]],DIM_MATERIAL[MATERIAL_ID],DIM_MATERIAL[UOM_AFTER_PROCESS])</f>
        <v>BALE</v>
      </c>
      <c r="E1300">
        <v>63</v>
      </c>
    </row>
    <row r="1301" spans="1:5" x14ac:dyDescent="0.2">
      <c r="A1301" s="3">
        <v>45771</v>
      </c>
      <c r="B1301" t="s">
        <v>1</v>
      </c>
      <c r="C1301">
        <v>1</v>
      </c>
      <c r="D1301" t="str">
        <f>_xlfn.XLOOKUP(RW_DT_PRODUCTION[[#This Row],[MATERIAL_ID]],DIM_MATERIAL[MATERIAL_ID],DIM_MATERIAL[UOM_AFTER_PROCESS])</f>
        <v>BALE</v>
      </c>
      <c r="E1301">
        <v>81</v>
      </c>
    </row>
    <row r="1302" spans="1:5" x14ac:dyDescent="0.2">
      <c r="A1302" s="3">
        <v>45771</v>
      </c>
      <c r="B1302" t="s">
        <v>1</v>
      </c>
      <c r="C1302">
        <v>1</v>
      </c>
      <c r="D1302" t="str">
        <f>_xlfn.XLOOKUP(RW_DT_PRODUCTION[[#This Row],[MATERIAL_ID]],DIM_MATERIAL[MATERIAL_ID],DIM_MATERIAL[UOM_AFTER_PROCESS])</f>
        <v>BALE</v>
      </c>
      <c r="E1302">
        <v>89</v>
      </c>
    </row>
    <row r="1303" spans="1:5" x14ac:dyDescent="0.2">
      <c r="A1303" s="3">
        <v>45771</v>
      </c>
      <c r="B1303" t="s">
        <v>1</v>
      </c>
      <c r="C1303">
        <v>1</v>
      </c>
      <c r="D1303" t="str">
        <f>_xlfn.XLOOKUP(RW_DT_PRODUCTION[[#This Row],[MATERIAL_ID]],DIM_MATERIAL[MATERIAL_ID],DIM_MATERIAL[UOM_AFTER_PROCESS])</f>
        <v>BALE</v>
      </c>
      <c r="E1303">
        <v>77</v>
      </c>
    </row>
    <row r="1304" spans="1:5" x14ac:dyDescent="0.2">
      <c r="A1304" s="3">
        <v>45771</v>
      </c>
      <c r="B1304" t="s">
        <v>1</v>
      </c>
      <c r="C1304">
        <v>1</v>
      </c>
      <c r="D1304" t="str">
        <f>_xlfn.XLOOKUP(RW_DT_PRODUCTION[[#This Row],[MATERIAL_ID]],DIM_MATERIAL[MATERIAL_ID],DIM_MATERIAL[UOM_AFTER_PROCESS])</f>
        <v>BALE</v>
      </c>
      <c r="E1304">
        <v>76</v>
      </c>
    </row>
    <row r="1305" spans="1:5" x14ac:dyDescent="0.2">
      <c r="A1305" s="3">
        <v>45771</v>
      </c>
      <c r="B1305" t="s">
        <v>1</v>
      </c>
      <c r="C1305">
        <v>1</v>
      </c>
      <c r="D1305" t="str">
        <f>_xlfn.XLOOKUP(RW_DT_PRODUCTION[[#This Row],[MATERIAL_ID]],DIM_MATERIAL[MATERIAL_ID],DIM_MATERIAL[UOM_AFTER_PROCESS])</f>
        <v>BALE</v>
      </c>
      <c r="E1305">
        <v>86</v>
      </c>
    </row>
    <row r="1306" spans="1:5" x14ac:dyDescent="0.2">
      <c r="A1306" s="3">
        <v>45771</v>
      </c>
      <c r="B1306" t="s">
        <v>1</v>
      </c>
      <c r="C1306">
        <v>1</v>
      </c>
      <c r="D1306" t="str">
        <f>_xlfn.XLOOKUP(RW_DT_PRODUCTION[[#This Row],[MATERIAL_ID]],DIM_MATERIAL[MATERIAL_ID],DIM_MATERIAL[UOM_AFTER_PROCESS])</f>
        <v>BALE</v>
      </c>
      <c r="E1306">
        <v>87</v>
      </c>
    </row>
    <row r="1307" spans="1:5" x14ac:dyDescent="0.2">
      <c r="A1307" s="3">
        <v>45772</v>
      </c>
      <c r="B1307" t="s">
        <v>1</v>
      </c>
      <c r="C1307">
        <v>1</v>
      </c>
      <c r="D1307" t="str">
        <f>_xlfn.XLOOKUP(RW_DT_PRODUCTION[[#This Row],[MATERIAL_ID]],DIM_MATERIAL[MATERIAL_ID],DIM_MATERIAL[UOM_AFTER_PROCESS])</f>
        <v>BALE</v>
      </c>
      <c r="E1307">
        <v>71</v>
      </c>
    </row>
    <row r="1308" spans="1:5" x14ac:dyDescent="0.2">
      <c r="A1308" s="3">
        <v>45772</v>
      </c>
      <c r="B1308" t="s">
        <v>1</v>
      </c>
      <c r="C1308">
        <v>1</v>
      </c>
      <c r="D1308" t="str">
        <f>_xlfn.XLOOKUP(RW_DT_PRODUCTION[[#This Row],[MATERIAL_ID]],DIM_MATERIAL[MATERIAL_ID],DIM_MATERIAL[UOM_AFTER_PROCESS])</f>
        <v>BALE</v>
      </c>
      <c r="E1308">
        <v>77</v>
      </c>
    </row>
    <row r="1309" spans="1:5" x14ac:dyDescent="0.2">
      <c r="A1309" s="3">
        <v>45772</v>
      </c>
      <c r="B1309" t="s">
        <v>1</v>
      </c>
      <c r="C1309">
        <v>1</v>
      </c>
      <c r="D1309" t="str">
        <f>_xlfn.XLOOKUP(RW_DT_PRODUCTION[[#This Row],[MATERIAL_ID]],DIM_MATERIAL[MATERIAL_ID],DIM_MATERIAL[UOM_AFTER_PROCESS])</f>
        <v>BALE</v>
      </c>
      <c r="E1309">
        <v>79</v>
      </c>
    </row>
    <row r="1310" spans="1:5" x14ac:dyDescent="0.2">
      <c r="A1310" s="3">
        <v>45772</v>
      </c>
      <c r="B1310" t="s">
        <v>1</v>
      </c>
      <c r="C1310">
        <v>1</v>
      </c>
      <c r="D1310" t="str">
        <f>_xlfn.XLOOKUP(RW_DT_PRODUCTION[[#This Row],[MATERIAL_ID]],DIM_MATERIAL[MATERIAL_ID],DIM_MATERIAL[UOM_AFTER_PROCESS])</f>
        <v>BALE</v>
      </c>
      <c r="E1310">
        <v>89</v>
      </c>
    </row>
    <row r="1311" spans="1:5" x14ac:dyDescent="0.2">
      <c r="A1311" s="3">
        <v>45772</v>
      </c>
      <c r="B1311" t="s">
        <v>1</v>
      </c>
      <c r="C1311">
        <v>1</v>
      </c>
      <c r="D1311" t="str">
        <f>_xlfn.XLOOKUP(RW_DT_PRODUCTION[[#This Row],[MATERIAL_ID]],DIM_MATERIAL[MATERIAL_ID],DIM_MATERIAL[UOM_AFTER_PROCESS])</f>
        <v>BALE</v>
      </c>
      <c r="E1311">
        <v>73</v>
      </c>
    </row>
    <row r="1312" spans="1:5" x14ac:dyDescent="0.2">
      <c r="A1312" s="3">
        <v>45772</v>
      </c>
      <c r="B1312" t="s">
        <v>1</v>
      </c>
      <c r="C1312">
        <v>1</v>
      </c>
      <c r="D1312" t="str">
        <f>_xlfn.XLOOKUP(RW_DT_PRODUCTION[[#This Row],[MATERIAL_ID]],DIM_MATERIAL[MATERIAL_ID],DIM_MATERIAL[UOM_AFTER_PROCESS])</f>
        <v>BALE</v>
      </c>
      <c r="E1312">
        <v>60</v>
      </c>
    </row>
    <row r="1313" spans="1:5" x14ac:dyDescent="0.2">
      <c r="A1313" s="3">
        <v>45772</v>
      </c>
      <c r="B1313" t="s">
        <v>1</v>
      </c>
      <c r="C1313">
        <v>1</v>
      </c>
      <c r="D1313" t="str">
        <f>_xlfn.XLOOKUP(RW_DT_PRODUCTION[[#This Row],[MATERIAL_ID]],DIM_MATERIAL[MATERIAL_ID],DIM_MATERIAL[UOM_AFTER_PROCESS])</f>
        <v>BALE</v>
      </c>
      <c r="E1313">
        <v>61</v>
      </c>
    </row>
    <row r="1314" spans="1:5" x14ac:dyDescent="0.2">
      <c r="A1314" s="3">
        <v>45772</v>
      </c>
      <c r="B1314" t="s">
        <v>1</v>
      </c>
      <c r="C1314">
        <v>1</v>
      </c>
      <c r="D1314" t="str">
        <f>_xlfn.XLOOKUP(RW_DT_PRODUCTION[[#This Row],[MATERIAL_ID]],DIM_MATERIAL[MATERIAL_ID],DIM_MATERIAL[UOM_AFTER_PROCESS])</f>
        <v>BALE</v>
      </c>
      <c r="E1314">
        <v>78</v>
      </c>
    </row>
    <row r="1315" spans="1:5" x14ac:dyDescent="0.2">
      <c r="A1315" s="3">
        <v>45772</v>
      </c>
      <c r="B1315" t="s">
        <v>1</v>
      </c>
      <c r="C1315">
        <v>1</v>
      </c>
      <c r="D1315" t="str">
        <f>_xlfn.XLOOKUP(RW_DT_PRODUCTION[[#This Row],[MATERIAL_ID]],DIM_MATERIAL[MATERIAL_ID],DIM_MATERIAL[UOM_AFTER_PROCESS])</f>
        <v>BALE</v>
      </c>
      <c r="E1315">
        <v>77</v>
      </c>
    </row>
    <row r="1316" spans="1:5" x14ac:dyDescent="0.2">
      <c r="A1316" s="3">
        <v>45772</v>
      </c>
      <c r="B1316" t="s">
        <v>1</v>
      </c>
      <c r="C1316">
        <v>1</v>
      </c>
      <c r="D1316" t="str">
        <f>_xlfn.XLOOKUP(RW_DT_PRODUCTION[[#This Row],[MATERIAL_ID]],DIM_MATERIAL[MATERIAL_ID],DIM_MATERIAL[UOM_AFTER_PROCESS])</f>
        <v>BALE</v>
      </c>
      <c r="E1316">
        <v>61</v>
      </c>
    </row>
    <row r="1317" spans="1:5" x14ac:dyDescent="0.2">
      <c r="A1317" s="3">
        <v>45772</v>
      </c>
      <c r="B1317" t="s">
        <v>1</v>
      </c>
      <c r="C1317">
        <v>1</v>
      </c>
      <c r="D1317" t="str">
        <f>_xlfn.XLOOKUP(RW_DT_PRODUCTION[[#This Row],[MATERIAL_ID]],DIM_MATERIAL[MATERIAL_ID],DIM_MATERIAL[UOM_AFTER_PROCESS])</f>
        <v>BALE</v>
      </c>
      <c r="E1317">
        <v>69</v>
      </c>
    </row>
    <row r="1318" spans="1:5" x14ac:dyDescent="0.2">
      <c r="A1318" s="3">
        <v>45772</v>
      </c>
      <c r="B1318" t="s">
        <v>2</v>
      </c>
      <c r="C1318">
        <v>1</v>
      </c>
      <c r="D1318" t="str">
        <f>_xlfn.XLOOKUP(RW_DT_PRODUCTION[[#This Row],[MATERIAL_ID]],DIM_MATERIAL[MATERIAL_ID],DIM_MATERIAL[UOM_AFTER_PROCESS])</f>
        <v>BAG</v>
      </c>
      <c r="E1318">
        <v>22</v>
      </c>
    </row>
    <row r="1319" spans="1:5" x14ac:dyDescent="0.2">
      <c r="A1319" s="3">
        <v>45772</v>
      </c>
      <c r="B1319" t="s">
        <v>2</v>
      </c>
      <c r="C1319">
        <v>1</v>
      </c>
      <c r="D1319" t="str">
        <f>_xlfn.XLOOKUP(RW_DT_PRODUCTION[[#This Row],[MATERIAL_ID]],DIM_MATERIAL[MATERIAL_ID],DIM_MATERIAL[UOM_AFTER_PROCESS])</f>
        <v>BAG</v>
      </c>
      <c r="E1319">
        <v>22</v>
      </c>
    </row>
    <row r="1320" spans="1:5" x14ac:dyDescent="0.2">
      <c r="A1320" s="3">
        <v>45772</v>
      </c>
      <c r="B1320" t="s">
        <v>2</v>
      </c>
      <c r="C1320">
        <v>1</v>
      </c>
      <c r="D1320" t="str">
        <f>_xlfn.XLOOKUP(RW_DT_PRODUCTION[[#This Row],[MATERIAL_ID]],DIM_MATERIAL[MATERIAL_ID],DIM_MATERIAL[UOM_AFTER_PROCESS])</f>
        <v>BAG</v>
      </c>
      <c r="E1320">
        <v>22</v>
      </c>
    </row>
    <row r="1321" spans="1:5" x14ac:dyDescent="0.2">
      <c r="A1321" s="3">
        <v>45775</v>
      </c>
      <c r="B1321" t="s">
        <v>1</v>
      </c>
      <c r="C1321">
        <v>1</v>
      </c>
      <c r="D1321" t="str">
        <f>_xlfn.XLOOKUP(RW_DT_PRODUCTION[[#This Row],[MATERIAL_ID]],DIM_MATERIAL[MATERIAL_ID],DIM_MATERIAL[UOM_AFTER_PROCESS])</f>
        <v>BALE</v>
      </c>
      <c r="E1321">
        <v>60</v>
      </c>
    </row>
    <row r="1322" spans="1:5" x14ac:dyDescent="0.2">
      <c r="A1322" s="3">
        <v>45775</v>
      </c>
      <c r="B1322" t="s">
        <v>1</v>
      </c>
      <c r="C1322">
        <v>1</v>
      </c>
      <c r="D1322" t="str">
        <f>_xlfn.XLOOKUP(RW_DT_PRODUCTION[[#This Row],[MATERIAL_ID]],DIM_MATERIAL[MATERIAL_ID],DIM_MATERIAL[UOM_AFTER_PROCESS])</f>
        <v>BALE</v>
      </c>
      <c r="E1322">
        <v>80</v>
      </c>
    </row>
    <row r="1323" spans="1:5" x14ac:dyDescent="0.2">
      <c r="A1323" s="3">
        <v>45775</v>
      </c>
      <c r="B1323" t="s">
        <v>1</v>
      </c>
      <c r="C1323">
        <v>1</v>
      </c>
      <c r="D1323" t="str">
        <f>_xlfn.XLOOKUP(RW_DT_PRODUCTION[[#This Row],[MATERIAL_ID]],DIM_MATERIAL[MATERIAL_ID],DIM_MATERIAL[UOM_AFTER_PROCESS])</f>
        <v>BALE</v>
      </c>
      <c r="E1323">
        <v>80</v>
      </c>
    </row>
    <row r="1324" spans="1:5" x14ac:dyDescent="0.2">
      <c r="A1324" s="3">
        <v>45775</v>
      </c>
      <c r="B1324" t="s">
        <v>1</v>
      </c>
      <c r="C1324">
        <v>1</v>
      </c>
      <c r="D1324" t="str">
        <f>_xlfn.XLOOKUP(RW_DT_PRODUCTION[[#This Row],[MATERIAL_ID]],DIM_MATERIAL[MATERIAL_ID],DIM_MATERIAL[UOM_AFTER_PROCESS])</f>
        <v>BALE</v>
      </c>
      <c r="E1324">
        <v>84</v>
      </c>
    </row>
    <row r="1325" spans="1:5" x14ac:dyDescent="0.2">
      <c r="A1325" s="3">
        <v>45775</v>
      </c>
      <c r="B1325" t="s">
        <v>1</v>
      </c>
      <c r="C1325">
        <v>1</v>
      </c>
      <c r="D1325" t="str">
        <f>_xlfn.XLOOKUP(RW_DT_PRODUCTION[[#This Row],[MATERIAL_ID]],DIM_MATERIAL[MATERIAL_ID],DIM_MATERIAL[UOM_AFTER_PROCESS])</f>
        <v>BALE</v>
      </c>
      <c r="E1325">
        <v>60</v>
      </c>
    </row>
    <row r="1326" spans="1:5" x14ac:dyDescent="0.2">
      <c r="A1326" s="3">
        <v>45775</v>
      </c>
      <c r="B1326" t="s">
        <v>1</v>
      </c>
      <c r="C1326">
        <v>1</v>
      </c>
      <c r="D1326" t="str">
        <f>_xlfn.XLOOKUP(RW_DT_PRODUCTION[[#This Row],[MATERIAL_ID]],DIM_MATERIAL[MATERIAL_ID],DIM_MATERIAL[UOM_AFTER_PROCESS])</f>
        <v>BALE</v>
      </c>
      <c r="E1326">
        <v>71</v>
      </c>
    </row>
    <row r="1327" spans="1:5" x14ac:dyDescent="0.2">
      <c r="A1327" s="3">
        <v>45775</v>
      </c>
      <c r="B1327" t="s">
        <v>1</v>
      </c>
      <c r="C1327">
        <v>1</v>
      </c>
      <c r="D1327" t="str">
        <f>_xlfn.XLOOKUP(RW_DT_PRODUCTION[[#This Row],[MATERIAL_ID]],DIM_MATERIAL[MATERIAL_ID],DIM_MATERIAL[UOM_AFTER_PROCESS])</f>
        <v>BALE</v>
      </c>
      <c r="E1327">
        <v>80</v>
      </c>
    </row>
    <row r="1328" spans="1:5" x14ac:dyDescent="0.2">
      <c r="A1328" s="3">
        <v>45775</v>
      </c>
      <c r="B1328" t="s">
        <v>1</v>
      </c>
      <c r="C1328">
        <v>1</v>
      </c>
      <c r="D1328" t="str">
        <f>_xlfn.XLOOKUP(RW_DT_PRODUCTION[[#This Row],[MATERIAL_ID]],DIM_MATERIAL[MATERIAL_ID],DIM_MATERIAL[UOM_AFTER_PROCESS])</f>
        <v>BALE</v>
      </c>
      <c r="E1328">
        <v>62</v>
      </c>
    </row>
    <row r="1329" spans="1:5" x14ac:dyDescent="0.2">
      <c r="A1329" s="3">
        <v>45775</v>
      </c>
      <c r="B1329" t="s">
        <v>1</v>
      </c>
      <c r="C1329">
        <v>1</v>
      </c>
      <c r="D1329" t="str">
        <f>_xlfn.XLOOKUP(RW_DT_PRODUCTION[[#This Row],[MATERIAL_ID]],DIM_MATERIAL[MATERIAL_ID],DIM_MATERIAL[UOM_AFTER_PROCESS])</f>
        <v>BALE</v>
      </c>
      <c r="E1329">
        <v>67</v>
      </c>
    </row>
    <row r="1330" spans="1:5" x14ac:dyDescent="0.2">
      <c r="A1330" s="3">
        <v>45775</v>
      </c>
      <c r="B1330" t="s">
        <v>1</v>
      </c>
      <c r="C1330">
        <v>1</v>
      </c>
      <c r="D1330" t="str">
        <f>_xlfn.XLOOKUP(RW_DT_PRODUCTION[[#This Row],[MATERIAL_ID]],DIM_MATERIAL[MATERIAL_ID],DIM_MATERIAL[UOM_AFTER_PROCESS])</f>
        <v>BALE</v>
      </c>
      <c r="E1330">
        <v>62</v>
      </c>
    </row>
    <row r="1331" spans="1:5" x14ac:dyDescent="0.2">
      <c r="A1331" s="3">
        <v>45775</v>
      </c>
      <c r="B1331" t="s">
        <v>1</v>
      </c>
      <c r="C1331">
        <v>1</v>
      </c>
      <c r="D1331" t="str">
        <f>_xlfn.XLOOKUP(RW_DT_PRODUCTION[[#This Row],[MATERIAL_ID]],DIM_MATERIAL[MATERIAL_ID],DIM_MATERIAL[UOM_AFTER_PROCESS])</f>
        <v>BALE</v>
      </c>
      <c r="E1331">
        <v>63</v>
      </c>
    </row>
    <row r="1332" spans="1:5" x14ac:dyDescent="0.2">
      <c r="A1332" s="3">
        <v>45776</v>
      </c>
      <c r="B1332" t="s">
        <v>1</v>
      </c>
      <c r="C1332">
        <v>1</v>
      </c>
      <c r="D1332" t="str">
        <f>_xlfn.XLOOKUP(RW_DT_PRODUCTION[[#This Row],[MATERIAL_ID]],DIM_MATERIAL[MATERIAL_ID],DIM_MATERIAL[UOM_AFTER_PROCESS])</f>
        <v>BALE</v>
      </c>
      <c r="E1332">
        <v>62</v>
      </c>
    </row>
    <row r="1333" spans="1:5" x14ac:dyDescent="0.2">
      <c r="A1333" s="3">
        <v>45776</v>
      </c>
      <c r="B1333" t="s">
        <v>1</v>
      </c>
      <c r="C1333">
        <v>1</v>
      </c>
      <c r="D1333" t="str">
        <f>_xlfn.XLOOKUP(RW_DT_PRODUCTION[[#This Row],[MATERIAL_ID]],DIM_MATERIAL[MATERIAL_ID],DIM_MATERIAL[UOM_AFTER_PROCESS])</f>
        <v>BALE</v>
      </c>
      <c r="E1333">
        <v>69</v>
      </c>
    </row>
    <row r="1334" spans="1:5" x14ac:dyDescent="0.2">
      <c r="A1334" s="3">
        <v>45776</v>
      </c>
      <c r="B1334" t="s">
        <v>1</v>
      </c>
      <c r="C1334">
        <v>1</v>
      </c>
      <c r="D1334" t="str">
        <f>_xlfn.XLOOKUP(RW_DT_PRODUCTION[[#This Row],[MATERIAL_ID]],DIM_MATERIAL[MATERIAL_ID],DIM_MATERIAL[UOM_AFTER_PROCESS])</f>
        <v>BALE</v>
      </c>
      <c r="E1334">
        <v>77</v>
      </c>
    </row>
    <row r="1335" spans="1:5" x14ac:dyDescent="0.2">
      <c r="A1335" s="3">
        <v>45776</v>
      </c>
      <c r="B1335" t="s">
        <v>1</v>
      </c>
      <c r="C1335">
        <v>1</v>
      </c>
      <c r="D1335" t="str">
        <f>_xlfn.XLOOKUP(RW_DT_PRODUCTION[[#This Row],[MATERIAL_ID]],DIM_MATERIAL[MATERIAL_ID],DIM_MATERIAL[UOM_AFTER_PROCESS])</f>
        <v>BALE</v>
      </c>
      <c r="E1335">
        <v>75</v>
      </c>
    </row>
    <row r="1336" spans="1:5" x14ac:dyDescent="0.2">
      <c r="A1336" s="3">
        <v>45776</v>
      </c>
      <c r="B1336" t="s">
        <v>1</v>
      </c>
      <c r="C1336">
        <v>1</v>
      </c>
      <c r="D1336" t="str">
        <f>_xlfn.XLOOKUP(RW_DT_PRODUCTION[[#This Row],[MATERIAL_ID]],DIM_MATERIAL[MATERIAL_ID],DIM_MATERIAL[UOM_AFTER_PROCESS])</f>
        <v>BALE</v>
      </c>
      <c r="E1336">
        <v>63</v>
      </c>
    </row>
    <row r="1337" spans="1:5" x14ac:dyDescent="0.2">
      <c r="A1337" s="3">
        <v>45776</v>
      </c>
      <c r="B1337" t="s">
        <v>2</v>
      </c>
      <c r="C1337">
        <v>1</v>
      </c>
      <c r="D1337" t="str">
        <f>_xlfn.XLOOKUP(RW_DT_PRODUCTION[[#This Row],[MATERIAL_ID]],DIM_MATERIAL[MATERIAL_ID],DIM_MATERIAL[UOM_AFTER_PROCESS])</f>
        <v>BAG</v>
      </c>
      <c r="E1337">
        <v>22</v>
      </c>
    </row>
    <row r="1338" spans="1:5" x14ac:dyDescent="0.2">
      <c r="A1338" s="3">
        <v>45776</v>
      </c>
      <c r="B1338" t="s">
        <v>2</v>
      </c>
      <c r="C1338">
        <v>1</v>
      </c>
      <c r="D1338" t="str">
        <f>_xlfn.XLOOKUP(RW_DT_PRODUCTION[[#This Row],[MATERIAL_ID]],DIM_MATERIAL[MATERIAL_ID],DIM_MATERIAL[UOM_AFTER_PROCESS])</f>
        <v>BAG</v>
      </c>
      <c r="E1338">
        <v>22</v>
      </c>
    </row>
    <row r="1339" spans="1:5" x14ac:dyDescent="0.2">
      <c r="A1339" s="3">
        <v>45776</v>
      </c>
      <c r="B1339" t="s">
        <v>2</v>
      </c>
      <c r="C1339">
        <v>1</v>
      </c>
      <c r="D1339" t="str">
        <f>_xlfn.XLOOKUP(RW_DT_PRODUCTION[[#This Row],[MATERIAL_ID]],DIM_MATERIAL[MATERIAL_ID],DIM_MATERIAL[UOM_AFTER_PROCESS])</f>
        <v>BAG</v>
      </c>
      <c r="E1339">
        <v>22</v>
      </c>
    </row>
    <row r="1340" spans="1:5" x14ac:dyDescent="0.2">
      <c r="A1340" s="3">
        <v>45776</v>
      </c>
      <c r="B1340" t="s">
        <v>2</v>
      </c>
      <c r="C1340">
        <v>1</v>
      </c>
      <c r="D1340" t="str">
        <f>_xlfn.XLOOKUP(RW_DT_PRODUCTION[[#This Row],[MATERIAL_ID]],DIM_MATERIAL[MATERIAL_ID],DIM_MATERIAL[UOM_AFTER_PROCESS])</f>
        <v>BAG</v>
      </c>
      <c r="E1340">
        <v>22</v>
      </c>
    </row>
    <row r="1341" spans="1:5" x14ac:dyDescent="0.2">
      <c r="A1341" s="3">
        <v>45777</v>
      </c>
      <c r="B1341" t="s">
        <v>1</v>
      </c>
      <c r="C1341">
        <v>1</v>
      </c>
      <c r="D1341" t="str">
        <f>_xlfn.XLOOKUP(RW_DT_PRODUCTION[[#This Row],[MATERIAL_ID]],DIM_MATERIAL[MATERIAL_ID],DIM_MATERIAL[UOM_AFTER_PROCESS])</f>
        <v>BALE</v>
      </c>
      <c r="E1341">
        <v>67</v>
      </c>
    </row>
    <row r="1342" spans="1:5" x14ac:dyDescent="0.2">
      <c r="A1342" s="3">
        <v>45777</v>
      </c>
      <c r="B1342" t="s">
        <v>1</v>
      </c>
      <c r="C1342">
        <v>1</v>
      </c>
      <c r="D1342" t="str">
        <f>_xlfn.XLOOKUP(RW_DT_PRODUCTION[[#This Row],[MATERIAL_ID]],DIM_MATERIAL[MATERIAL_ID],DIM_MATERIAL[UOM_AFTER_PROCESS])</f>
        <v>BALE</v>
      </c>
      <c r="E1342">
        <v>74</v>
      </c>
    </row>
    <row r="1343" spans="1:5" x14ac:dyDescent="0.2">
      <c r="A1343" s="3">
        <v>45777</v>
      </c>
      <c r="B1343" t="s">
        <v>1</v>
      </c>
      <c r="C1343">
        <v>1</v>
      </c>
      <c r="D1343" t="str">
        <f>_xlfn.XLOOKUP(RW_DT_PRODUCTION[[#This Row],[MATERIAL_ID]],DIM_MATERIAL[MATERIAL_ID],DIM_MATERIAL[UOM_AFTER_PROCESS])</f>
        <v>BALE</v>
      </c>
      <c r="E1343">
        <v>72</v>
      </c>
    </row>
    <row r="1344" spans="1:5" x14ac:dyDescent="0.2">
      <c r="A1344" s="3">
        <v>45777</v>
      </c>
      <c r="B1344" t="s">
        <v>1</v>
      </c>
      <c r="C1344">
        <v>1</v>
      </c>
      <c r="D1344" t="str">
        <f>_xlfn.XLOOKUP(RW_DT_PRODUCTION[[#This Row],[MATERIAL_ID]],DIM_MATERIAL[MATERIAL_ID],DIM_MATERIAL[UOM_AFTER_PROCESS])</f>
        <v>BALE</v>
      </c>
      <c r="E1344">
        <v>64</v>
      </c>
    </row>
    <row r="1345" spans="1:5" x14ac:dyDescent="0.2">
      <c r="A1345" s="3">
        <v>45777</v>
      </c>
      <c r="B1345" t="s">
        <v>1</v>
      </c>
      <c r="C1345">
        <v>1</v>
      </c>
      <c r="D1345" t="str">
        <f>_xlfn.XLOOKUP(RW_DT_PRODUCTION[[#This Row],[MATERIAL_ID]],DIM_MATERIAL[MATERIAL_ID],DIM_MATERIAL[UOM_AFTER_PROCESS])</f>
        <v>BALE</v>
      </c>
      <c r="E1345">
        <v>76</v>
      </c>
    </row>
    <row r="1346" spans="1:5" x14ac:dyDescent="0.2">
      <c r="A1346" s="3">
        <v>45777</v>
      </c>
      <c r="B1346" t="s">
        <v>1</v>
      </c>
      <c r="C1346">
        <v>1</v>
      </c>
      <c r="D1346" t="str">
        <f>_xlfn.XLOOKUP(RW_DT_PRODUCTION[[#This Row],[MATERIAL_ID]],DIM_MATERIAL[MATERIAL_ID],DIM_MATERIAL[UOM_AFTER_PROCESS])</f>
        <v>BALE</v>
      </c>
      <c r="E1346">
        <v>72</v>
      </c>
    </row>
    <row r="1347" spans="1:5" x14ac:dyDescent="0.2">
      <c r="A1347" s="3">
        <v>45778</v>
      </c>
      <c r="B1347" t="s">
        <v>1</v>
      </c>
      <c r="C1347">
        <v>1</v>
      </c>
      <c r="D1347" t="str">
        <f>_xlfn.XLOOKUP(RW_DT_PRODUCTION[[#This Row],[MATERIAL_ID]],DIM_MATERIAL[MATERIAL_ID],DIM_MATERIAL[UOM_AFTER_PROCESS])</f>
        <v>BALE</v>
      </c>
      <c r="E1347">
        <v>63</v>
      </c>
    </row>
    <row r="1348" spans="1:5" x14ac:dyDescent="0.2">
      <c r="A1348" s="3">
        <v>45778</v>
      </c>
      <c r="B1348" t="s">
        <v>1</v>
      </c>
      <c r="C1348">
        <v>1</v>
      </c>
      <c r="D1348" t="str">
        <f>_xlfn.XLOOKUP(RW_DT_PRODUCTION[[#This Row],[MATERIAL_ID]],DIM_MATERIAL[MATERIAL_ID],DIM_MATERIAL[UOM_AFTER_PROCESS])</f>
        <v>BALE</v>
      </c>
      <c r="E1348">
        <v>62</v>
      </c>
    </row>
    <row r="1349" spans="1:5" x14ac:dyDescent="0.2">
      <c r="A1349" s="3">
        <v>45780</v>
      </c>
      <c r="B1349" t="s">
        <v>1</v>
      </c>
      <c r="C1349">
        <v>1</v>
      </c>
      <c r="D1349" t="str">
        <f>_xlfn.XLOOKUP(RW_DT_PRODUCTION[[#This Row],[MATERIAL_ID]],DIM_MATERIAL[MATERIAL_ID],DIM_MATERIAL[UOM_AFTER_PROCESS])</f>
        <v>BALE</v>
      </c>
      <c r="E1349">
        <v>68</v>
      </c>
    </row>
    <row r="1350" spans="1:5" x14ac:dyDescent="0.2">
      <c r="A1350" s="3">
        <v>45780</v>
      </c>
      <c r="B1350" t="s">
        <v>1</v>
      </c>
      <c r="C1350">
        <v>1</v>
      </c>
      <c r="D1350" t="str">
        <f>_xlfn.XLOOKUP(RW_DT_PRODUCTION[[#This Row],[MATERIAL_ID]],DIM_MATERIAL[MATERIAL_ID],DIM_MATERIAL[UOM_AFTER_PROCESS])</f>
        <v>BALE</v>
      </c>
      <c r="E1350">
        <v>61</v>
      </c>
    </row>
    <row r="1351" spans="1:5" x14ac:dyDescent="0.2">
      <c r="A1351" s="3">
        <v>45780</v>
      </c>
      <c r="B1351" t="s">
        <v>1</v>
      </c>
      <c r="C1351">
        <v>1</v>
      </c>
      <c r="D1351" t="str">
        <f>_xlfn.XLOOKUP(RW_DT_PRODUCTION[[#This Row],[MATERIAL_ID]],DIM_MATERIAL[MATERIAL_ID],DIM_MATERIAL[UOM_AFTER_PROCESS])</f>
        <v>BALE</v>
      </c>
      <c r="E1351">
        <v>63</v>
      </c>
    </row>
    <row r="1352" spans="1:5" x14ac:dyDescent="0.2">
      <c r="A1352" s="3">
        <v>45780</v>
      </c>
      <c r="B1352" t="s">
        <v>1</v>
      </c>
      <c r="C1352">
        <v>1</v>
      </c>
      <c r="D1352" t="str">
        <f>_xlfn.XLOOKUP(RW_DT_PRODUCTION[[#This Row],[MATERIAL_ID]],DIM_MATERIAL[MATERIAL_ID],DIM_MATERIAL[UOM_AFTER_PROCESS])</f>
        <v>BALE</v>
      </c>
      <c r="E1352">
        <v>65</v>
      </c>
    </row>
    <row r="1353" spans="1:5" x14ac:dyDescent="0.2">
      <c r="A1353" s="3">
        <v>45780</v>
      </c>
      <c r="B1353" t="s">
        <v>1</v>
      </c>
      <c r="C1353">
        <v>1</v>
      </c>
      <c r="D1353" t="str">
        <f>_xlfn.XLOOKUP(RW_DT_PRODUCTION[[#This Row],[MATERIAL_ID]],DIM_MATERIAL[MATERIAL_ID],DIM_MATERIAL[UOM_AFTER_PROCESS])</f>
        <v>BALE</v>
      </c>
      <c r="E1353">
        <v>82</v>
      </c>
    </row>
    <row r="1354" spans="1:5" x14ac:dyDescent="0.2">
      <c r="A1354" s="3">
        <v>45780</v>
      </c>
      <c r="B1354" t="s">
        <v>1</v>
      </c>
      <c r="C1354">
        <v>1</v>
      </c>
      <c r="D1354" t="str">
        <f>_xlfn.XLOOKUP(RW_DT_PRODUCTION[[#This Row],[MATERIAL_ID]],DIM_MATERIAL[MATERIAL_ID],DIM_MATERIAL[UOM_AFTER_PROCESS])</f>
        <v>BALE</v>
      </c>
      <c r="E1354">
        <v>83</v>
      </c>
    </row>
    <row r="1355" spans="1:5" x14ac:dyDescent="0.2">
      <c r="A1355" s="3">
        <v>45780</v>
      </c>
      <c r="B1355" t="s">
        <v>1</v>
      </c>
      <c r="C1355">
        <v>1</v>
      </c>
      <c r="D1355" t="str">
        <f>_xlfn.XLOOKUP(RW_DT_PRODUCTION[[#This Row],[MATERIAL_ID]],DIM_MATERIAL[MATERIAL_ID],DIM_MATERIAL[UOM_AFTER_PROCESS])</f>
        <v>BALE</v>
      </c>
      <c r="E1355">
        <v>72</v>
      </c>
    </row>
    <row r="1356" spans="1:5" x14ac:dyDescent="0.2">
      <c r="A1356" s="3">
        <v>45780</v>
      </c>
      <c r="B1356" t="s">
        <v>1</v>
      </c>
      <c r="C1356">
        <v>1</v>
      </c>
      <c r="D1356" t="str">
        <f>_xlfn.XLOOKUP(RW_DT_PRODUCTION[[#This Row],[MATERIAL_ID]],DIM_MATERIAL[MATERIAL_ID],DIM_MATERIAL[UOM_AFTER_PROCESS])</f>
        <v>BALE</v>
      </c>
      <c r="E1356">
        <v>80</v>
      </c>
    </row>
    <row r="1357" spans="1:5" x14ac:dyDescent="0.2">
      <c r="A1357" s="3">
        <v>45780</v>
      </c>
      <c r="B1357" t="s">
        <v>2</v>
      </c>
      <c r="C1357">
        <v>1</v>
      </c>
      <c r="D1357" t="str">
        <f>_xlfn.XLOOKUP(RW_DT_PRODUCTION[[#This Row],[MATERIAL_ID]],DIM_MATERIAL[MATERIAL_ID],DIM_MATERIAL[UOM_AFTER_PROCESS])</f>
        <v>BAG</v>
      </c>
      <c r="E1357">
        <v>22</v>
      </c>
    </row>
    <row r="1358" spans="1:5" x14ac:dyDescent="0.2">
      <c r="A1358" s="3">
        <v>45780</v>
      </c>
      <c r="B1358" t="s">
        <v>2</v>
      </c>
      <c r="C1358">
        <v>1</v>
      </c>
      <c r="D1358" t="str">
        <f>_xlfn.XLOOKUP(RW_DT_PRODUCTION[[#This Row],[MATERIAL_ID]],DIM_MATERIAL[MATERIAL_ID],DIM_MATERIAL[UOM_AFTER_PROCESS])</f>
        <v>BAG</v>
      </c>
      <c r="E1358">
        <v>22</v>
      </c>
    </row>
    <row r="1359" spans="1:5" x14ac:dyDescent="0.2">
      <c r="A1359" s="3">
        <v>45782</v>
      </c>
      <c r="B1359" t="s">
        <v>1</v>
      </c>
      <c r="C1359">
        <v>1</v>
      </c>
      <c r="D1359" t="str">
        <f>_xlfn.XLOOKUP(RW_DT_PRODUCTION[[#This Row],[MATERIAL_ID]],DIM_MATERIAL[MATERIAL_ID],DIM_MATERIAL[UOM_AFTER_PROCESS])</f>
        <v>BALE</v>
      </c>
      <c r="E1359">
        <v>63</v>
      </c>
    </row>
    <row r="1360" spans="1:5" x14ac:dyDescent="0.2">
      <c r="A1360" s="3">
        <v>45782</v>
      </c>
      <c r="B1360" t="s">
        <v>1</v>
      </c>
      <c r="C1360">
        <v>1</v>
      </c>
      <c r="D1360" t="str">
        <f>_xlfn.XLOOKUP(RW_DT_PRODUCTION[[#This Row],[MATERIAL_ID]],DIM_MATERIAL[MATERIAL_ID],DIM_MATERIAL[UOM_AFTER_PROCESS])</f>
        <v>BALE</v>
      </c>
      <c r="E1360">
        <v>61</v>
      </c>
    </row>
    <row r="1361" spans="1:5" x14ac:dyDescent="0.2">
      <c r="A1361" s="3">
        <v>45782</v>
      </c>
      <c r="B1361" t="s">
        <v>1</v>
      </c>
      <c r="C1361">
        <v>1</v>
      </c>
      <c r="D1361" t="str">
        <f>_xlfn.XLOOKUP(RW_DT_PRODUCTION[[#This Row],[MATERIAL_ID]],DIM_MATERIAL[MATERIAL_ID],DIM_MATERIAL[UOM_AFTER_PROCESS])</f>
        <v>BALE</v>
      </c>
      <c r="E1361">
        <v>77</v>
      </c>
    </row>
    <row r="1362" spans="1:5" x14ac:dyDescent="0.2">
      <c r="A1362" s="3">
        <v>45782</v>
      </c>
      <c r="B1362" t="s">
        <v>1</v>
      </c>
      <c r="C1362">
        <v>1</v>
      </c>
      <c r="D1362" t="str">
        <f>_xlfn.XLOOKUP(RW_DT_PRODUCTION[[#This Row],[MATERIAL_ID]],DIM_MATERIAL[MATERIAL_ID],DIM_MATERIAL[UOM_AFTER_PROCESS])</f>
        <v>BALE</v>
      </c>
      <c r="E1362">
        <v>67</v>
      </c>
    </row>
    <row r="1363" spans="1:5" x14ac:dyDescent="0.2">
      <c r="A1363" s="3">
        <v>45782</v>
      </c>
      <c r="B1363" t="s">
        <v>1</v>
      </c>
      <c r="C1363">
        <v>1</v>
      </c>
      <c r="D1363" t="str">
        <f>_xlfn.XLOOKUP(RW_DT_PRODUCTION[[#This Row],[MATERIAL_ID]],DIM_MATERIAL[MATERIAL_ID],DIM_MATERIAL[UOM_AFTER_PROCESS])</f>
        <v>BALE</v>
      </c>
      <c r="E1363">
        <v>74</v>
      </c>
    </row>
    <row r="1364" spans="1:5" x14ac:dyDescent="0.2">
      <c r="A1364" s="3">
        <v>45782</v>
      </c>
      <c r="B1364" t="s">
        <v>1</v>
      </c>
      <c r="C1364">
        <v>1</v>
      </c>
      <c r="D1364" t="str">
        <f>_xlfn.XLOOKUP(RW_DT_PRODUCTION[[#This Row],[MATERIAL_ID]],DIM_MATERIAL[MATERIAL_ID],DIM_MATERIAL[UOM_AFTER_PROCESS])</f>
        <v>BALE</v>
      </c>
      <c r="E1364">
        <v>89</v>
      </c>
    </row>
    <row r="1365" spans="1:5" x14ac:dyDescent="0.2">
      <c r="A1365" s="3">
        <v>45782</v>
      </c>
      <c r="B1365" t="s">
        <v>1</v>
      </c>
      <c r="C1365">
        <v>1</v>
      </c>
      <c r="D1365" t="str">
        <f>_xlfn.XLOOKUP(RW_DT_PRODUCTION[[#This Row],[MATERIAL_ID]],DIM_MATERIAL[MATERIAL_ID],DIM_MATERIAL[UOM_AFTER_PROCESS])</f>
        <v>BALE</v>
      </c>
      <c r="E1365">
        <v>71</v>
      </c>
    </row>
    <row r="1366" spans="1:5" x14ac:dyDescent="0.2">
      <c r="A1366" s="3">
        <v>45782</v>
      </c>
      <c r="B1366" t="s">
        <v>1</v>
      </c>
      <c r="C1366">
        <v>1</v>
      </c>
      <c r="D1366" t="str">
        <f>_xlfn.XLOOKUP(RW_DT_PRODUCTION[[#This Row],[MATERIAL_ID]],DIM_MATERIAL[MATERIAL_ID],DIM_MATERIAL[UOM_AFTER_PROCESS])</f>
        <v>BALE</v>
      </c>
      <c r="E1366">
        <v>60</v>
      </c>
    </row>
    <row r="1367" spans="1:5" x14ac:dyDescent="0.2">
      <c r="A1367" s="3">
        <v>45782</v>
      </c>
      <c r="B1367" t="s">
        <v>1</v>
      </c>
      <c r="C1367">
        <v>1</v>
      </c>
      <c r="D1367" t="str">
        <f>_xlfn.XLOOKUP(RW_DT_PRODUCTION[[#This Row],[MATERIAL_ID]],DIM_MATERIAL[MATERIAL_ID],DIM_MATERIAL[UOM_AFTER_PROCESS])</f>
        <v>BALE</v>
      </c>
      <c r="E1367">
        <v>89</v>
      </c>
    </row>
    <row r="1368" spans="1:5" x14ac:dyDescent="0.2">
      <c r="A1368" s="3">
        <v>45782</v>
      </c>
      <c r="B1368" t="s">
        <v>1</v>
      </c>
      <c r="C1368">
        <v>1</v>
      </c>
      <c r="D1368" t="str">
        <f>_xlfn.XLOOKUP(RW_DT_PRODUCTION[[#This Row],[MATERIAL_ID]],DIM_MATERIAL[MATERIAL_ID],DIM_MATERIAL[UOM_AFTER_PROCESS])</f>
        <v>BALE</v>
      </c>
      <c r="E1368">
        <v>70</v>
      </c>
    </row>
    <row r="1369" spans="1:5" x14ac:dyDescent="0.2">
      <c r="A1369" s="3">
        <v>45783</v>
      </c>
      <c r="B1369" t="s">
        <v>1</v>
      </c>
      <c r="C1369">
        <v>1</v>
      </c>
      <c r="D1369" t="str">
        <f>_xlfn.XLOOKUP(RW_DT_PRODUCTION[[#This Row],[MATERIAL_ID]],DIM_MATERIAL[MATERIAL_ID],DIM_MATERIAL[UOM_AFTER_PROCESS])</f>
        <v>BALE</v>
      </c>
      <c r="E1369">
        <v>61</v>
      </c>
    </row>
    <row r="1370" spans="1:5" x14ac:dyDescent="0.2">
      <c r="A1370" s="3">
        <v>45783</v>
      </c>
      <c r="B1370" t="s">
        <v>1</v>
      </c>
      <c r="C1370">
        <v>1</v>
      </c>
      <c r="D1370" t="str">
        <f>_xlfn.XLOOKUP(RW_DT_PRODUCTION[[#This Row],[MATERIAL_ID]],DIM_MATERIAL[MATERIAL_ID],DIM_MATERIAL[UOM_AFTER_PROCESS])</f>
        <v>BALE</v>
      </c>
      <c r="E1370">
        <v>68</v>
      </c>
    </row>
    <row r="1371" spans="1:5" x14ac:dyDescent="0.2">
      <c r="A1371" s="3">
        <v>45783</v>
      </c>
      <c r="B1371" t="s">
        <v>1</v>
      </c>
      <c r="C1371">
        <v>1</v>
      </c>
      <c r="D1371" t="str">
        <f>_xlfn.XLOOKUP(RW_DT_PRODUCTION[[#This Row],[MATERIAL_ID]],DIM_MATERIAL[MATERIAL_ID],DIM_MATERIAL[UOM_AFTER_PROCESS])</f>
        <v>BALE</v>
      </c>
      <c r="E1371">
        <v>68</v>
      </c>
    </row>
    <row r="1372" spans="1:5" x14ac:dyDescent="0.2">
      <c r="A1372" s="3">
        <v>45783</v>
      </c>
      <c r="B1372" t="s">
        <v>1</v>
      </c>
      <c r="C1372">
        <v>1</v>
      </c>
      <c r="D1372" t="str">
        <f>_xlfn.XLOOKUP(RW_DT_PRODUCTION[[#This Row],[MATERIAL_ID]],DIM_MATERIAL[MATERIAL_ID],DIM_MATERIAL[UOM_AFTER_PROCESS])</f>
        <v>BALE</v>
      </c>
      <c r="E1372">
        <v>87</v>
      </c>
    </row>
    <row r="1373" spans="1:5" x14ac:dyDescent="0.2">
      <c r="A1373" s="3">
        <v>45783</v>
      </c>
      <c r="B1373" t="s">
        <v>1</v>
      </c>
      <c r="C1373">
        <v>1</v>
      </c>
      <c r="D1373" t="str">
        <f>_xlfn.XLOOKUP(RW_DT_PRODUCTION[[#This Row],[MATERIAL_ID]],DIM_MATERIAL[MATERIAL_ID],DIM_MATERIAL[UOM_AFTER_PROCESS])</f>
        <v>BALE</v>
      </c>
      <c r="E1373">
        <v>87</v>
      </c>
    </row>
    <row r="1374" spans="1:5" x14ac:dyDescent="0.2">
      <c r="A1374" s="3">
        <v>45783</v>
      </c>
      <c r="B1374" t="s">
        <v>1</v>
      </c>
      <c r="C1374">
        <v>1</v>
      </c>
      <c r="D1374" t="str">
        <f>_xlfn.XLOOKUP(RW_DT_PRODUCTION[[#This Row],[MATERIAL_ID]],DIM_MATERIAL[MATERIAL_ID],DIM_MATERIAL[UOM_AFTER_PROCESS])</f>
        <v>BALE</v>
      </c>
      <c r="E1374">
        <v>73</v>
      </c>
    </row>
    <row r="1375" spans="1:5" x14ac:dyDescent="0.2">
      <c r="A1375" s="3">
        <v>45783</v>
      </c>
      <c r="B1375" t="s">
        <v>1</v>
      </c>
      <c r="C1375">
        <v>1</v>
      </c>
      <c r="D1375" t="str">
        <f>_xlfn.XLOOKUP(RW_DT_PRODUCTION[[#This Row],[MATERIAL_ID]],DIM_MATERIAL[MATERIAL_ID],DIM_MATERIAL[UOM_AFTER_PROCESS])</f>
        <v>BALE</v>
      </c>
      <c r="E1375">
        <v>73</v>
      </c>
    </row>
    <row r="1376" spans="1:5" x14ac:dyDescent="0.2">
      <c r="A1376" s="3">
        <v>45783</v>
      </c>
      <c r="B1376" t="s">
        <v>1</v>
      </c>
      <c r="C1376">
        <v>1</v>
      </c>
      <c r="D1376" t="str">
        <f>_xlfn.XLOOKUP(RW_DT_PRODUCTION[[#This Row],[MATERIAL_ID]],DIM_MATERIAL[MATERIAL_ID],DIM_MATERIAL[UOM_AFTER_PROCESS])</f>
        <v>BALE</v>
      </c>
      <c r="E1376">
        <v>84</v>
      </c>
    </row>
    <row r="1377" spans="1:5" x14ac:dyDescent="0.2">
      <c r="A1377" s="3">
        <v>45784</v>
      </c>
      <c r="B1377" t="s">
        <v>1</v>
      </c>
      <c r="C1377">
        <v>1</v>
      </c>
      <c r="D1377" t="str">
        <f>_xlfn.XLOOKUP(RW_DT_PRODUCTION[[#This Row],[MATERIAL_ID]],DIM_MATERIAL[MATERIAL_ID],DIM_MATERIAL[UOM_AFTER_PROCESS])</f>
        <v>BALE</v>
      </c>
      <c r="E1377">
        <v>71</v>
      </c>
    </row>
    <row r="1378" spans="1:5" x14ac:dyDescent="0.2">
      <c r="A1378" s="3">
        <v>45784</v>
      </c>
      <c r="B1378" t="s">
        <v>1</v>
      </c>
      <c r="C1378">
        <v>1</v>
      </c>
      <c r="D1378" t="str">
        <f>_xlfn.XLOOKUP(RW_DT_PRODUCTION[[#This Row],[MATERIAL_ID]],DIM_MATERIAL[MATERIAL_ID],DIM_MATERIAL[UOM_AFTER_PROCESS])</f>
        <v>BALE</v>
      </c>
      <c r="E1378">
        <v>79</v>
      </c>
    </row>
    <row r="1379" spans="1:5" x14ac:dyDescent="0.2">
      <c r="A1379" s="3">
        <v>45784</v>
      </c>
      <c r="B1379" t="s">
        <v>1</v>
      </c>
      <c r="C1379">
        <v>1</v>
      </c>
      <c r="D1379" t="str">
        <f>_xlfn.XLOOKUP(RW_DT_PRODUCTION[[#This Row],[MATERIAL_ID]],DIM_MATERIAL[MATERIAL_ID],DIM_MATERIAL[UOM_AFTER_PROCESS])</f>
        <v>BALE</v>
      </c>
      <c r="E1379">
        <v>86</v>
      </c>
    </row>
    <row r="1380" spans="1:5" x14ac:dyDescent="0.2">
      <c r="A1380" s="3">
        <v>45784</v>
      </c>
      <c r="B1380" t="s">
        <v>1</v>
      </c>
      <c r="C1380">
        <v>1</v>
      </c>
      <c r="D1380" t="str">
        <f>_xlfn.XLOOKUP(RW_DT_PRODUCTION[[#This Row],[MATERIAL_ID]],DIM_MATERIAL[MATERIAL_ID],DIM_MATERIAL[UOM_AFTER_PROCESS])</f>
        <v>BALE</v>
      </c>
      <c r="E1380">
        <v>80</v>
      </c>
    </row>
    <row r="1381" spans="1:5" x14ac:dyDescent="0.2">
      <c r="A1381" s="3">
        <v>45784</v>
      </c>
      <c r="B1381" t="s">
        <v>1</v>
      </c>
      <c r="C1381">
        <v>1</v>
      </c>
      <c r="D1381" t="str">
        <f>_xlfn.XLOOKUP(RW_DT_PRODUCTION[[#This Row],[MATERIAL_ID]],DIM_MATERIAL[MATERIAL_ID],DIM_MATERIAL[UOM_AFTER_PROCESS])</f>
        <v>BALE</v>
      </c>
      <c r="E1381">
        <v>65</v>
      </c>
    </row>
    <row r="1382" spans="1:5" x14ac:dyDescent="0.2">
      <c r="A1382" s="3">
        <v>45784</v>
      </c>
      <c r="B1382" t="s">
        <v>2</v>
      </c>
      <c r="C1382">
        <v>1</v>
      </c>
      <c r="D1382" t="str">
        <f>_xlfn.XLOOKUP(RW_DT_PRODUCTION[[#This Row],[MATERIAL_ID]],DIM_MATERIAL[MATERIAL_ID],DIM_MATERIAL[UOM_AFTER_PROCESS])</f>
        <v>BAG</v>
      </c>
      <c r="E1382">
        <v>22</v>
      </c>
    </row>
    <row r="1383" spans="1:5" x14ac:dyDescent="0.2">
      <c r="A1383" s="3">
        <v>45784</v>
      </c>
      <c r="B1383" t="s">
        <v>2</v>
      </c>
      <c r="C1383">
        <v>1</v>
      </c>
      <c r="D1383" t="str">
        <f>_xlfn.XLOOKUP(RW_DT_PRODUCTION[[#This Row],[MATERIAL_ID]],DIM_MATERIAL[MATERIAL_ID],DIM_MATERIAL[UOM_AFTER_PROCESS])</f>
        <v>BAG</v>
      </c>
      <c r="E1383">
        <v>22</v>
      </c>
    </row>
    <row r="1384" spans="1:5" x14ac:dyDescent="0.2">
      <c r="A1384" s="3">
        <v>45784</v>
      </c>
      <c r="B1384" t="s">
        <v>2</v>
      </c>
      <c r="C1384">
        <v>1</v>
      </c>
      <c r="D1384" t="str">
        <f>_xlfn.XLOOKUP(RW_DT_PRODUCTION[[#This Row],[MATERIAL_ID]],DIM_MATERIAL[MATERIAL_ID],DIM_MATERIAL[UOM_AFTER_PROCESS])</f>
        <v>BAG</v>
      </c>
      <c r="E1384">
        <v>22</v>
      </c>
    </row>
    <row r="1385" spans="1:5" x14ac:dyDescent="0.2">
      <c r="A1385" s="3">
        <v>45785</v>
      </c>
      <c r="B1385" t="s">
        <v>1</v>
      </c>
      <c r="C1385">
        <v>1</v>
      </c>
      <c r="D1385" t="str">
        <f>_xlfn.XLOOKUP(RW_DT_PRODUCTION[[#This Row],[MATERIAL_ID]],DIM_MATERIAL[MATERIAL_ID],DIM_MATERIAL[UOM_AFTER_PROCESS])</f>
        <v>BALE</v>
      </c>
      <c r="E1385">
        <v>63</v>
      </c>
    </row>
    <row r="1386" spans="1:5" x14ac:dyDescent="0.2">
      <c r="A1386" s="3">
        <v>45785</v>
      </c>
      <c r="B1386" t="s">
        <v>1</v>
      </c>
      <c r="C1386">
        <v>1</v>
      </c>
      <c r="D1386" t="str">
        <f>_xlfn.XLOOKUP(RW_DT_PRODUCTION[[#This Row],[MATERIAL_ID]],DIM_MATERIAL[MATERIAL_ID],DIM_MATERIAL[UOM_AFTER_PROCESS])</f>
        <v>BALE</v>
      </c>
      <c r="E1386">
        <v>62</v>
      </c>
    </row>
    <row r="1387" spans="1:5" x14ac:dyDescent="0.2">
      <c r="A1387" s="3">
        <v>45785</v>
      </c>
      <c r="B1387" t="s">
        <v>1</v>
      </c>
      <c r="C1387">
        <v>1</v>
      </c>
      <c r="D1387" t="str">
        <f>_xlfn.XLOOKUP(RW_DT_PRODUCTION[[#This Row],[MATERIAL_ID]],DIM_MATERIAL[MATERIAL_ID],DIM_MATERIAL[UOM_AFTER_PROCESS])</f>
        <v>BALE</v>
      </c>
      <c r="E1387">
        <v>69</v>
      </c>
    </row>
    <row r="1388" spans="1:5" x14ac:dyDescent="0.2">
      <c r="A1388" s="3">
        <v>45785</v>
      </c>
      <c r="B1388" t="s">
        <v>1</v>
      </c>
      <c r="C1388">
        <v>1</v>
      </c>
      <c r="D1388" t="str">
        <f>_xlfn.XLOOKUP(RW_DT_PRODUCTION[[#This Row],[MATERIAL_ID]],DIM_MATERIAL[MATERIAL_ID],DIM_MATERIAL[UOM_AFTER_PROCESS])</f>
        <v>BALE</v>
      </c>
      <c r="E1388">
        <v>61</v>
      </c>
    </row>
    <row r="1389" spans="1:5" x14ac:dyDescent="0.2">
      <c r="A1389" s="3">
        <v>45785</v>
      </c>
      <c r="B1389" t="s">
        <v>1</v>
      </c>
      <c r="C1389">
        <v>1</v>
      </c>
      <c r="D1389" t="str">
        <f>_xlfn.XLOOKUP(RW_DT_PRODUCTION[[#This Row],[MATERIAL_ID]],DIM_MATERIAL[MATERIAL_ID],DIM_MATERIAL[UOM_AFTER_PROCESS])</f>
        <v>BALE</v>
      </c>
      <c r="E1389">
        <v>61</v>
      </c>
    </row>
    <row r="1390" spans="1:5" x14ac:dyDescent="0.2">
      <c r="A1390" s="3">
        <v>45785</v>
      </c>
      <c r="B1390" t="s">
        <v>1</v>
      </c>
      <c r="C1390">
        <v>1</v>
      </c>
      <c r="D1390" t="str">
        <f>_xlfn.XLOOKUP(RW_DT_PRODUCTION[[#This Row],[MATERIAL_ID]],DIM_MATERIAL[MATERIAL_ID],DIM_MATERIAL[UOM_AFTER_PROCESS])</f>
        <v>BALE</v>
      </c>
      <c r="E1390">
        <v>86</v>
      </c>
    </row>
    <row r="1391" spans="1:5" x14ac:dyDescent="0.2">
      <c r="A1391" s="3">
        <v>45785</v>
      </c>
      <c r="B1391" t="s">
        <v>1</v>
      </c>
      <c r="C1391">
        <v>1</v>
      </c>
      <c r="D1391" t="str">
        <f>_xlfn.XLOOKUP(RW_DT_PRODUCTION[[#This Row],[MATERIAL_ID]],DIM_MATERIAL[MATERIAL_ID],DIM_MATERIAL[UOM_AFTER_PROCESS])</f>
        <v>BALE</v>
      </c>
      <c r="E1391">
        <v>77</v>
      </c>
    </row>
    <row r="1392" spans="1:5" x14ac:dyDescent="0.2">
      <c r="A1392" s="3">
        <v>45785</v>
      </c>
      <c r="B1392" t="s">
        <v>1</v>
      </c>
      <c r="C1392">
        <v>1</v>
      </c>
      <c r="D1392" t="str">
        <f>_xlfn.XLOOKUP(RW_DT_PRODUCTION[[#This Row],[MATERIAL_ID]],DIM_MATERIAL[MATERIAL_ID],DIM_MATERIAL[UOM_AFTER_PROCESS])</f>
        <v>BALE</v>
      </c>
      <c r="E1392">
        <v>71</v>
      </c>
    </row>
    <row r="1393" spans="1:5" x14ac:dyDescent="0.2">
      <c r="A1393" s="3">
        <v>45785</v>
      </c>
      <c r="B1393" t="s">
        <v>1</v>
      </c>
      <c r="C1393">
        <v>1</v>
      </c>
      <c r="D1393" t="str">
        <f>_xlfn.XLOOKUP(RW_DT_PRODUCTION[[#This Row],[MATERIAL_ID]],DIM_MATERIAL[MATERIAL_ID],DIM_MATERIAL[UOM_AFTER_PROCESS])</f>
        <v>BALE</v>
      </c>
      <c r="E1393">
        <v>60</v>
      </c>
    </row>
    <row r="1394" spans="1:5" x14ac:dyDescent="0.2">
      <c r="A1394" s="3">
        <v>45785</v>
      </c>
      <c r="B1394" t="s">
        <v>1</v>
      </c>
      <c r="C1394">
        <v>1</v>
      </c>
      <c r="D1394" t="str">
        <f>_xlfn.XLOOKUP(RW_DT_PRODUCTION[[#This Row],[MATERIAL_ID]],DIM_MATERIAL[MATERIAL_ID],DIM_MATERIAL[UOM_AFTER_PROCESS])</f>
        <v>BALE</v>
      </c>
      <c r="E1394">
        <v>72</v>
      </c>
    </row>
    <row r="1395" spans="1:5" x14ac:dyDescent="0.2">
      <c r="A1395" s="3">
        <v>45785</v>
      </c>
      <c r="B1395" t="s">
        <v>1</v>
      </c>
      <c r="C1395">
        <v>1</v>
      </c>
      <c r="D1395" t="str">
        <f>_xlfn.XLOOKUP(RW_DT_PRODUCTION[[#This Row],[MATERIAL_ID]],DIM_MATERIAL[MATERIAL_ID],DIM_MATERIAL[UOM_AFTER_PROCESS])</f>
        <v>BALE</v>
      </c>
      <c r="E1395">
        <v>77</v>
      </c>
    </row>
    <row r="1396" spans="1:5" x14ac:dyDescent="0.2">
      <c r="A1396" s="3">
        <v>45785</v>
      </c>
      <c r="B1396" t="s">
        <v>1</v>
      </c>
      <c r="C1396">
        <v>1</v>
      </c>
      <c r="D1396" t="str">
        <f>_xlfn.XLOOKUP(RW_DT_PRODUCTION[[#This Row],[MATERIAL_ID]],DIM_MATERIAL[MATERIAL_ID],DIM_MATERIAL[UOM_AFTER_PROCESS])</f>
        <v>BALE</v>
      </c>
      <c r="E1396">
        <v>74</v>
      </c>
    </row>
    <row r="1397" spans="1:5" x14ac:dyDescent="0.2">
      <c r="A1397" s="3">
        <v>45785</v>
      </c>
      <c r="B1397" t="s">
        <v>1</v>
      </c>
      <c r="C1397">
        <v>1</v>
      </c>
      <c r="D1397" t="str">
        <f>_xlfn.XLOOKUP(RW_DT_PRODUCTION[[#This Row],[MATERIAL_ID]],DIM_MATERIAL[MATERIAL_ID],DIM_MATERIAL[UOM_AFTER_PROCESS])</f>
        <v>BALE</v>
      </c>
      <c r="E1397">
        <v>84</v>
      </c>
    </row>
    <row r="1398" spans="1:5" x14ac:dyDescent="0.2">
      <c r="A1398" s="3">
        <v>45785</v>
      </c>
      <c r="B1398" t="s">
        <v>1</v>
      </c>
      <c r="C1398">
        <v>1</v>
      </c>
      <c r="D1398" t="str">
        <f>_xlfn.XLOOKUP(RW_DT_PRODUCTION[[#This Row],[MATERIAL_ID]],DIM_MATERIAL[MATERIAL_ID],DIM_MATERIAL[UOM_AFTER_PROCESS])</f>
        <v>BALE</v>
      </c>
      <c r="E1398">
        <v>75</v>
      </c>
    </row>
    <row r="1399" spans="1:5" x14ac:dyDescent="0.2">
      <c r="A1399" s="3">
        <v>45785</v>
      </c>
      <c r="B1399" t="s">
        <v>1</v>
      </c>
      <c r="C1399">
        <v>1</v>
      </c>
      <c r="D1399" t="str">
        <f>_xlfn.XLOOKUP(RW_DT_PRODUCTION[[#This Row],[MATERIAL_ID]],DIM_MATERIAL[MATERIAL_ID],DIM_MATERIAL[UOM_AFTER_PROCESS])</f>
        <v>BALE</v>
      </c>
      <c r="E1399">
        <v>88</v>
      </c>
    </row>
    <row r="1400" spans="1:5" x14ac:dyDescent="0.2">
      <c r="A1400" s="3">
        <v>45786</v>
      </c>
      <c r="B1400" t="s">
        <v>1</v>
      </c>
      <c r="C1400">
        <v>1</v>
      </c>
      <c r="D1400" t="str">
        <f>_xlfn.XLOOKUP(RW_DT_PRODUCTION[[#This Row],[MATERIAL_ID]],DIM_MATERIAL[MATERIAL_ID],DIM_MATERIAL[UOM_AFTER_PROCESS])</f>
        <v>BALE</v>
      </c>
      <c r="E1400">
        <v>78</v>
      </c>
    </row>
    <row r="1401" spans="1:5" x14ac:dyDescent="0.2">
      <c r="A1401" s="3">
        <v>45786</v>
      </c>
      <c r="B1401" t="s">
        <v>1</v>
      </c>
      <c r="C1401">
        <v>1</v>
      </c>
      <c r="D1401" t="str">
        <f>_xlfn.XLOOKUP(RW_DT_PRODUCTION[[#This Row],[MATERIAL_ID]],DIM_MATERIAL[MATERIAL_ID],DIM_MATERIAL[UOM_AFTER_PROCESS])</f>
        <v>BALE</v>
      </c>
      <c r="E1401">
        <v>74</v>
      </c>
    </row>
    <row r="1402" spans="1:5" x14ac:dyDescent="0.2">
      <c r="A1402" s="3">
        <v>45786</v>
      </c>
      <c r="B1402" t="s">
        <v>1</v>
      </c>
      <c r="C1402">
        <v>1</v>
      </c>
      <c r="D1402" t="str">
        <f>_xlfn.XLOOKUP(RW_DT_PRODUCTION[[#This Row],[MATERIAL_ID]],DIM_MATERIAL[MATERIAL_ID],DIM_MATERIAL[UOM_AFTER_PROCESS])</f>
        <v>BALE</v>
      </c>
      <c r="E1402">
        <v>73</v>
      </c>
    </row>
    <row r="1403" spans="1:5" x14ac:dyDescent="0.2">
      <c r="A1403" s="3">
        <v>45786</v>
      </c>
      <c r="B1403" t="s">
        <v>1</v>
      </c>
      <c r="C1403">
        <v>1</v>
      </c>
      <c r="D1403" t="str">
        <f>_xlfn.XLOOKUP(RW_DT_PRODUCTION[[#This Row],[MATERIAL_ID]],DIM_MATERIAL[MATERIAL_ID],DIM_MATERIAL[UOM_AFTER_PROCESS])</f>
        <v>BALE</v>
      </c>
      <c r="E1403">
        <v>81</v>
      </c>
    </row>
    <row r="1404" spans="1:5" x14ac:dyDescent="0.2">
      <c r="A1404" s="3">
        <v>45786</v>
      </c>
      <c r="B1404" t="s">
        <v>1</v>
      </c>
      <c r="C1404">
        <v>1</v>
      </c>
      <c r="D1404" t="str">
        <f>_xlfn.XLOOKUP(RW_DT_PRODUCTION[[#This Row],[MATERIAL_ID]],DIM_MATERIAL[MATERIAL_ID],DIM_MATERIAL[UOM_AFTER_PROCESS])</f>
        <v>BALE</v>
      </c>
      <c r="E1404">
        <v>88</v>
      </c>
    </row>
    <row r="1405" spans="1:5" x14ac:dyDescent="0.2">
      <c r="A1405" s="3">
        <v>45786</v>
      </c>
      <c r="B1405" t="s">
        <v>1</v>
      </c>
      <c r="C1405">
        <v>1</v>
      </c>
      <c r="D1405" t="str">
        <f>_xlfn.XLOOKUP(RW_DT_PRODUCTION[[#This Row],[MATERIAL_ID]],DIM_MATERIAL[MATERIAL_ID],DIM_MATERIAL[UOM_AFTER_PROCESS])</f>
        <v>BALE</v>
      </c>
      <c r="E1405">
        <v>73</v>
      </c>
    </row>
    <row r="1406" spans="1:5" x14ac:dyDescent="0.2">
      <c r="A1406" s="3">
        <v>45787</v>
      </c>
      <c r="B1406" t="s">
        <v>1</v>
      </c>
      <c r="C1406">
        <v>1</v>
      </c>
      <c r="D1406" t="str">
        <f>_xlfn.XLOOKUP(RW_DT_PRODUCTION[[#This Row],[MATERIAL_ID]],DIM_MATERIAL[MATERIAL_ID],DIM_MATERIAL[UOM_AFTER_PROCESS])</f>
        <v>BALE</v>
      </c>
      <c r="E1406">
        <v>62</v>
      </c>
    </row>
    <row r="1407" spans="1:5" x14ac:dyDescent="0.2">
      <c r="A1407" s="3">
        <v>45787</v>
      </c>
      <c r="B1407" t="s">
        <v>1</v>
      </c>
      <c r="C1407">
        <v>1</v>
      </c>
      <c r="D1407" t="str">
        <f>_xlfn.XLOOKUP(RW_DT_PRODUCTION[[#This Row],[MATERIAL_ID]],DIM_MATERIAL[MATERIAL_ID],DIM_MATERIAL[UOM_AFTER_PROCESS])</f>
        <v>BALE</v>
      </c>
      <c r="E1407">
        <v>61</v>
      </c>
    </row>
    <row r="1408" spans="1:5" x14ac:dyDescent="0.2">
      <c r="A1408" s="3">
        <v>45787</v>
      </c>
      <c r="B1408" t="s">
        <v>1</v>
      </c>
      <c r="C1408">
        <v>1</v>
      </c>
      <c r="D1408" t="str">
        <f>_xlfn.XLOOKUP(RW_DT_PRODUCTION[[#This Row],[MATERIAL_ID]],DIM_MATERIAL[MATERIAL_ID],DIM_MATERIAL[UOM_AFTER_PROCESS])</f>
        <v>BALE</v>
      </c>
      <c r="E1408">
        <v>63</v>
      </c>
    </row>
    <row r="1409" spans="1:5" x14ac:dyDescent="0.2">
      <c r="A1409" s="3">
        <v>45789</v>
      </c>
      <c r="B1409" t="s">
        <v>1</v>
      </c>
      <c r="C1409">
        <v>1</v>
      </c>
      <c r="D1409" t="str">
        <f>_xlfn.XLOOKUP(RW_DT_PRODUCTION[[#This Row],[MATERIAL_ID]],DIM_MATERIAL[MATERIAL_ID],DIM_MATERIAL[UOM_AFTER_PROCESS])</f>
        <v>BALE</v>
      </c>
      <c r="E1409">
        <v>76</v>
      </c>
    </row>
    <row r="1410" spans="1:5" x14ac:dyDescent="0.2">
      <c r="A1410" s="3">
        <v>45789</v>
      </c>
      <c r="B1410" t="s">
        <v>1</v>
      </c>
      <c r="C1410">
        <v>1</v>
      </c>
      <c r="D1410" t="str">
        <f>_xlfn.XLOOKUP(RW_DT_PRODUCTION[[#This Row],[MATERIAL_ID]],DIM_MATERIAL[MATERIAL_ID],DIM_MATERIAL[UOM_AFTER_PROCESS])</f>
        <v>BALE</v>
      </c>
      <c r="E1410">
        <v>84</v>
      </c>
    </row>
    <row r="1411" spans="1:5" x14ac:dyDescent="0.2">
      <c r="A1411" s="3">
        <v>45789</v>
      </c>
      <c r="B1411" t="s">
        <v>1</v>
      </c>
      <c r="C1411">
        <v>1</v>
      </c>
      <c r="D1411" t="str">
        <f>_xlfn.XLOOKUP(RW_DT_PRODUCTION[[#This Row],[MATERIAL_ID]],DIM_MATERIAL[MATERIAL_ID],DIM_MATERIAL[UOM_AFTER_PROCESS])</f>
        <v>BALE</v>
      </c>
      <c r="E1411">
        <v>88</v>
      </c>
    </row>
    <row r="1412" spans="1:5" x14ac:dyDescent="0.2">
      <c r="A1412" s="3">
        <v>45789</v>
      </c>
      <c r="B1412" t="s">
        <v>1</v>
      </c>
      <c r="C1412">
        <v>1</v>
      </c>
      <c r="D1412" t="str">
        <f>_xlfn.XLOOKUP(RW_DT_PRODUCTION[[#This Row],[MATERIAL_ID]],DIM_MATERIAL[MATERIAL_ID],DIM_MATERIAL[UOM_AFTER_PROCESS])</f>
        <v>BALE</v>
      </c>
      <c r="E1412">
        <v>81</v>
      </c>
    </row>
    <row r="1413" spans="1:5" x14ac:dyDescent="0.2">
      <c r="A1413" s="3">
        <v>45789</v>
      </c>
      <c r="B1413" t="s">
        <v>1</v>
      </c>
      <c r="C1413">
        <v>1</v>
      </c>
      <c r="D1413" t="str">
        <f>_xlfn.XLOOKUP(RW_DT_PRODUCTION[[#This Row],[MATERIAL_ID]],DIM_MATERIAL[MATERIAL_ID],DIM_MATERIAL[UOM_AFTER_PROCESS])</f>
        <v>BALE</v>
      </c>
      <c r="E1413">
        <v>76</v>
      </c>
    </row>
    <row r="1414" spans="1:5" x14ac:dyDescent="0.2">
      <c r="A1414" s="3">
        <v>45790</v>
      </c>
      <c r="B1414" t="s">
        <v>1</v>
      </c>
      <c r="C1414">
        <v>1</v>
      </c>
      <c r="D1414" t="str">
        <f>_xlfn.XLOOKUP(RW_DT_PRODUCTION[[#This Row],[MATERIAL_ID]],DIM_MATERIAL[MATERIAL_ID],DIM_MATERIAL[UOM_AFTER_PROCESS])</f>
        <v>BALE</v>
      </c>
      <c r="E1414">
        <v>89</v>
      </c>
    </row>
    <row r="1415" spans="1:5" x14ac:dyDescent="0.2">
      <c r="A1415" s="3">
        <v>45790</v>
      </c>
      <c r="B1415" t="s">
        <v>1</v>
      </c>
      <c r="C1415">
        <v>1</v>
      </c>
      <c r="D1415" t="str">
        <f>_xlfn.XLOOKUP(RW_DT_PRODUCTION[[#This Row],[MATERIAL_ID]],DIM_MATERIAL[MATERIAL_ID],DIM_MATERIAL[UOM_AFTER_PROCESS])</f>
        <v>BALE</v>
      </c>
      <c r="E1415">
        <v>82</v>
      </c>
    </row>
    <row r="1416" spans="1:5" x14ac:dyDescent="0.2">
      <c r="A1416" s="3">
        <v>45790</v>
      </c>
      <c r="B1416" t="s">
        <v>1</v>
      </c>
      <c r="C1416">
        <v>1</v>
      </c>
      <c r="D1416" t="str">
        <f>_xlfn.XLOOKUP(RW_DT_PRODUCTION[[#This Row],[MATERIAL_ID]],DIM_MATERIAL[MATERIAL_ID],DIM_MATERIAL[UOM_AFTER_PROCESS])</f>
        <v>BALE</v>
      </c>
      <c r="E1416">
        <v>87</v>
      </c>
    </row>
    <row r="1417" spans="1:5" x14ac:dyDescent="0.2">
      <c r="A1417" s="3">
        <v>45790</v>
      </c>
      <c r="B1417" t="s">
        <v>1</v>
      </c>
      <c r="C1417">
        <v>1</v>
      </c>
      <c r="D1417" t="str">
        <f>_xlfn.XLOOKUP(RW_DT_PRODUCTION[[#This Row],[MATERIAL_ID]],DIM_MATERIAL[MATERIAL_ID],DIM_MATERIAL[UOM_AFTER_PROCESS])</f>
        <v>BALE</v>
      </c>
      <c r="E1417">
        <v>77</v>
      </c>
    </row>
    <row r="1418" spans="1:5" x14ac:dyDescent="0.2">
      <c r="A1418" s="3">
        <v>45790</v>
      </c>
      <c r="B1418" t="s">
        <v>1</v>
      </c>
      <c r="C1418">
        <v>1</v>
      </c>
      <c r="D1418" t="str">
        <f>_xlfn.XLOOKUP(RW_DT_PRODUCTION[[#This Row],[MATERIAL_ID]],DIM_MATERIAL[MATERIAL_ID],DIM_MATERIAL[UOM_AFTER_PROCESS])</f>
        <v>BALE</v>
      </c>
      <c r="E1418">
        <v>68</v>
      </c>
    </row>
    <row r="1419" spans="1:5" x14ac:dyDescent="0.2">
      <c r="A1419" s="3">
        <v>45790</v>
      </c>
      <c r="B1419" t="s">
        <v>1</v>
      </c>
      <c r="C1419">
        <v>1</v>
      </c>
      <c r="D1419" t="str">
        <f>_xlfn.XLOOKUP(RW_DT_PRODUCTION[[#This Row],[MATERIAL_ID]],DIM_MATERIAL[MATERIAL_ID],DIM_MATERIAL[UOM_AFTER_PROCESS])</f>
        <v>BALE</v>
      </c>
      <c r="E1419">
        <v>62</v>
      </c>
    </row>
    <row r="1420" spans="1:5" x14ac:dyDescent="0.2">
      <c r="A1420" s="3">
        <v>45790</v>
      </c>
      <c r="B1420" t="s">
        <v>1</v>
      </c>
      <c r="C1420">
        <v>1</v>
      </c>
      <c r="D1420" t="str">
        <f>_xlfn.XLOOKUP(RW_DT_PRODUCTION[[#This Row],[MATERIAL_ID]],DIM_MATERIAL[MATERIAL_ID],DIM_MATERIAL[UOM_AFTER_PROCESS])</f>
        <v>BALE</v>
      </c>
      <c r="E1420">
        <v>74</v>
      </c>
    </row>
    <row r="1421" spans="1:5" x14ac:dyDescent="0.2">
      <c r="A1421" s="3">
        <v>45790</v>
      </c>
      <c r="B1421" t="s">
        <v>1</v>
      </c>
      <c r="C1421">
        <v>1</v>
      </c>
      <c r="D1421" t="str">
        <f>_xlfn.XLOOKUP(RW_DT_PRODUCTION[[#This Row],[MATERIAL_ID]],DIM_MATERIAL[MATERIAL_ID],DIM_MATERIAL[UOM_AFTER_PROCESS])</f>
        <v>BALE</v>
      </c>
      <c r="E1421">
        <v>62</v>
      </c>
    </row>
    <row r="1422" spans="1:5" x14ac:dyDescent="0.2">
      <c r="A1422" s="3">
        <v>45790</v>
      </c>
      <c r="B1422" t="s">
        <v>1</v>
      </c>
      <c r="C1422">
        <v>1</v>
      </c>
      <c r="D1422" t="str">
        <f>_xlfn.XLOOKUP(RW_DT_PRODUCTION[[#This Row],[MATERIAL_ID]],DIM_MATERIAL[MATERIAL_ID],DIM_MATERIAL[UOM_AFTER_PROCESS])</f>
        <v>BALE</v>
      </c>
      <c r="E1422">
        <v>72</v>
      </c>
    </row>
    <row r="1423" spans="1:5" x14ac:dyDescent="0.2">
      <c r="A1423" s="3">
        <v>45790</v>
      </c>
      <c r="B1423" t="s">
        <v>1</v>
      </c>
      <c r="C1423">
        <v>1</v>
      </c>
      <c r="D1423" t="str">
        <f>_xlfn.XLOOKUP(RW_DT_PRODUCTION[[#This Row],[MATERIAL_ID]],DIM_MATERIAL[MATERIAL_ID],DIM_MATERIAL[UOM_AFTER_PROCESS])</f>
        <v>BALE</v>
      </c>
      <c r="E1423">
        <v>68</v>
      </c>
    </row>
    <row r="1424" spans="1:5" x14ac:dyDescent="0.2">
      <c r="A1424" s="3">
        <v>45790</v>
      </c>
      <c r="B1424" t="s">
        <v>1</v>
      </c>
      <c r="C1424">
        <v>1</v>
      </c>
      <c r="D1424" t="str">
        <f>_xlfn.XLOOKUP(RW_DT_PRODUCTION[[#This Row],[MATERIAL_ID]],DIM_MATERIAL[MATERIAL_ID],DIM_MATERIAL[UOM_AFTER_PROCESS])</f>
        <v>BALE</v>
      </c>
      <c r="E1424">
        <v>80</v>
      </c>
    </row>
    <row r="1425" spans="1:5" x14ac:dyDescent="0.2">
      <c r="A1425" s="3">
        <v>45790</v>
      </c>
      <c r="B1425" t="s">
        <v>2</v>
      </c>
      <c r="C1425">
        <v>1</v>
      </c>
      <c r="D1425" t="str">
        <f>_xlfn.XLOOKUP(RW_DT_PRODUCTION[[#This Row],[MATERIAL_ID]],DIM_MATERIAL[MATERIAL_ID],DIM_MATERIAL[UOM_AFTER_PROCESS])</f>
        <v>BAG</v>
      </c>
      <c r="E1425">
        <v>22</v>
      </c>
    </row>
    <row r="1426" spans="1:5" x14ac:dyDescent="0.2">
      <c r="A1426" s="3">
        <v>45790</v>
      </c>
      <c r="B1426" t="s">
        <v>2</v>
      </c>
      <c r="C1426">
        <v>1</v>
      </c>
      <c r="D1426" t="str">
        <f>_xlfn.XLOOKUP(RW_DT_PRODUCTION[[#This Row],[MATERIAL_ID]],DIM_MATERIAL[MATERIAL_ID],DIM_MATERIAL[UOM_AFTER_PROCESS])</f>
        <v>BAG</v>
      </c>
      <c r="E1426">
        <v>22</v>
      </c>
    </row>
    <row r="1427" spans="1:5" x14ac:dyDescent="0.2">
      <c r="A1427" s="3">
        <v>45790</v>
      </c>
      <c r="B1427" t="s">
        <v>2</v>
      </c>
      <c r="C1427">
        <v>1</v>
      </c>
      <c r="D1427" t="str">
        <f>_xlfn.XLOOKUP(RW_DT_PRODUCTION[[#This Row],[MATERIAL_ID]],DIM_MATERIAL[MATERIAL_ID],DIM_MATERIAL[UOM_AFTER_PROCESS])</f>
        <v>BAG</v>
      </c>
      <c r="E1427">
        <v>22</v>
      </c>
    </row>
    <row r="1428" spans="1:5" x14ac:dyDescent="0.2">
      <c r="A1428" s="3">
        <v>45791</v>
      </c>
      <c r="B1428" t="s">
        <v>1</v>
      </c>
      <c r="C1428">
        <v>1</v>
      </c>
      <c r="D1428" t="str">
        <f>_xlfn.XLOOKUP(RW_DT_PRODUCTION[[#This Row],[MATERIAL_ID]],DIM_MATERIAL[MATERIAL_ID],DIM_MATERIAL[UOM_AFTER_PROCESS])</f>
        <v>BALE</v>
      </c>
      <c r="E1428">
        <v>88</v>
      </c>
    </row>
    <row r="1429" spans="1:5" x14ac:dyDescent="0.2">
      <c r="A1429" s="3">
        <v>45791</v>
      </c>
      <c r="B1429" t="s">
        <v>1</v>
      </c>
      <c r="C1429">
        <v>1</v>
      </c>
      <c r="D1429" t="str">
        <f>_xlfn.XLOOKUP(RW_DT_PRODUCTION[[#This Row],[MATERIAL_ID]],DIM_MATERIAL[MATERIAL_ID],DIM_MATERIAL[UOM_AFTER_PROCESS])</f>
        <v>BALE</v>
      </c>
      <c r="E1429">
        <v>83</v>
      </c>
    </row>
    <row r="1430" spans="1:5" x14ac:dyDescent="0.2">
      <c r="A1430" s="3">
        <v>45791</v>
      </c>
      <c r="B1430" t="s">
        <v>1</v>
      </c>
      <c r="C1430">
        <v>1</v>
      </c>
      <c r="D1430" t="str">
        <f>_xlfn.XLOOKUP(RW_DT_PRODUCTION[[#This Row],[MATERIAL_ID]],DIM_MATERIAL[MATERIAL_ID],DIM_MATERIAL[UOM_AFTER_PROCESS])</f>
        <v>BALE</v>
      </c>
      <c r="E1430">
        <v>87</v>
      </c>
    </row>
    <row r="1431" spans="1:5" x14ac:dyDescent="0.2">
      <c r="A1431" s="3">
        <v>45791</v>
      </c>
      <c r="B1431" t="s">
        <v>1</v>
      </c>
      <c r="C1431">
        <v>1</v>
      </c>
      <c r="D1431" t="str">
        <f>_xlfn.XLOOKUP(RW_DT_PRODUCTION[[#This Row],[MATERIAL_ID]],DIM_MATERIAL[MATERIAL_ID],DIM_MATERIAL[UOM_AFTER_PROCESS])</f>
        <v>BALE</v>
      </c>
      <c r="E1431">
        <v>86</v>
      </c>
    </row>
    <row r="1432" spans="1:5" x14ac:dyDescent="0.2">
      <c r="A1432" s="3">
        <v>45791</v>
      </c>
      <c r="B1432" t="s">
        <v>1</v>
      </c>
      <c r="C1432">
        <v>1</v>
      </c>
      <c r="D1432" t="str">
        <f>_xlfn.XLOOKUP(RW_DT_PRODUCTION[[#This Row],[MATERIAL_ID]],DIM_MATERIAL[MATERIAL_ID],DIM_MATERIAL[UOM_AFTER_PROCESS])</f>
        <v>BALE</v>
      </c>
      <c r="E1432">
        <v>75</v>
      </c>
    </row>
    <row r="1433" spans="1:5" x14ac:dyDescent="0.2">
      <c r="A1433" s="3">
        <v>45792</v>
      </c>
      <c r="B1433" t="s">
        <v>1</v>
      </c>
      <c r="C1433">
        <v>1</v>
      </c>
      <c r="D1433" t="str">
        <f>_xlfn.XLOOKUP(RW_DT_PRODUCTION[[#This Row],[MATERIAL_ID]],DIM_MATERIAL[MATERIAL_ID],DIM_MATERIAL[UOM_AFTER_PROCESS])</f>
        <v>BALE</v>
      </c>
      <c r="E1433">
        <v>68</v>
      </c>
    </row>
    <row r="1434" spans="1:5" x14ac:dyDescent="0.2">
      <c r="A1434" s="3">
        <v>45792</v>
      </c>
      <c r="B1434" t="s">
        <v>1</v>
      </c>
      <c r="C1434">
        <v>1</v>
      </c>
      <c r="D1434" t="str">
        <f>_xlfn.XLOOKUP(RW_DT_PRODUCTION[[#This Row],[MATERIAL_ID]],DIM_MATERIAL[MATERIAL_ID],DIM_MATERIAL[UOM_AFTER_PROCESS])</f>
        <v>BALE</v>
      </c>
      <c r="E1434">
        <v>62</v>
      </c>
    </row>
    <row r="1435" spans="1:5" x14ac:dyDescent="0.2">
      <c r="A1435" s="3">
        <v>45792</v>
      </c>
      <c r="B1435" t="s">
        <v>1</v>
      </c>
      <c r="C1435">
        <v>1</v>
      </c>
      <c r="D1435" t="str">
        <f>_xlfn.XLOOKUP(RW_DT_PRODUCTION[[#This Row],[MATERIAL_ID]],DIM_MATERIAL[MATERIAL_ID],DIM_MATERIAL[UOM_AFTER_PROCESS])</f>
        <v>BALE</v>
      </c>
      <c r="E1435">
        <v>69</v>
      </c>
    </row>
    <row r="1436" spans="1:5" x14ac:dyDescent="0.2">
      <c r="A1436" s="3">
        <v>45792</v>
      </c>
      <c r="B1436" t="s">
        <v>1</v>
      </c>
      <c r="C1436">
        <v>1</v>
      </c>
      <c r="D1436" t="str">
        <f>_xlfn.XLOOKUP(RW_DT_PRODUCTION[[#This Row],[MATERIAL_ID]],DIM_MATERIAL[MATERIAL_ID],DIM_MATERIAL[UOM_AFTER_PROCESS])</f>
        <v>BALE</v>
      </c>
      <c r="E1436">
        <v>62</v>
      </c>
    </row>
    <row r="1437" spans="1:5" x14ac:dyDescent="0.2">
      <c r="A1437" s="3">
        <v>45792</v>
      </c>
      <c r="B1437" t="s">
        <v>1</v>
      </c>
      <c r="C1437">
        <v>1</v>
      </c>
      <c r="D1437" t="str">
        <f>_xlfn.XLOOKUP(RW_DT_PRODUCTION[[#This Row],[MATERIAL_ID]],DIM_MATERIAL[MATERIAL_ID],DIM_MATERIAL[UOM_AFTER_PROCESS])</f>
        <v>BALE</v>
      </c>
      <c r="E1437">
        <v>60</v>
      </c>
    </row>
    <row r="1438" spans="1:5" x14ac:dyDescent="0.2">
      <c r="A1438" s="3">
        <v>45792</v>
      </c>
      <c r="B1438" t="s">
        <v>1</v>
      </c>
      <c r="C1438">
        <v>1</v>
      </c>
      <c r="D1438" t="str">
        <f>_xlfn.XLOOKUP(RW_DT_PRODUCTION[[#This Row],[MATERIAL_ID]],DIM_MATERIAL[MATERIAL_ID],DIM_MATERIAL[UOM_AFTER_PROCESS])</f>
        <v>BALE</v>
      </c>
      <c r="E1438">
        <v>88</v>
      </c>
    </row>
    <row r="1439" spans="1:5" x14ac:dyDescent="0.2">
      <c r="A1439" s="3">
        <v>45792</v>
      </c>
      <c r="B1439" t="s">
        <v>1</v>
      </c>
      <c r="C1439">
        <v>1</v>
      </c>
      <c r="D1439" t="str">
        <f>_xlfn.XLOOKUP(RW_DT_PRODUCTION[[#This Row],[MATERIAL_ID]],DIM_MATERIAL[MATERIAL_ID],DIM_MATERIAL[UOM_AFTER_PROCESS])</f>
        <v>BALE</v>
      </c>
      <c r="E1439">
        <v>76</v>
      </c>
    </row>
    <row r="1440" spans="1:5" x14ac:dyDescent="0.2">
      <c r="A1440" s="3">
        <v>45792</v>
      </c>
      <c r="B1440" t="s">
        <v>1</v>
      </c>
      <c r="C1440">
        <v>1</v>
      </c>
      <c r="D1440" t="str">
        <f>_xlfn.XLOOKUP(RW_DT_PRODUCTION[[#This Row],[MATERIAL_ID]],DIM_MATERIAL[MATERIAL_ID],DIM_MATERIAL[UOM_AFTER_PROCESS])</f>
        <v>BALE</v>
      </c>
      <c r="E1440">
        <v>69</v>
      </c>
    </row>
    <row r="1441" spans="1:5" x14ac:dyDescent="0.2">
      <c r="A1441" s="3">
        <v>45792</v>
      </c>
      <c r="B1441" t="s">
        <v>1</v>
      </c>
      <c r="C1441">
        <v>1</v>
      </c>
      <c r="D1441" t="str">
        <f>_xlfn.XLOOKUP(RW_DT_PRODUCTION[[#This Row],[MATERIAL_ID]],DIM_MATERIAL[MATERIAL_ID],DIM_MATERIAL[UOM_AFTER_PROCESS])</f>
        <v>BALE</v>
      </c>
      <c r="E1441">
        <v>64</v>
      </c>
    </row>
    <row r="1442" spans="1:5" x14ac:dyDescent="0.2">
      <c r="A1442" s="3">
        <v>45792</v>
      </c>
      <c r="B1442" t="s">
        <v>1</v>
      </c>
      <c r="C1442">
        <v>1</v>
      </c>
      <c r="D1442" t="str">
        <f>_xlfn.XLOOKUP(RW_DT_PRODUCTION[[#This Row],[MATERIAL_ID]],DIM_MATERIAL[MATERIAL_ID],DIM_MATERIAL[UOM_AFTER_PROCESS])</f>
        <v>BALE</v>
      </c>
      <c r="E1442">
        <v>83</v>
      </c>
    </row>
    <row r="1443" spans="1:5" x14ac:dyDescent="0.2">
      <c r="A1443" s="3">
        <v>45793</v>
      </c>
      <c r="B1443" t="s">
        <v>1</v>
      </c>
      <c r="C1443">
        <v>1</v>
      </c>
      <c r="D1443" t="str">
        <f>_xlfn.XLOOKUP(RW_DT_PRODUCTION[[#This Row],[MATERIAL_ID]],DIM_MATERIAL[MATERIAL_ID],DIM_MATERIAL[UOM_AFTER_PROCESS])</f>
        <v>BALE</v>
      </c>
      <c r="E1443">
        <v>60</v>
      </c>
    </row>
    <row r="1444" spans="1:5" x14ac:dyDescent="0.2">
      <c r="A1444" s="3">
        <v>45793</v>
      </c>
      <c r="B1444" t="s">
        <v>1</v>
      </c>
      <c r="C1444">
        <v>1</v>
      </c>
      <c r="D1444" t="str">
        <f>_xlfn.XLOOKUP(RW_DT_PRODUCTION[[#This Row],[MATERIAL_ID]],DIM_MATERIAL[MATERIAL_ID],DIM_MATERIAL[UOM_AFTER_PROCESS])</f>
        <v>BALE</v>
      </c>
      <c r="E1444">
        <v>61</v>
      </c>
    </row>
    <row r="1445" spans="1:5" x14ac:dyDescent="0.2">
      <c r="A1445" s="3">
        <v>45793</v>
      </c>
      <c r="B1445" t="s">
        <v>1</v>
      </c>
      <c r="C1445">
        <v>1</v>
      </c>
      <c r="D1445" t="str">
        <f>_xlfn.XLOOKUP(RW_DT_PRODUCTION[[#This Row],[MATERIAL_ID]],DIM_MATERIAL[MATERIAL_ID],DIM_MATERIAL[UOM_AFTER_PROCESS])</f>
        <v>BALE</v>
      </c>
      <c r="E1445">
        <v>63</v>
      </c>
    </row>
    <row r="1446" spans="1:5" x14ac:dyDescent="0.2">
      <c r="A1446" s="3">
        <v>45793</v>
      </c>
      <c r="B1446" t="s">
        <v>1</v>
      </c>
      <c r="C1446">
        <v>1</v>
      </c>
      <c r="D1446" t="str">
        <f>_xlfn.XLOOKUP(RW_DT_PRODUCTION[[#This Row],[MATERIAL_ID]],DIM_MATERIAL[MATERIAL_ID],DIM_MATERIAL[UOM_AFTER_PROCESS])</f>
        <v>BALE</v>
      </c>
      <c r="E1446">
        <v>71</v>
      </c>
    </row>
    <row r="1447" spans="1:5" x14ac:dyDescent="0.2">
      <c r="A1447" s="3">
        <v>45793</v>
      </c>
      <c r="B1447" t="s">
        <v>1</v>
      </c>
      <c r="C1447">
        <v>1</v>
      </c>
      <c r="D1447" t="str">
        <f>_xlfn.XLOOKUP(RW_DT_PRODUCTION[[#This Row],[MATERIAL_ID]],DIM_MATERIAL[MATERIAL_ID],DIM_MATERIAL[UOM_AFTER_PROCESS])</f>
        <v>BALE</v>
      </c>
      <c r="E1447">
        <v>77</v>
      </c>
    </row>
    <row r="1448" spans="1:5" x14ac:dyDescent="0.2">
      <c r="A1448" s="3">
        <v>45793</v>
      </c>
      <c r="B1448" t="s">
        <v>1</v>
      </c>
      <c r="C1448">
        <v>1</v>
      </c>
      <c r="D1448" t="str">
        <f>_xlfn.XLOOKUP(RW_DT_PRODUCTION[[#This Row],[MATERIAL_ID]],DIM_MATERIAL[MATERIAL_ID],DIM_MATERIAL[UOM_AFTER_PROCESS])</f>
        <v>BALE</v>
      </c>
      <c r="E1448">
        <v>65</v>
      </c>
    </row>
    <row r="1449" spans="1:5" x14ac:dyDescent="0.2">
      <c r="A1449" s="3">
        <v>45793</v>
      </c>
      <c r="B1449" t="s">
        <v>1</v>
      </c>
      <c r="C1449">
        <v>1</v>
      </c>
      <c r="D1449" t="str">
        <f>_xlfn.XLOOKUP(RW_DT_PRODUCTION[[#This Row],[MATERIAL_ID]],DIM_MATERIAL[MATERIAL_ID],DIM_MATERIAL[UOM_AFTER_PROCESS])</f>
        <v>BALE</v>
      </c>
      <c r="E1449">
        <v>60</v>
      </c>
    </row>
    <row r="1450" spans="1:5" x14ac:dyDescent="0.2">
      <c r="A1450" s="3">
        <v>45793</v>
      </c>
      <c r="B1450" t="s">
        <v>1</v>
      </c>
      <c r="C1450">
        <v>1</v>
      </c>
      <c r="D1450" t="str">
        <f>_xlfn.XLOOKUP(RW_DT_PRODUCTION[[#This Row],[MATERIAL_ID]],DIM_MATERIAL[MATERIAL_ID],DIM_MATERIAL[UOM_AFTER_PROCESS])</f>
        <v>BALE</v>
      </c>
      <c r="E1450">
        <v>61</v>
      </c>
    </row>
    <row r="1451" spans="1:5" x14ac:dyDescent="0.2">
      <c r="A1451" s="3">
        <v>45793</v>
      </c>
      <c r="B1451" t="s">
        <v>1</v>
      </c>
      <c r="C1451">
        <v>1</v>
      </c>
      <c r="D1451" t="str">
        <f>_xlfn.XLOOKUP(RW_DT_PRODUCTION[[#This Row],[MATERIAL_ID]],DIM_MATERIAL[MATERIAL_ID],DIM_MATERIAL[UOM_AFTER_PROCESS])</f>
        <v>BALE</v>
      </c>
      <c r="E1451">
        <v>68</v>
      </c>
    </row>
    <row r="1452" spans="1:5" x14ac:dyDescent="0.2">
      <c r="A1452" s="3">
        <v>45793</v>
      </c>
      <c r="B1452" t="s">
        <v>1</v>
      </c>
      <c r="C1452">
        <v>1</v>
      </c>
      <c r="D1452" t="str">
        <f>_xlfn.XLOOKUP(RW_DT_PRODUCTION[[#This Row],[MATERIAL_ID]],DIM_MATERIAL[MATERIAL_ID],DIM_MATERIAL[UOM_AFTER_PROCESS])</f>
        <v>BALE</v>
      </c>
      <c r="E1452">
        <v>60</v>
      </c>
    </row>
    <row r="1453" spans="1:5" x14ac:dyDescent="0.2">
      <c r="A1453" s="3">
        <v>45793</v>
      </c>
      <c r="B1453" t="s">
        <v>1</v>
      </c>
      <c r="C1453">
        <v>1</v>
      </c>
      <c r="D1453" t="str">
        <f>_xlfn.XLOOKUP(RW_DT_PRODUCTION[[#This Row],[MATERIAL_ID]],DIM_MATERIAL[MATERIAL_ID],DIM_MATERIAL[UOM_AFTER_PROCESS])</f>
        <v>BALE</v>
      </c>
      <c r="E1453">
        <v>69</v>
      </c>
    </row>
    <row r="1454" spans="1:5" x14ac:dyDescent="0.2">
      <c r="A1454" s="3">
        <v>45793</v>
      </c>
      <c r="B1454" t="s">
        <v>1</v>
      </c>
      <c r="C1454">
        <v>1</v>
      </c>
      <c r="D1454" t="str">
        <f>_xlfn.XLOOKUP(RW_DT_PRODUCTION[[#This Row],[MATERIAL_ID]],DIM_MATERIAL[MATERIAL_ID],DIM_MATERIAL[UOM_AFTER_PROCESS])</f>
        <v>BALE</v>
      </c>
      <c r="E1454">
        <v>71</v>
      </c>
    </row>
    <row r="1455" spans="1:5" x14ac:dyDescent="0.2">
      <c r="A1455" s="3">
        <v>45793</v>
      </c>
      <c r="B1455" t="s">
        <v>2</v>
      </c>
      <c r="C1455">
        <v>1</v>
      </c>
      <c r="D1455" t="str">
        <f>_xlfn.XLOOKUP(RW_DT_PRODUCTION[[#This Row],[MATERIAL_ID]],DIM_MATERIAL[MATERIAL_ID],DIM_MATERIAL[UOM_AFTER_PROCESS])</f>
        <v>BAG</v>
      </c>
      <c r="E1455">
        <v>22</v>
      </c>
    </row>
    <row r="1456" spans="1:5" x14ac:dyDescent="0.2">
      <c r="A1456" s="3">
        <v>45793</v>
      </c>
      <c r="B1456" t="s">
        <v>2</v>
      </c>
      <c r="C1456">
        <v>1</v>
      </c>
      <c r="D1456" t="str">
        <f>_xlfn.XLOOKUP(RW_DT_PRODUCTION[[#This Row],[MATERIAL_ID]],DIM_MATERIAL[MATERIAL_ID],DIM_MATERIAL[UOM_AFTER_PROCESS])</f>
        <v>BAG</v>
      </c>
      <c r="E1456">
        <v>22</v>
      </c>
    </row>
    <row r="1457" spans="1:5" x14ac:dyDescent="0.2">
      <c r="A1457" s="3">
        <v>45794</v>
      </c>
      <c r="B1457" t="s">
        <v>1</v>
      </c>
      <c r="C1457">
        <v>1</v>
      </c>
      <c r="D1457" t="str">
        <f>_xlfn.XLOOKUP(RW_DT_PRODUCTION[[#This Row],[MATERIAL_ID]],DIM_MATERIAL[MATERIAL_ID],DIM_MATERIAL[UOM_AFTER_PROCESS])</f>
        <v>BALE</v>
      </c>
      <c r="E1457">
        <v>66</v>
      </c>
    </row>
    <row r="1458" spans="1:5" x14ac:dyDescent="0.2">
      <c r="A1458" s="3">
        <v>45794</v>
      </c>
      <c r="B1458" t="s">
        <v>1</v>
      </c>
      <c r="C1458">
        <v>1</v>
      </c>
      <c r="D1458" t="str">
        <f>_xlfn.XLOOKUP(RW_DT_PRODUCTION[[#This Row],[MATERIAL_ID]],DIM_MATERIAL[MATERIAL_ID],DIM_MATERIAL[UOM_AFTER_PROCESS])</f>
        <v>BALE</v>
      </c>
      <c r="E1458">
        <v>66</v>
      </c>
    </row>
    <row r="1459" spans="1:5" x14ac:dyDescent="0.2">
      <c r="A1459" s="3">
        <v>45794</v>
      </c>
      <c r="B1459" t="s">
        <v>1</v>
      </c>
      <c r="C1459">
        <v>1</v>
      </c>
      <c r="D1459" t="str">
        <f>_xlfn.XLOOKUP(RW_DT_PRODUCTION[[#This Row],[MATERIAL_ID]],DIM_MATERIAL[MATERIAL_ID],DIM_MATERIAL[UOM_AFTER_PROCESS])</f>
        <v>BALE</v>
      </c>
      <c r="E1459">
        <v>76</v>
      </c>
    </row>
    <row r="1460" spans="1:5" x14ac:dyDescent="0.2">
      <c r="A1460" s="3">
        <v>45794</v>
      </c>
      <c r="B1460" t="s">
        <v>1</v>
      </c>
      <c r="C1460">
        <v>1</v>
      </c>
      <c r="D1460" t="str">
        <f>_xlfn.XLOOKUP(RW_DT_PRODUCTION[[#This Row],[MATERIAL_ID]],DIM_MATERIAL[MATERIAL_ID],DIM_MATERIAL[UOM_AFTER_PROCESS])</f>
        <v>BALE</v>
      </c>
      <c r="E1460">
        <v>67</v>
      </c>
    </row>
    <row r="1461" spans="1:5" x14ac:dyDescent="0.2">
      <c r="A1461" s="3">
        <v>45794</v>
      </c>
      <c r="B1461" t="s">
        <v>1</v>
      </c>
      <c r="C1461">
        <v>1</v>
      </c>
      <c r="D1461" t="str">
        <f>_xlfn.XLOOKUP(RW_DT_PRODUCTION[[#This Row],[MATERIAL_ID]],DIM_MATERIAL[MATERIAL_ID],DIM_MATERIAL[UOM_AFTER_PROCESS])</f>
        <v>BALE</v>
      </c>
      <c r="E1461">
        <v>80</v>
      </c>
    </row>
    <row r="1462" spans="1:5" x14ac:dyDescent="0.2">
      <c r="A1462" s="3">
        <v>45794</v>
      </c>
      <c r="B1462" t="s">
        <v>1</v>
      </c>
      <c r="C1462">
        <v>1</v>
      </c>
      <c r="D1462" t="str">
        <f>_xlfn.XLOOKUP(RW_DT_PRODUCTION[[#This Row],[MATERIAL_ID]],DIM_MATERIAL[MATERIAL_ID],DIM_MATERIAL[UOM_AFTER_PROCESS])</f>
        <v>BALE</v>
      </c>
      <c r="E1462">
        <v>61</v>
      </c>
    </row>
    <row r="1463" spans="1:5" x14ac:dyDescent="0.2">
      <c r="A1463" s="3">
        <v>45794</v>
      </c>
      <c r="B1463" t="s">
        <v>1</v>
      </c>
      <c r="C1463">
        <v>1</v>
      </c>
      <c r="D1463" t="str">
        <f>_xlfn.XLOOKUP(RW_DT_PRODUCTION[[#This Row],[MATERIAL_ID]],DIM_MATERIAL[MATERIAL_ID],DIM_MATERIAL[UOM_AFTER_PROCESS])</f>
        <v>BALE</v>
      </c>
      <c r="E1463">
        <v>84</v>
      </c>
    </row>
    <row r="1464" spans="1:5" x14ac:dyDescent="0.2">
      <c r="A1464" s="3">
        <v>45794</v>
      </c>
      <c r="B1464" t="s">
        <v>1</v>
      </c>
      <c r="C1464">
        <v>1</v>
      </c>
      <c r="D1464" t="str">
        <f>_xlfn.XLOOKUP(RW_DT_PRODUCTION[[#This Row],[MATERIAL_ID]],DIM_MATERIAL[MATERIAL_ID],DIM_MATERIAL[UOM_AFTER_PROCESS])</f>
        <v>BALE</v>
      </c>
      <c r="E1464">
        <v>62</v>
      </c>
    </row>
    <row r="1465" spans="1:5" x14ac:dyDescent="0.2">
      <c r="A1465" s="3">
        <v>45796</v>
      </c>
      <c r="B1465" t="s">
        <v>1</v>
      </c>
      <c r="C1465">
        <v>1</v>
      </c>
      <c r="D1465" t="str">
        <f>_xlfn.XLOOKUP(RW_DT_PRODUCTION[[#This Row],[MATERIAL_ID]],DIM_MATERIAL[MATERIAL_ID],DIM_MATERIAL[UOM_AFTER_PROCESS])</f>
        <v>BALE</v>
      </c>
      <c r="E1465">
        <v>85</v>
      </c>
    </row>
    <row r="1466" spans="1:5" x14ac:dyDescent="0.2">
      <c r="A1466" s="3">
        <v>45796</v>
      </c>
      <c r="B1466" t="s">
        <v>1</v>
      </c>
      <c r="C1466">
        <v>1</v>
      </c>
      <c r="D1466" t="str">
        <f>_xlfn.XLOOKUP(RW_DT_PRODUCTION[[#This Row],[MATERIAL_ID]],DIM_MATERIAL[MATERIAL_ID],DIM_MATERIAL[UOM_AFTER_PROCESS])</f>
        <v>BALE</v>
      </c>
      <c r="E1466">
        <v>82</v>
      </c>
    </row>
    <row r="1467" spans="1:5" x14ac:dyDescent="0.2">
      <c r="A1467" s="3">
        <v>45796</v>
      </c>
      <c r="B1467" t="s">
        <v>1</v>
      </c>
      <c r="C1467">
        <v>1</v>
      </c>
      <c r="D1467" t="str">
        <f>_xlfn.XLOOKUP(RW_DT_PRODUCTION[[#This Row],[MATERIAL_ID]],DIM_MATERIAL[MATERIAL_ID],DIM_MATERIAL[UOM_AFTER_PROCESS])</f>
        <v>BALE</v>
      </c>
      <c r="E1467">
        <v>89</v>
      </c>
    </row>
    <row r="1468" spans="1:5" x14ac:dyDescent="0.2">
      <c r="A1468" s="3">
        <v>45796</v>
      </c>
      <c r="B1468" t="s">
        <v>1</v>
      </c>
      <c r="C1468">
        <v>1</v>
      </c>
      <c r="D1468" t="str">
        <f>_xlfn.XLOOKUP(RW_DT_PRODUCTION[[#This Row],[MATERIAL_ID]],DIM_MATERIAL[MATERIAL_ID],DIM_MATERIAL[UOM_AFTER_PROCESS])</f>
        <v>BALE</v>
      </c>
      <c r="E1468">
        <v>86</v>
      </c>
    </row>
    <row r="1469" spans="1:5" x14ac:dyDescent="0.2">
      <c r="A1469" s="3">
        <v>45796</v>
      </c>
      <c r="B1469" t="s">
        <v>1</v>
      </c>
      <c r="C1469">
        <v>1</v>
      </c>
      <c r="D1469" t="str">
        <f>_xlfn.XLOOKUP(RW_DT_PRODUCTION[[#This Row],[MATERIAL_ID]],DIM_MATERIAL[MATERIAL_ID],DIM_MATERIAL[UOM_AFTER_PROCESS])</f>
        <v>BALE</v>
      </c>
      <c r="E1469">
        <v>71</v>
      </c>
    </row>
    <row r="1470" spans="1:5" x14ac:dyDescent="0.2">
      <c r="A1470" s="3">
        <v>45796</v>
      </c>
      <c r="B1470" t="s">
        <v>1</v>
      </c>
      <c r="C1470">
        <v>1</v>
      </c>
      <c r="D1470" t="str">
        <f>_xlfn.XLOOKUP(RW_DT_PRODUCTION[[#This Row],[MATERIAL_ID]],DIM_MATERIAL[MATERIAL_ID],DIM_MATERIAL[UOM_AFTER_PROCESS])</f>
        <v>BALE</v>
      </c>
      <c r="E1470">
        <v>68</v>
      </c>
    </row>
    <row r="1471" spans="1:5" x14ac:dyDescent="0.2">
      <c r="A1471" s="3">
        <v>45797</v>
      </c>
      <c r="B1471" t="s">
        <v>1</v>
      </c>
      <c r="C1471">
        <v>1</v>
      </c>
      <c r="D1471" t="str">
        <f>_xlfn.XLOOKUP(RW_DT_PRODUCTION[[#This Row],[MATERIAL_ID]],DIM_MATERIAL[MATERIAL_ID],DIM_MATERIAL[UOM_AFTER_PROCESS])</f>
        <v>BALE</v>
      </c>
      <c r="E1471">
        <v>60</v>
      </c>
    </row>
    <row r="1472" spans="1:5" x14ac:dyDescent="0.2">
      <c r="A1472" s="3">
        <v>45797</v>
      </c>
      <c r="B1472" t="s">
        <v>1</v>
      </c>
      <c r="C1472">
        <v>1</v>
      </c>
      <c r="D1472" t="str">
        <f>_xlfn.XLOOKUP(RW_DT_PRODUCTION[[#This Row],[MATERIAL_ID]],DIM_MATERIAL[MATERIAL_ID],DIM_MATERIAL[UOM_AFTER_PROCESS])</f>
        <v>BALE</v>
      </c>
      <c r="E1472">
        <v>72</v>
      </c>
    </row>
    <row r="1473" spans="1:5" x14ac:dyDescent="0.2">
      <c r="A1473" s="3">
        <v>45797</v>
      </c>
      <c r="B1473" t="s">
        <v>1</v>
      </c>
      <c r="C1473">
        <v>1</v>
      </c>
      <c r="D1473" t="str">
        <f>_xlfn.XLOOKUP(RW_DT_PRODUCTION[[#This Row],[MATERIAL_ID]],DIM_MATERIAL[MATERIAL_ID],DIM_MATERIAL[UOM_AFTER_PROCESS])</f>
        <v>BALE</v>
      </c>
      <c r="E1473">
        <v>62</v>
      </c>
    </row>
    <row r="1474" spans="1:5" x14ac:dyDescent="0.2">
      <c r="A1474" s="3">
        <v>45797</v>
      </c>
      <c r="B1474" t="s">
        <v>1</v>
      </c>
      <c r="C1474">
        <v>1</v>
      </c>
      <c r="D1474" t="str">
        <f>_xlfn.XLOOKUP(RW_DT_PRODUCTION[[#This Row],[MATERIAL_ID]],DIM_MATERIAL[MATERIAL_ID],DIM_MATERIAL[UOM_AFTER_PROCESS])</f>
        <v>BALE</v>
      </c>
      <c r="E1474">
        <v>60</v>
      </c>
    </row>
    <row r="1475" spans="1:5" x14ac:dyDescent="0.2">
      <c r="A1475" s="3">
        <v>45797</v>
      </c>
      <c r="B1475" t="s">
        <v>1</v>
      </c>
      <c r="C1475">
        <v>1</v>
      </c>
      <c r="D1475" t="str">
        <f>_xlfn.XLOOKUP(RW_DT_PRODUCTION[[#This Row],[MATERIAL_ID]],DIM_MATERIAL[MATERIAL_ID],DIM_MATERIAL[UOM_AFTER_PROCESS])</f>
        <v>BALE</v>
      </c>
      <c r="E1475">
        <v>73</v>
      </c>
    </row>
    <row r="1476" spans="1:5" x14ac:dyDescent="0.2">
      <c r="A1476" s="3">
        <v>45797</v>
      </c>
      <c r="B1476" t="s">
        <v>1</v>
      </c>
      <c r="C1476">
        <v>1</v>
      </c>
      <c r="D1476" t="str">
        <f>_xlfn.XLOOKUP(RW_DT_PRODUCTION[[#This Row],[MATERIAL_ID]],DIM_MATERIAL[MATERIAL_ID],DIM_MATERIAL[UOM_AFTER_PROCESS])</f>
        <v>BALE</v>
      </c>
      <c r="E1476">
        <v>72</v>
      </c>
    </row>
    <row r="1477" spans="1:5" x14ac:dyDescent="0.2">
      <c r="A1477" s="3">
        <v>45797</v>
      </c>
      <c r="B1477" t="s">
        <v>1</v>
      </c>
      <c r="C1477">
        <v>1</v>
      </c>
      <c r="D1477" t="str">
        <f>_xlfn.XLOOKUP(RW_DT_PRODUCTION[[#This Row],[MATERIAL_ID]],DIM_MATERIAL[MATERIAL_ID],DIM_MATERIAL[UOM_AFTER_PROCESS])</f>
        <v>BALE</v>
      </c>
      <c r="E1477">
        <v>72</v>
      </c>
    </row>
    <row r="1478" spans="1:5" x14ac:dyDescent="0.2">
      <c r="A1478" s="3">
        <v>45797</v>
      </c>
      <c r="B1478" t="s">
        <v>1</v>
      </c>
      <c r="C1478">
        <v>1</v>
      </c>
      <c r="D1478" t="str">
        <f>_xlfn.XLOOKUP(RW_DT_PRODUCTION[[#This Row],[MATERIAL_ID]],DIM_MATERIAL[MATERIAL_ID],DIM_MATERIAL[UOM_AFTER_PROCESS])</f>
        <v>BALE</v>
      </c>
      <c r="E1478">
        <v>77</v>
      </c>
    </row>
    <row r="1479" spans="1:5" x14ac:dyDescent="0.2">
      <c r="A1479" s="3">
        <v>45797</v>
      </c>
      <c r="B1479" t="s">
        <v>1</v>
      </c>
      <c r="C1479">
        <v>1</v>
      </c>
      <c r="D1479" t="str">
        <f>_xlfn.XLOOKUP(RW_DT_PRODUCTION[[#This Row],[MATERIAL_ID]],DIM_MATERIAL[MATERIAL_ID],DIM_MATERIAL[UOM_AFTER_PROCESS])</f>
        <v>BALE</v>
      </c>
      <c r="E1479">
        <v>67</v>
      </c>
    </row>
    <row r="1480" spans="1:5" x14ac:dyDescent="0.2">
      <c r="A1480" s="3">
        <v>45797</v>
      </c>
      <c r="B1480" t="s">
        <v>1</v>
      </c>
      <c r="C1480">
        <v>1</v>
      </c>
      <c r="D1480" t="str">
        <f>_xlfn.XLOOKUP(RW_DT_PRODUCTION[[#This Row],[MATERIAL_ID]],DIM_MATERIAL[MATERIAL_ID],DIM_MATERIAL[UOM_AFTER_PROCESS])</f>
        <v>BALE</v>
      </c>
      <c r="E1480">
        <v>86</v>
      </c>
    </row>
    <row r="1481" spans="1:5" x14ac:dyDescent="0.2">
      <c r="A1481" s="3">
        <v>45797</v>
      </c>
      <c r="B1481" t="s">
        <v>1</v>
      </c>
      <c r="C1481">
        <v>1</v>
      </c>
      <c r="D1481" t="str">
        <f>_xlfn.XLOOKUP(RW_DT_PRODUCTION[[#This Row],[MATERIAL_ID]],DIM_MATERIAL[MATERIAL_ID],DIM_MATERIAL[UOM_AFTER_PROCESS])</f>
        <v>BALE</v>
      </c>
      <c r="E1481">
        <v>86</v>
      </c>
    </row>
    <row r="1482" spans="1:5" x14ac:dyDescent="0.2">
      <c r="A1482" s="3">
        <v>45797</v>
      </c>
      <c r="B1482" t="s">
        <v>1</v>
      </c>
      <c r="C1482">
        <v>1</v>
      </c>
      <c r="D1482" t="str">
        <f>_xlfn.XLOOKUP(RW_DT_PRODUCTION[[#This Row],[MATERIAL_ID]],DIM_MATERIAL[MATERIAL_ID],DIM_MATERIAL[UOM_AFTER_PROCESS])</f>
        <v>BALE</v>
      </c>
      <c r="E1482">
        <v>64</v>
      </c>
    </row>
    <row r="1483" spans="1:5" x14ac:dyDescent="0.2">
      <c r="A1483" s="3">
        <v>45799</v>
      </c>
      <c r="B1483" t="s">
        <v>1</v>
      </c>
      <c r="C1483">
        <v>1</v>
      </c>
      <c r="D1483" t="str">
        <f>_xlfn.XLOOKUP(RW_DT_PRODUCTION[[#This Row],[MATERIAL_ID]],DIM_MATERIAL[MATERIAL_ID],DIM_MATERIAL[UOM_AFTER_PROCESS])</f>
        <v>BALE</v>
      </c>
      <c r="E1483">
        <v>83</v>
      </c>
    </row>
    <row r="1484" spans="1:5" x14ac:dyDescent="0.2">
      <c r="A1484" s="3">
        <v>45799</v>
      </c>
      <c r="B1484" t="s">
        <v>1</v>
      </c>
      <c r="C1484">
        <v>1</v>
      </c>
      <c r="D1484" t="str">
        <f>_xlfn.XLOOKUP(RW_DT_PRODUCTION[[#This Row],[MATERIAL_ID]],DIM_MATERIAL[MATERIAL_ID],DIM_MATERIAL[UOM_AFTER_PROCESS])</f>
        <v>BALE</v>
      </c>
      <c r="E1484">
        <v>64</v>
      </c>
    </row>
    <row r="1485" spans="1:5" x14ac:dyDescent="0.2">
      <c r="A1485" s="3">
        <v>45799</v>
      </c>
      <c r="B1485" t="s">
        <v>1</v>
      </c>
      <c r="C1485">
        <v>1</v>
      </c>
      <c r="D1485" t="str">
        <f>_xlfn.XLOOKUP(RW_DT_PRODUCTION[[#This Row],[MATERIAL_ID]],DIM_MATERIAL[MATERIAL_ID],DIM_MATERIAL[UOM_AFTER_PROCESS])</f>
        <v>BALE</v>
      </c>
      <c r="E1485">
        <v>75</v>
      </c>
    </row>
    <row r="1486" spans="1:5" x14ac:dyDescent="0.2">
      <c r="A1486" s="3">
        <v>45799</v>
      </c>
      <c r="B1486" t="s">
        <v>1</v>
      </c>
      <c r="C1486">
        <v>1</v>
      </c>
      <c r="D1486" t="str">
        <f>_xlfn.XLOOKUP(RW_DT_PRODUCTION[[#This Row],[MATERIAL_ID]],DIM_MATERIAL[MATERIAL_ID],DIM_MATERIAL[UOM_AFTER_PROCESS])</f>
        <v>BALE</v>
      </c>
      <c r="E1486">
        <v>85</v>
      </c>
    </row>
    <row r="1487" spans="1:5" x14ac:dyDescent="0.2">
      <c r="A1487" s="3">
        <v>45799</v>
      </c>
      <c r="B1487" t="s">
        <v>1</v>
      </c>
      <c r="C1487">
        <v>1</v>
      </c>
      <c r="D1487" t="str">
        <f>_xlfn.XLOOKUP(RW_DT_PRODUCTION[[#This Row],[MATERIAL_ID]],DIM_MATERIAL[MATERIAL_ID],DIM_MATERIAL[UOM_AFTER_PROCESS])</f>
        <v>BALE</v>
      </c>
      <c r="E1487">
        <v>79</v>
      </c>
    </row>
    <row r="1488" spans="1:5" x14ac:dyDescent="0.2">
      <c r="A1488" s="3">
        <v>45799</v>
      </c>
      <c r="B1488" t="s">
        <v>1</v>
      </c>
      <c r="C1488">
        <v>1</v>
      </c>
      <c r="D1488" t="str">
        <f>_xlfn.XLOOKUP(RW_DT_PRODUCTION[[#This Row],[MATERIAL_ID]],DIM_MATERIAL[MATERIAL_ID],DIM_MATERIAL[UOM_AFTER_PROCESS])</f>
        <v>BALE</v>
      </c>
      <c r="E1488">
        <v>61</v>
      </c>
    </row>
    <row r="1489" spans="1:5" x14ac:dyDescent="0.2">
      <c r="A1489" s="3">
        <v>45799</v>
      </c>
      <c r="B1489" t="s">
        <v>1</v>
      </c>
      <c r="C1489">
        <v>1</v>
      </c>
      <c r="D1489" t="str">
        <f>_xlfn.XLOOKUP(RW_DT_PRODUCTION[[#This Row],[MATERIAL_ID]],DIM_MATERIAL[MATERIAL_ID],DIM_MATERIAL[UOM_AFTER_PROCESS])</f>
        <v>BALE</v>
      </c>
      <c r="E1489">
        <v>76</v>
      </c>
    </row>
    <row r="1490" spans="1:5" x14ac:dyDescent="0.2">
      <c r="A1490" s="3">
        <v>45799</v>
      </c>
      <c r="B1490" t="s">
        <v>1</v>
      </c>
      <c r="C1490">
        <v>1</v>
      </c>
      <c r="D1490" t="str">
        <f>_xlfn.XLOOKUP(RW_DT_PRODUCTION[[#This Row],[MATERIAL_ID]],DIM_MATERIAL[MATERIAL_ID],DIM_MATERIAL[UOM_AFTER_PROCESS])</f>
        <v>BALE</v>
      </c>
      <c r="E1490">
        <v>69</v>
      </c>
    </row>
    <row r="1491" spans="1:5" x14ac:dyDescent="0.2">
      <c r="A1491" s="3">
        <v>45799</v>
      </c>
      <c r="B1491" t="s">
        <v>1</v>
      </c>
      <c r="C1491">
        <v>1</v>
      </c>
      <c r="D1491" t="str">
        <f>_xlfn.XLOOKUP(RW_DT_PRODUCTION[[#This Row],[MATERIAL_ID]],DIM_MATERIAL[MATERIAL_ID],DIM_MATERIAL[UOM_AFTER_PROCESS])</f>
        <v>BALE</v>
      </c>
      <c r="E1491">
        <v>63</v>
      </c>
    </row>
    <row r="1492" spans="1:5" x14ac:dyDescent="0.2">
      <c r="A1492" s="3">
        <v>45799</v>
      </c>
      <c r="B1492" t="s">
        <v>1</v>
      </c>
      <c r="C1492">
        <v>1</v>
      </c>
      <c r="D1492" t="str">
        <f>_xlfn.XLOOKUP(RW_DT_PRODUCTION[[#This Row],[MATERIAL_ID]],DIM_MATERIAL[MATERIAL_ID],DIM_MATERIAL[UOM_AFTER_PROCESS])</f>
        <v>BALE</v>
      </c>
      <c r="E1492">
        <v>84</v>
      </c>
    </row>
    <row r="1493" spans="1:5" x14ac:dyDescent="0.2">
      <c r="A1493" s="3">
        <v>45799</v>
      </c>
      <c r="B1493" t="s">
        <v>1</v>
      </c>
      <c r="C1493">
        <v>1</v>
      </c>
      <c r="D1493" t="str">
        <f>_xlfn.XLOOKUP(RW_DT_PRODUCTION[[#This Row],[MATERIAL_ID]],DIM_MATERIAL[MATERIAL_ID],DIM_MATERIAL[UOM_AFTER_PROCESS])</f>
        <v>BALE</v>
      </c>
      <c r="E1493">
        <v>69</v>
      </c>
    </row>
    <row r="1494" spans="1:5" x14ac:dyDescent="0.2">
      <c r="A1494" s="3">
        <v>45799</v>
      </c>
      <c r="B1494" t="s">
        <v>1</v>
      </c>
      <c r="C1494">
        <v>1</v>
      </c>
      <c r="D1494" t="str">
        <f>_xlfn.XLOOKUP(RW_DT_PRODUCTION[[#This Row],[MATERIAL_ID]],DIM_MATERIAL[MATERIAL_ID],DIM_MATERIAL[UOM_AFTER_PROCESS])</f>
        <v>BALE</v>
      </c>
      <c r="E1494">
        <v>72</v>
      </c>
    </row>
    <row r="1495" spans="1:5" x14ac:dyDescent="0.2">
      <c r="A1495" s="3">
        <v>45800</v>
      </c>
      <c r="B1495" t="s">
        <v>1</v>
      </c>
      <c r="C1495">
        <v>1</v>
      </c>
      <c r="D1495" t="str">
        <f>_xlfn.XLOOKUP(RW_DT_PRODUCTION[[#This Row],[MATERIAL_ID]],DIM_MATERIAL[MATERIAL_ID],DIM_MATERIAL[UOM_AFTER_PROCESS])</f>
        <v>BALE</v>
      </c>
      <c r="E1495">
        <v>86</v>
      </c>
    </row>
    <row r="1496" spans="1:5" x14ac:dyDescent="0.2">
      <c r="A1496" s="3">
        <v>45800</v>
      </c>
      <c r="B1496" t="s">
        <v>1</v>
      </c>
      <c r="C1496">
        <v>1</v>
      </c>
      <c r="D1496" t="str">
        <f>_xlfn.XLOOKUP(RW_DT_PRODUCTION[[#This Row],[MATERIAL_ID]],DIM_MATERIAL[MATERIAL_ID],DIM_MATERIAL[UOM_AFTER_PROCESS])</f>
        <v>BALE</v>
      </c>
      <c r="E1496">
        <v>63</v>
      </c>
    </row>
    <row r="1497" spans="1:5" x14ac:dyDescent="0.2">
      <c r="A1497" s="3">
        <v>45800</v>
      </c>
      <c r="B1497" t="s">
        <v>1</v>
      </c>
      <c r="C1497">
        <v>1</v>
      </c>
      <c r="D1497" t="str">
        <f>_xlfn.XLOOKUP(RW_DT_PRODUCTION[[#This Row],[MATERIAL_ID]],DIM_MATERIAL[MATERIAL_ID],DIM_MATERIAL[UOM_AFTER_PROCESS])</f>
        <v>BALE</v>
      </c>
      <c r="E1497">
        <v>71</v>
      </c>
    </row>
    <row r="1498" spans="1:5" x14ac:dyDescent="0.2">
      <c r="A1498" s="3">
        <v>45800</v>
      </c>
      <c r="B1498" t="s">
        <v>1</v>
      </c>
      <c r="C1498">
        <v>1</v>
      </c>
      <c r="D1498" t="str">
        <f>_xlfn.XLOOKUP(RW_DT_PRODUCTION[[#This Row],[MATERIAL_ID]],DIM_MATERIAL[MATERIAL_ID],DIM_MATERIAL[UOM_AFTER_PROCESS])</f>
        <v>BALE</v>
      </c>
      <c r="E1498">
        <v>82</v>
      </c>
    </row>
    <row r="1499" spans="1:5" x14ac:dyDescent="0.2">
      <c r="A1499" s="3">
        <v>45800</v>
      </c>
      <c r="B1499" t="s">
        <v>1</v>
      </c>
      <c r="C1499">
        <v>1</v>
      </c>
      <c r="D1499" t="str">
        <f>_xlfn.XLOOKUP(RW_DT_PRODUCTION[[#This Row],[MATERIAL_ID]],DIM_MATERIAL[MATERIAL_ID],DIM_MATERIAL[UOM_AFTER_PROCESS])</f>
        <v>BALE</v>
      </c>
      <c r="E1499">
        <v>66</v>
      </c>
    </row>
    <row r="1500" spans="1:5" x14ac:dyDescent="0.2">
      <c r="A1500" s="3">
        <v>45800</v>
      </c>
      <c r="B1500" t="s">
        <v>1</v>
      </c>
      <c r="C1500">
        <v>1</v>
      </c>
      <c r="D1500" t="str">
        <f>_xlfn.XLOOKUP(RW_DT_PRODUCTION[[#This Row],[MATERIAL_ID]],DIM_MATERIAL[MATERIAL_ID],DIM_MATERIAL[UOM_AFTER_PROCESS])</f>
        <v>BALE</v>
      </c>
      <c r="E1500">
        <v>75</v>
      </c>
    </row>
    <row r="1501" spans="1:5" x14ac:dyDescent="0.2">
      <c r="A1501" s="3">
        <v>45800</v>
      </c>
      <c r="B1501" t="s">
        <v>1</v>
      </c>
      <c r="C1501">
        <v>1</v>
      </c>
      <c r="D1501" t="str">
        <f>_xlfn.XLOOKUP(RW_DT_PRODUCTION[[#This Row],[MATERIAL_ID]],DIM_MATERIAL[MATERIAL_ID],DIM_MATERIAL[UOM_AFTER_PROCESS])</f>
        <v>BALE</v>
      </c>
      <c r="E1501">
        <v>73</v>
      </c>
    </row>
    <row r="1502" spans="1:5" x14ac:dyDescent="0.2">
      <c r="A1502" s="3">
        <v>45800</v>
      </c>
      <c r="B1502" t="s">
        <v>1</v>
      </c>
      <c r="C1502">
        <v>1</v>
      </c>
      <c r="D1502" t="str">
        <f>_xlfn.XLOOKUP(RW_DT_PRODUCTION[[#This Row],[MATERIAL_ID]],DIM_MATERIAL[MATERIAL_ID],DIM_MATERIAL[UOM_AFTER_PROCESS])</f>
        <v>BALE</v>
      </c>
      <c r="E1502">
        <v>78</v>
      </c>
    </row>
    <row r="1503" spans="1:5" x14ac:dyDescent="0.2">
      <c r="A1503" s="3">
        <v>45800</v>
      </c>
      <c r="B1503" t="s">
        <v>1</v>
      </c>
      <c r="C1503">
        <v>1</v>
      </c>
      <c r="D1503" t="str">
        <f>_xlfn.XLOOKUP(RW_DT_PRODUCTION[[#This Row],[MATERIAL_ID]],DIM_MATERIAL[MATERIAL_ID],DIM_MATERIAL[UOM_AFTER_PROCESS])</f>
        <v>BALE</v>
      </c>
      <c r="E1503">
        <v>85</v>
      </c>
    </row>
    <row r="1504" spans="1:5" x14ac:dyDescent="0.2">
      <c r="A1504" s="3">
        <v>45800</v>
      </c>
      <c r="B1504" t="s">
        <v>1</v>
      </c>
      <c r="C1504">
        <v>1</v>
      </c>
      <c r="D1504" t="str">
        <f>_xlfn.XLOOKUP(RW_DT_PRODUCTION[[#This Row],[MATERIAL_ID]],DIM_MATERIAL[MATERIAL_ID],DIM_MATERIAL[UOM_AFTER_PROCESS])</f>
        <v>BALE</v>
      </c>
      <c r="E1504">
        <v>71</v>
      </c>
    </row>
    <row r="1505" spans="1:5" x14ac:dyDescent="0.2">
      <c r="A1505" s="3">
        <v>45800</v>
      </c>
      <c r="B1505" t="s">
        <v>1</v>
      </c>
      <c r="C1505">
        <v>1</v>
      </c>
      <c r="D1505" t="str">
        <f>_xlfn.XLOOKUP(RW_DT_PRODUCTION[[#This Row],[MATERIAL_ID]],DIM_MATERIAL[MATERIAL_ID],DIM_MATERIAL[UOM_AFTER_PROCESS])</f>
        <v>BALE</v>
      </c>
      <c r="E1505">
        <v>87</v>
      </c>
    </row>
    <row r="1506" spans="1:5" x14ac:dyDescent="0.2">
      <c r="A1506" s="3">
        <v>45800</v>
      </c>
      <c r="B1506" t="s">
        <v>1</v>
      </c>
      <c r="C1506">
        <v>1</v>
      </c>
      <c r="D1506" t="str">
        <f>_xlfn.XLOOKUP(RW_DT_PRODUCTION[[#This Row],[MATERIAL_ID]],DIM_MATERIAL[MATERIAL_ID],DIM_MATERIAL[UOM_AFTER_PROCESS])</f>
        <v>BALE</v>
      </c>
      <c r="E1506">
        <v>61</v>
      </c>
    </row>
    <row r="1507" spans="1:5" x14ac:dyDescent="0.2">
      <c r="A1507" s="3">
        <v>45800</v>
      </c>
      <c r="B1507" t="s">
        <v>1</v>
      </c>
      <c r="C1507">
        <v>1</v>
      </c>
      <c r="D1507" t="str">
        <f>_xlfn.XLOOKUP(RW_DT_PRODUCTION[[#This Row],[MATERIAL_ID]],DIM_MATERIAL[MATERIAL_ID],DIM_MATERIAL[UOM_AFTER_PROCESS])</f>
        <v>BALE</v>
      </c>
      <c r="E1507">
        <v>69</v>
      </c>
    </row>
    <row r="1508" spans="1:5" x14ac:dyDescent="0.2">
      <c r="A1508" s="3">
        <v>45800</v>
      </c>
      <c r="B1508" t="s">
        <v>1</v>
      </c>
      <c r="C1508">
        <v>1</v>
      </c>
      <c r="D1508" t="str">
        <f>_xlfn.XLOOKUP(RW_DT_PRODUCTION[[#This Row],[MATERIAL_ID]],DIM_MATERIAL[MATERIAL_ID],DIM_MATERIAL[UOM_AFTER_PROCESS])</f>
        <v>BALE</v>
      </c>
      <c r="E1508">
        <v>65</v>
      </c>
    </row>
    <row r="1509" spans="1:5" x14ac:dyDescent="0.2">
      <c r="A1509" s="3">
        <v>45801</v>
      </c>
      <c r="B1509" t="s">
        <v>1</v>
      </c>
      <c r="C1509">
        <v>1</v>
      </c>
      <c r="D1509" t="str">
        <f>_xlfn.XLOOKUP(RW_DT_PRODUCTION[[#This Row],[MATERIAL_ID]],DIM_MATERIAL[MATERIAL_ID],DIM_MATERIAL[UOM_AFTER_PROCESS])</f>
        <v>BALE</v>
      </c>
      <c r="E1509">
        <v>89</v>
      </c>
    </row>
    <row r="1510" spans="1:5" x14ac:dyDescent="0.2">
      <c r="A1510" s="3">
        <v>45801</v>
      </c>
      <c r="B1510" t="s">
        <v>1</v>
      </c>
      <c r="C1510">
        <v>1</v>
      </c>
      <c r="D1510" t="str">
        <f>_xlfn.XLOOKUP(RW_DT_PRODUCTION[[#This Row],[MATERIAL_ID]],DIM_MATERIAL[MATERIAL_ID],DIM_MATERIAL[UOM_AFTER_PROCESS])</f>
        <v>BALE</v>
      </c>
      <c r="E1510">
        <v>80</v>
      </c>
    </row>
    <row r="1511" spans="1:5" x14ac:dyDescent="0.2">
      <c r="A1511" s="3">
        <v>45801</v>
      </c>
      <c r="B1511" t="s">
        <v>1</v>
      </c>
      <c r="C1511">
        <v>1</v>
      </c>
      <c r="D1511" t="str">
        <f>_xlfn.XLOOKUP(RW_DT_PRODUCTION[[#This Row],[MATERIAL_ID]],DIM_MATERIAL[MATERIAL_ID],DIM_MATERIAL[UOM_AFTER_PROCESS])</f>
        <v>BALE</v>
      </c>
      <c r="E1511">
        <v>64</v>
      </c>
    </row>
    <row r="1512" spans="1:5" x14ac:dyDescent="0.2">
      <c r="A1512" s="3">
        <v>45801</v>
      </c>
      <c r="B1512" t="s">
        <v>1</v>
      </c>
      <c r="C1512">
        <v>1</v>
      </c>
      <c r="D1512" t="str">
        <f>_xlfn.XLOOKUP(RW_DT_PRODUCTION[[#This Row],[MATERIAL_ID]],DIM_MATERIAL[MATERIAL_ID],DIM_MATERIAL[UOM_AFTER_PROCESS])</f>
        <v>BALE</v>
      </c>
      <c r="E1512">
        <v>76</v>
      </c>
    </row>
    <row r="1513" spans="1:5" x14ac:dyDescent="0.2">
      <c r="A1513" s="3">
        <v>45801</v>
      </c>
      <c r="B1513" t="s">
        <v>2</v>
      </c>
      <c r="C1513">
        <v>1</v>
      </c>
      <c r="D1513" t="str">
        <f>_xlfn.XLOOKUP(RW_DT_PRODUCTION[[#This Row],[MATERIAL_ID]],DIM_MATERIAL[MATERIAL_ID],DIM_MATERIAL[UOM_AFTER_PROCESS])</f>
        <v>BAG</v>
      </c>
      <c r="E1513">
        <v>22</v>
      </c>
    </row>
    <row r="1514" spans="1:5" x14ac:dyDescent="0.2">
      <c r="A1514" s="3">
        <v>45801</v>
      </c>
      <c r="B1514" t="s">
        <v>2</v>
      </c>
      <c r="C1514">
        <v>1</v>
      </c>
      <c r="D1514" t="str">
        <f>_xlfn.XLOOKUP(RW_DT_PRODUCTION[[#This Row],[MATERIAL_ID]],DIM_MATERIAL[MATERIAL_ID],DIM_MATERIAL[UOM_AFTER_PROCESS])</f>
        <v>BAG</v>
      </c>
      <c r="E1514">
        <v>22</v>
      </c>
    </row>
    <row r="1515" spans="1:5" x14ac:dyDescent="0.2">
      <c r="A1515" s="3">
        <v>45801</v>
      </c>
      <c r="B1515" t="s">
        <v>2</v>
      </c>
      <c r="C1515">
        <v>1</v>
      </c>
      <c r="D1515" t="str">
        <f>_xlfn.XLOOKUP(RW_DT_PRODUCTION[[#This Row],[MATERIAL_ID]],DIM_MATERIAL[MATERIAL_ID],DIM_MATERIAL[UOM_AFTER_PROCESS])</f>
        <v>BAG</v>
      </c>
      <c r="E1515">
        <v>22</v>
      </c>
    </row>
    <row r="1516" spans="1:5" x14ac:dyDescent="0.2">
      <c r="A1516" s="3">
        <v>45801</v>
      </c>
      <c r="B1516" t="s">
        <v>2</v>
      </c>
      <c r="C1516">
        <v>1</v>
      </c>
      <c r="D1516" t="str">
        <f>_xlfn.XLOOKUP(RW_DT_PRODUCTION[[#This Row],[MATERIAL_ID]],DIM_MATERIAL[MATERIAL_ID],DIM_MATERIAL[UOM_AFTER_PROCESS])</f>
        <v>BAG</v>
      </c>
      <c r="E1516">
        <v>22</v>
      </c>
    </row>
    <row r="1517" spans="1:5" x14ac:dyDescent="0.2">
      <c r="A1517" s="3">
        <v>45801</v>
      </c>
      <c r="B1517" t="s">
        <v>2</v>
      </c>
      <c r="C1517">
        <v>1</v>
      </c>
      <c r="D1517" t="str">
        <f>_xlfn.XLOOKUP(RW_DT_PRODUCTION[[#This Row],[MATERIAL_ID]],DIM_MATERIAL[MATERIAL_ID],DIM_MATERIAL[UOM_AFTER_PROCESS])</f>
        <v>BAG</v>
      </c>
      <c r="E1517">
        <v>22</v>
      </c>
    </row>
    <row r="1518" spans="1:5" x14ac:dyDescent="0.2">
      <c r="A1518" s="3">
        <v>45801</v>
      </c>
      <c r="B1518" t="s">
        <v>2</v>
      </c>
      <c r="C1518">
        <v>1</v>
      </c>
      <c r="D1518" t="str">
        <f>_xlfn.XLOOKUP(RW_DT_PRODUCTION[[#This Row],[MATERIAL_ID]],DIM_MATERIAL[MATERIAL_ID],DIM_MATERIAL[UOM_AFTER_PROCESS])</f>
        <v>BAG</v>
      </c>
      <c r="E1518">
        <v>22</v>
      </c>
    </row>
    <row r="1519" spans="1:5" x14ac:dyDescent="0.2">
      <c r="A1519" s="3">
        <v>45801</v>
      </c>
      <c r="B1519" t="s">
        <v>2</v>
      </c>
      <c r="C1519">
        <v>1</v>
      </c>
      <c r="D1519" t="str">
        <f>_xlfn.XLOOKUP(RW_DT_PRODUCTION[[#This Row],[MATERIAL_ID]],DIM_MATERIAL[MATERIAL_ID],DIM_MATERIAL[UOM_AFTER_PROCESS])</f>
        <v>BAG</v>
      </c>
      <c r="E1519">
        <v>22</v>
      </c>
    </row>
    <row r="1520" spans="1:5" x14ac:dyDescent="0.2">
      <c r="A1520" s="3">
        <v>45803</v>
      </c>
      <c r="B1520" t="s">
        <v>1</v>
      </c>
      <c r="C1520">
        <v>1</v>
      </c>
      <c r="D1520" t="str">
        <f>_xlfn.XLOOKUP(RW_DT_PRODUCTION[[#This Row],[MATERIAL_ID]],DIM_MATERIAL[MATERIAL_ID],DIM_MATERIAL[UOM_AFTER_PROCESS])</f>
        <v>BALE</v>
      </c>
      <c r="E1520">
        <v>88</v>
      </c>
    </row>
    <row r="1521" spans="1:5" x14ac:dyDescent="0.2">
      <c r="A1521" s="3">
        <v>45803</v>
      </c>
      <c r="B1521" t="s">
        <v>1</v>
      </c>
      <c r="C1521">
        <v>1</v>
      </c>
      <c r="D1521" t="str">
        <f>_xlfn.XLOOKUP(RW_DT_PRODUCTION[[#This Row],[MATERIAL_ID]],DIM_MATERIAL[MATERIAL_ID],DIM_MATERIAL[UOM_AFTER_PROCESS])</f>
        <v>BALE</v>
      </c>
      <c r="E1521">
        <v>64</v>
      </c>
    </row>
    <row r="1522" spans="1:5" x14ac:dyDescent="0.2">
      <c r="A1522" s="3">
        <v>45803</v>
      </c>
      <c r="B1522" t="s">
        <v>1</v>
      </c>
      <c r="C1522">
        <v>1</v>
      </c>
      <c r="D1522" t="str">
        <f>_xlfn.XLOOKUP(RW_DT_PRODUCTION[[#This Row],[MATERIAL_ID]],DIM_MATERIAL[MATERIAL_ID],DIM_MATERIAL[UOM_AFTER_PROCESS])</f>
        <v>BALE</v>
      </c>
      <c r="E1522">
        <v>86</v>
      </c>
    </row>
    <row r="1523" spans="1:5" x14ac:dyDescent="0.2">
      <c r="A1523" s="3">
        <v>45803</v>
      </c>
      <c r="B1523" t="s">
        <v>1</v>
      </c>
      <c r="C1523">
        <v>1</v>
      </c>
      <c r="D1523" t="str">
        <f>_xlfn.XLOOKUP(RW_DT_PRODUCTION[[#This Row],[MATERIAL_ID]],DIM_MATERIAL[MATERIAL_ID],DIM_MATERIAL[UOM_AFTER_PROCESS])</f>
        <v>BALE</v>
      </c>
      <c r="E1523">
        <v>78</v>
      </c>
    </row>
    <row r="1524" spans="1:5" x14ac:dyDescent="0.2">
      <c r="A1524" s="3">
        <v>45803</v>
      </c>
      <c r="B1524" t="s">
        <v>1</v>
      </c>
      <c r="C1524">
        <v>1</v>
      </c>
      <c r="D1524" t="str">
        <f>_xlfn.XLOOKUP(RW_DT_PRODUCTION[[#This Row],[MATERIAL_ID]],DIM_MATERIAL[MATERIAL_ID],DIM_MATERIAL[UOM_AFTER_PROCESS])</f>
        <v>BALE</v>
      </c>
      <c r="E1524">
        <v>83</v>
      </c>
    </row>
    <row r="1525" spans="1:5" x14ac:dyDescent="0.2">
      <c r="A1525" s="3">
        <v>45803</v>
      </c>
      <c r="B1525" t="s">
        <v>1</v>
      </c>
      <c r="C1525">
        <v>1</v>
      </c>
      <c r="D1525" t="str">
        <f>_xlfn.XLOOKUP(RW_DT_PRODUCTION[[#This Row],[MATERIAL_ID]],DIM_MATERIAL[MATERIAL_ID],DIM_MATERIAL[UOM_AFTER_PROCESS])</f>
        <v>BALE</v>
      </c>
      <c r="E1525">
        <v>77</v>
      </c>
    </row>
    <row r="1526" spans="1:5" x14ac:dyDescent="0.2">
      <c r="A1526" s="3">
        <v>45803</v>
      </c>
      <c r="B1526" t="s">
        <v>1</v>
      </c>
      <c r="C1526">
        <v>1</v>
      </c>
      <c r="D1526" t="str">
        <f>_xlfn.XLOOKUP(RW_DT_PRODUCTION[[#This Row],[MATERIAL_ID]],DIM_MATERIAL[MATERIAL_ID],DIM_MATERIAL[UOM_AFTER_PROCESS])</f>
        <v>BALE</v>
      </c>
      <c r="E1526">
        <v>76</v>
      </c>
    </row>
    <row r="1527" spans="1:5" x14ac:dyDescent="0.2">
      <c r="A1527" s="3">
        <v>45803</v>
      </c>
      <c r="B1527" t="s">
        <v>1</v>
      </c>
      <c r="C1527">
        <v>1</v>
      </c>
      <c r="D1527" t="str">
        <f>_xlfn.XLOOKUP(RW_DT_PRODUCTION[[#This Row],[MATERIAL_ID]],DIM_MATERIAL[MATERIAL_ID],DIM_MATERIAL[UOM_AFTER_PROCESS])</f>
        <v>BALE</v>
      </c>
      <c r="E1527">
        <v>89</v>
      </c>
    </row>
    <row r="1528" spans="1:5" x14ac:dyDescent="0.2">
      <c r="A1528" s="3">
        <v>45803</v>
      </c>
      <c r="B1528" t="s">
        <v>1</v>
      </c>
      <c r="C1528">
        <v>1</v>
      </c>
      <c r="D1528" t="str">
        <f>_xlfn.XLOOKUP(RW_DT_PRODUCTION[[#This Row],[MATERIAL_ID]],DIM_MATERIAL[MATERIAL_ID],DIM_MATERIAL[UOM_AFTER_PROCESS])</f>
        <v>BALE</v>
      </c>
      <c r="E1528">
        <v>66</v>
      </c>
    </row>
    <row r="1529" spans="1:5" x14ac:dyDescent="0.2">
      <c r="A1529" s="3">
        <v>45803</v>
      </c>
      <c r="B1529" t="s">
        <v>1</v>
      </c>
      <c r="C1529">
        <v>1</v>
      </c>
      <c r="D1529" t="str">
        <f>_xlfn.XLOOKUP(RW_DT_PRODUCTION[[#This Row],[MATERIAL_ID]],DIM_MATERIAL[MATERIAL_ID],DIM_MATERIAL[UOM_AFTER_PROCESS])</f>
        <v>BALE</v>
      </c>
      <c r="E1529">
        <v>71</v>
      </c>
    </row>
    <row r="1530" spans="1:5" x14ac:dyDescent="0.2">
      <c r="A1530" s="3">
        <v>45803</v>
      </c>
      <c r="B1530" t="s">
        <v>2</v>
      </c>
      <c r="C1530">
        <v>1</v>
      </c>
      <c r="D1530" t="str">
        <f>_xlfn.XLOOKUP(RW_DT_PRODUCTION[[#This Row],[MATERIAL_ID]],DIM_MATERIAL[MATERIAL_ID],DIM_MATERIAL[UOM_AFTER_PROCESS])</f>
        <v>BAG</v>
      </c>
      <c r="E1530">
        <v>22</v>
      </c>
    </row>
    <row r="1531" spans="1:5" x14ac:dyDescent="0.2">
      <c r="A1531" s="3">
        <v>45804</v>
      </c>
      <c r="B1531" t="s">
        <v>1</v>
      </c>
      <c r="C1531">
        <v>1</v>
      </c>
      <c r="D1531" t="str">
        <f>_xlfn.XLOOKUP(RW_DT_PRODUCTION[[#This Row],[MATERIAL_ID]],DIM_MATERIAL[MATERIAL_ID],DIM_MATERIAL[UOM_AFTER_PROCESS])</f>
        <v>BALE</v>
      </c>
      <c r="E1531">
        <v>60</v>
      </c>
    </row>
    <row r="1532" spans="1:5" x14ac:dyDescent="0.2">
      <c r="A1532" s="3">
        <v>45804</v>
      </c>
      <c r="B1532" t="s">
        <v>1</v>
      </c>
      <c r="C1532">
        <v>1</v>
      </c>
      <c r="D1532" t="str">
        <f>_xlfn.XLOOKUP(RW_DT_PRODUCTION[[#This Row],[MATERIAL_ID]],DIM_MATERIAL[MATERIAL_ID],DIM_MATERIAL[UOM_AFTER_PROCESS])</f>
        <v>BALE</v>
      </c>
      <c r="E1532">
        <v>70</v>
      </c>
    </row>
    <row r="1533" spans="1:5" x14ac:dyDescent="0.2">
      <c r="A1533" s="3">
        <v>45804</v>
      </c>
      <c r="B1533" t="s">
        <v>1</v>
      </c>
      <c r="C1533">
        <v>1</v>
      </c>
      <c r="D1533" t="str">
        <f>_xlfn.XLOOKUP(RW_DT_PRODUCTION[[#This Row],[MATERIAL_ID]],DIM_MATERIAL[MATERIAL_ID],DIM_MATERIAL[UOM_AFTER_PROCESS])</f>
        <v>BALE</v>
      </c>
      <c r="E1533">
        <v>84</v>
      </c>
    </row>
    <row r="1534" spans="1:5" x14ac:dyDescent="0.2">
      <c r="A1534" s="3">
        <v>45804</v>
      </c>
      <c r="B1534" t="s">
        <v>1</v>
      </c>
      <c r="C1534">
        <v>1</v>
      </c>
      <c r="D1534" t="str">
        <f>_xlfn.XLOOKUP(RW_DT_PRODUCTION[[#This Row],[MATERIAL_ID]],DIM_MATERIAL[MATERIAL_ID],DIM_MATERIAL[UOM_AFTER_PROCESS])</f>
        <v>BALE</v>
      </c>
      <c r="E1534">
        <v>78</v>
      </c>
    </row>
    <row r="1535" spans="1:5" x14ac:dyDescent="0.2">
      <c r="A1535" s="3">
        <v>45804</v>
      </c>
      <c r="B1535" t="s">
        <v>1</v>
      </c>
      <c r="C1535">
        <v>1</v>
      </c>
      <c r="D1535" t="str">
        <f>_xlfn.XLOOKUP(RW_DT_PRODUCTION[[#This Row],[MATERIAL_ID]],DIM_MATERIAL[MATERIAL_ID],DIM_MATERIAL[UOM_AFTER_PROCESS])</f>
        <v>BALE</v>
      </c>
      <c r="E1535">
        <v>75</v>
      </c>
    </row>
    <row r="1536" spans="1:5" x14ac:dyDescent="0.2">
      <c r="A1536" s="3">
        <v>45804</v>
      </c>
      <c r="B1536" t="s">
        <v>1</v>
      </c>
      <c r="C1536">
        <v>1</v>
      </c>
      <c r="D1536" t="str">
        <f>_xlfn.XLOOKUP(RW_DT_PRODUCTION[[#This Row],[MATERIAL_ID]],DIM_MATERIAL[MATERIAL_ID],DIM_MATERIAL[UOM_AFTER_PROCESS])</f>
        <v>BALE</v>
      </c>
      <c r="E1536">
        <v>65</v>
      </c>
    </row>
    <row r="1537" spans="1:5" x14ac:dyDescent="0.2">
      <c r="A1537" s="3">
        <v>45804</v>
      </c>
      <c r="B1537" t="s">
        <v>1</v>
      </c>
      <c r="C1537">
        <v>1</v>
      </c>
      <c r="D1537" t="str">
        <f>_xlfn.XLOOKUP(RW_DT_PRODUCTION[[#This Row],[MATERIAL_ID]],DIM_MATERIAL[MATERIAL_ID],DIM_MATERIAL[UOM_AFTER_PROCESS])</f>
        <v>BALE</v>
      </c>
      <c r="E1537">
        <v>84</v>
      </c>
    </row>
    <row r="1538" spans="1:5" x14ac:dyDescent="0.2">
      <c r="A1538" s="3">
        <v>45804</v>
      </c>
      <c r="B1538" t="s">
        <v>1</v>
      </c>
      <c r="C1538">
        <v>1</v>
      </c>
      <c r="D1538" t="str">
        <f>_xlfn.XLOOKUP(RW_DT_PRODUCTION[[#This Row],[MATERIAL_ID]],DIM_MATERIAL[MATERIAL_ID],DIM_MATERIAL[UOM_AFTER_PROCESS])</f>
        <v>BALE</v>
      </c>
      <c r="E1538">
        <v>66</v>
      </c>
    </row>
    <row r="1539" spans="1:5" x14ac:dyDescent="0.2">
      <c r="A1539" s="3">
        <v>45804</v>
      </c>
      <c r="B1539" t="s">
        <v>1</v>
      </c>
      <c r="C1539">
        <v>1</v>
      </c>
      <c r="D1539" t="str">
        <f>_xlfn.XLOOKUP(RW_DT_PRODUCTION[[#This Row],[MATERIAL_ID]],DIM_MATERIAL[MATERIAL_ID],DIM_MATERIAL[UOM_AFTER_PROCESS])</f>
        <v>BALE</v>
      </c>
      <c r="E1539">
        <v>71</v>
      </c>
    </row>
    <row r="1540" spans="1:5" x14ac:dyDescent="0.2">
      <c r="A1540" s="3">
        <v>45804</v>
      </c>
      <c r="B1540" t="s">
        <v>1</v>
      </c>
      <c r="C1540">
        <v>1</v>
      </c>
      <c r="D1540" t="str">
        <f>_xlfn.XLOOKUP(RW_DT_PRODUCTION[[#This Row],[MATERIAL_ID]],DIM_MATERIAL[MATERIAL_ID],DIM_MATERIAL[UOM_AFTER_PROCESS])</f>
        <v>BALE</v>
      </c>
      <c r="E1540">
        <v>76</v>
      </c>
    </row>
    <row r="1541" spans="1:5" x14ac:dyDescent="0.2">
      <c r="A1541" s="3">
        <v>45804</v>
      </c>
      <c r="B1541" t="s">
        <v>2</v>
      </c>
      <c r="C1541">
        <v>1</v>
      </c>
      <c r="D1541" t="str">
        <f>_xlfn.XLOOKUP(RW_DT_PRODUCTION[[#This Row],[MATERIAL_ID]],DIM_MATERIAL[MATERIAL_ID],DIM_MATERIAL[UOM_AFTER_PROCESS])</f>
        <v>BAG</v>
      </c>
      <c r="E1541">
        <v>22</v>
      </c>
    </row>
    <row r="1542" spans="1:5" x14ac:dyDescent="0.2">
      <c r="A1542" s="3">
        <v>45804</v>
      </c>
      <c r="B1542" t="s">
        <v>2</v>
      </c>
      <c r="C1542">
        <v>1</v>
      </c>
      <c r="D1542" t="str">
        <f>_xlfn.XLOOKUP(RW_DT_PRODUCTION[[#This Row],[MATERIAL_ID]],DIM_MATERIAL[MATERIAL_ID],DIM_MATERIAL[UOM_AFTER_PROCESS])</f>
        <v>BAG</v>
      </c>
      <c r="E1542">
        <v>22</v>
      </c>
    </row>
    <row r="1543" spans="1:5" x14ac:dyDescent="0.2">
      <c r="A1543" s="3">
        <v>45804</v>
      </c>
      <c r="B1543" t="s">
        <v>2</v>
      </c>
      <c r="C1543">
        <v>1</v>
      </c>
      <c r="D1543" t="str">
        <f>_xlfn.XLOOKUP(RW_DT_PRODUCTION[[#This Row],[MATERIAL_ID]],DIM_MATERIAL[MATERIAL_ID],DIM_MATERIAL[UOM_AFTER_PROCESS])</f>
        <v>BAG</v>
      </c>
      <c r="E1543">
        <v>22</v>
      </c>
    </row>
    <row r="1544" spans="1:5" x14ac:dyDescent="0.2">
      <c r="A1544" s="3">
        <v>45804</v>
      </c>
      <c r="B1544" t="s">
        <v>2</v>
      </c>
      <c r="C1544">
        <v>1</v>
      </c>
      <c r="D1544" t="str">
        <f>_xlfn.XLOOKUP(RW_DT_PRODUCTION[[#This Row],[MATERIAL_ID]],DIM_MATERIAL[MATERIAL_ID],DIM_MATERIAL[UOM_AFTER_PROCESS])</f>
        <v>BAG</v>
      </c>
      <c r="E1544">
        <v>22</v>
      </c>
    </row>
    <row r="1545" spans="1:5" x14ac:dyDescent="0.2">
      <c r="A1545" s="3">
        <v>45804</v>
      </c>
      <c r="B1545" t="s">
        <v>2</v>
      </c>
      <c r="C1545">
        <v>1</v>
      </c>
      <c r="D1545" t="str">
        <f>_xlfn.XLOOKUP(RW_DT_PRODUCTION[[#This Row],[MATERIAL_ID]],DIM_MATERIAL[MATERIAL_ID],DIM_MATERIAL[UOM_AFTER_PROCESS])</f>
        <v>BAG</v>
      </c>
      <c r="E1545">
        <v>22</v>
      </c>
    </row>
    <row r="1546" spans="1:5" x14ac:dyDescent="0.2">
      <c r="A1546" s="3">
        <v>45804</v>
      </c>
      <c r="B1546" t="s">
        <v>2</v>
      </c>
      <c r="C1546">
        <v>1</v>
      </c>
      <c r="D1546" t="str">
        <f>_xlfn.XLOOKUP(RW_DT_PRODUCTION[[#This Row],[MATERIAL_ID]],DIM_MATERIAL[MATERIAL_ID],DIM_MATERIAL[UOM_AFTER_PROCESS])</f>
        <v>BAG</v>
      </c>
      <c r="E1546">
        <v>22</v>
      </c>
    </row>
    <row r="1547" spans="1:5" x14ac:dyDescent="0.2">
      <c r="A1547" s="3">
        <v>45804</v>
      </c>
      <c r="B1547" t="s">
        <v>2</v>
      </c>
      <c r="C1547">
        <v>1</v>
      </c>
      <c r="D1547" t="str">
        <f>_xlfn.XLOOKUP(RW_DT_PRODUCTION[[#This Row],[MATERIAL_ID]],DIM_MATERIAL[MATERIAL_ID],DIM_MATERIAL[UOM_AFTER_PROCESS])</f>
        <v>BAG</v>
      </c>
      <c r="E1547">
        <v>22</v>
      </c>
    </row>
    <row r="1548" spans="1:5" x14ac:dyDescent="0.2">
      <c r="A1548" s="3">
        <v>45804</v>
      </c>
      <c r="B1548" t="s">
        <v>2</v>
      </c>
      <c r="C1548">
        <v>1</v>
      </c>
      <c r="D1548" t="str">
        <f>_xlfn.XLOOKUP(RW_DT_PRODUCTION[[#This Row],[MATERIAL_ID]],DIM_MATERIAL[MATERIAL_ID],DIM_MATERIAL[UOM_AFTER_PROCESS])</f>
        <v>BAG</v>
      </c>
      <c r="E1548">
        <v>22</v>
      </c>
    </row>
    <row r="1549" spans="1:5" x14ac:dyDescent="0.2">
      <c r="A1549" s="3">
        <v>45804</v>
      </c>
      <c r="B1549" t="s">
        <v>2</v>
      </c>
      <c r="C1549">
        <v>1</v>
      </c>
      <c r="D1549" t="str">
        <f>_xlfn.XLOOKUP(RW_DT_PRODUCTION[[#This Row],[MATERIAL_ID]],DIM_MATERIAL[MATERIAL_ID],DIM_MATERIAL[UOM_AFTER_PROCESS])</f>
        <v>BAG</v>
      </c>
      <c r="E1549">
        <v>22</v>
      </c>
    </row>
    <row r="1550" spans="1:5" x14ac:dyDescent="0.2">
      <c r="A1550" s="3">
        <v>45804</v>
      </c>
      <c r="B1550" t="s">
        <v>2</v>
      </c>
      <c r="C1550">
        <v>1</v>
      </c>
      <c r="D1550" t="str">
        <f>_xlfn.XLOOKUP(RW_DT_PRODUCTION[[#This Row],[MATERIAL_ID]],DIM_MATERIAL[MATERIAL_ID],DIM_MATERIAL[UOM_AFTER_PROCESS])</f>
        <v>BAG</v>
      </c>
      <c r="E1550">
        <v>22</v>
      </c>
    </row>
    <row r="1551" spans="1:5" x14ac:dyDescent="0.2">
      <c r="A1551" s="3">
        <v>45804</v>
      </c>
      <c r="B1551" t="s">
        <v>2</v>
      </c>
      <c r="C1551">
        <v>1</v>
      </c>
      <c r="D1551" t="str">
        <f>_xlfn.XLOOKUP(RW_DT_PRODUCTION[[#This Row],[MATERIAL_ID]],DIM_MATERIAL[MATERIAL_ID],DIM_MATERIAL[UOM_AFTER_PROCESS])</f>
        <v>BAG</v>
      </c>
      <c r="E1551">
        <v>22</v>
      </c>
    </row>
    <row r="1552" spans="1:5" x14ac:dyDescent="0.2">
      <c r="A1552" s="3">
        <v>45804</v>
      </c>
      <c r="B1552" t="s">
        <v>2</v>
      </c>
      <c r="C1552">
        <v>1</v>
      </c>
      <c r="D1552" t="str">
        <f>_xlfn.XLOOKUP(RW_DT_PRODUCTION[[#This Row],[MATERIAL_ID]],DIM_MATERIAL[MATERIAL_ID],DIM_MATERIAL[UOM_AFTER_PROCESS])</f>
        <v>BAG</v>
      </c>
      <c r="E1552">
        <v>22</v>
      </c>
    </row>
    <row r="1553" spans="1:5" x14ac:dyDescent="0.2">
      <c r="A1553" s="3">
        <v>45805</v>
      </c>
      <c r="B1553" t="s">
        <v>1</v>
      </c>
      <c r="C1553">
        <v>1</v>
      </c>
      <c r="D1553" t="str">
        <f>_xlfn.XLOOKUP(RW_DT_PRODUCTION[[#This Row],[MATERIAL_ID]],DIM_MATERIAL[MATERIAL_ID],DIM_MATERIAL[UOM_AFTER_PROCESS])</f>
        <v>BALE</v>
      </c>
      <c r="E1553">
        <v>68</v>
      </c>
    </row>
    <row r="1554" spans="1:5" x14ac:dyDescent="0.2">
      <c r="A1554" s="3">
        <v>45805</v>
      </c>
      <c r="B1554" t="s">
        <v>1</v>
      </c>
      <c r="C1554">
        <v>1</v>
      </c>
      <c r="D1554" t="str">
        <f>_xlfn.XLOOKUP(RW_DT_PRODUCTION[[#This Row],[MATERIAL_ID]],DIM_MATERIAL[MATERIAL_ID],DIM_MATERIAL[UOM_AFTER_PROCESS])</f>
        <v>BALE</v>
      </c>
      <c r="E1554">
        <v>79</v>
      </c>
    </row>
    <row r="1555" spans="1:5" x14ac:dyDescent="0.2">
      <c r="A1555" s="3">
        <v>45805</v>
      </c>
      <c r="B1555" t="s">
        <v>1</v>
      </c>
      <c r="C1555">
        <v>1</v>
      </c>
      <c r="D1555" t="str">
        <f>_xlfn.XLOOKUP(RW_DT_PRODUCTION[[#This Row],[MATERIAL_ID]],DIM_MATERIAL[MATERIAL_ID],DIM_MATERIAL[UOM_AFTER_PROCESS])</f>
        <v>BALE</v>
      </c>
      <c r="E1555">
        <v>64</v>
      </c>
    </row>
    <row r="1556" spans="1:5" x14ac:dyDescent="0.2">
      <c r="A1556" s="3">
        <v>45805</v>
      </c>
      <c r="B1556" t="s">
        <v>1</v>
      </c>
      <c r="C1556">
        <v>1</v>
      </c>
      <c r="D1556" t="str">
        <f>_xlfn.XLOOKUP(RW_DT_PRODUCTION[[#This Row],[MATERIAL_ID]],DIM_MATERIAL[MATERIAL_ID],DIM_MATERIAL[UOM_AFTER_PROCESS])</f>
        <v>BALE</v>
      </c>
      <c r="E1556">
        <v>84</v>
      </c>
    </row>
    <row r="1557" spans="1:5" x14ac:dyDescent="0.2">
      <c r="A1557" s="3">
        <v>45805</v>
      </c>
      <c r="B1557" t="s">
        <v>1</v>
      </c>
      <c r="C1557">
        <v>1</v>
      </c>
      <c r="D1557" t="str">
        <f>_xlfn.XLOOKUP(RW_DT_PRODUCTION[[#This Row],[MATERIAL_ID]],DIM_MATERIAL[MATERIAL_ID],DIM_MATERIAL[UOM_AFTER_PROCESS])</f>
        <v>BALE</v>
      </c>
      <c r="E1557">
        <v>89</v>
      </c>
    </row>
    <row r="1558" spans="1:5" x14ac:dyDescent="0.2">
      <c r="A1558" s="3">
        <v>45805</v>
      </c>
      <c r="B1558" t="s">
        <v>1</v>
      </c>
      <c r="C1558">
        <v>1</v>
      </c>
      <c r="D1558" t="str">
        <f>_xlfn.XLOOKUP(RW_DT_PRODUCTION[[#This Row],[MATERIAL_ID]],DIM_MATERIAL[MATERIAL_ID],DIM_MATERIAL[UOM_AFTER_PROCESS])</f>
        <v>BALE</v>
      </c>
      <c r="E1558">
        <v>71</v>
      </c>
    </row>
    <row r="1559" spans="1:5" x14ac:dyDescent="0.2">
      <c r="A1559" s="3">
        <v>45805</v>
      </c>
      <c r="B1559" t="s">
        <v>1</v>
      </c>
      <c r="C1559">
        <v>1</v>
      </c>
      <c r="D1559" t="str">
        <f>_xlfn.XLOOKUP(RW_DT_PRODUCTION[[#This Row],[MATERIAL_ID]],DIM_MATERIAL[MATERIAL_ID],DIM_MATERIAL[UOM_AFTER_PROCESS])</f>
        <v>BALE</v>
      </c>
      <c r="E1559">
        <v>82</v>
      </c>
    </row>
    <row r="1560" spans="1:5" x14ac:dyDescent="0.2">
      <c r="A1560" s="3">
        <v>45805</v>
      </c>
      <c r="B1560" t="s">
        <v>1</v>
      </c>
      <c r="C1560">
        <v>1</v>
      </c>
      <c r="D1560" t="str">
        <f>_xlfn.XLOOKUP(RW_DT_PRODUCTION[[#This Row],[MATERIAL_ID]],DIM_MATERIAL[MATERIAL_ID],DIM_MATERIAL[UOM_AFTER_PROCESS])</f>
        <v>BALE</v>
      </c>
      <c r="E1560">
        <v>78</v>
      </c>
    </row>
    <row r="1561" spans="1:5" x14ac:dyDescent="0.2">
      <c r="A1561" s="3">
        <v>45806</v>
      </c>
      <c r="B1561" t="s">
        <v>1</v>
      </c>
      <c r="C1561">
        <v>1</v>
      </c>
      <c r="D1561" t="str">
        <f>_xlfn.XLOOKUP(RW_DT_PRODUCTION[[#This Row],[MATERIAL_ID]],DIM_MATERIAL[MATERIAL_ID],DIM_MATERIAL[UOM_AFTER_PROCESS])</f>
        <v>BALE</v>
      </c>
      <c r="E1561">
        <v>60</v>
      </c>
    </row>
    <row r="1562" spans="1:5" x14ac:dyDescent="0.2">
      <c r="A1562" s="3">
        <v>45806</v>
      </c>
      <c r="B1562" t="s">
        <v>1</v>
      </c>
      <c r="C1562">
        <v>1</v>
      </c>
      <c r="D1562" t="str">
        <f>_xlfn.XLOOKUP(RW_DT_PRODUCTION[[#This Row],[MATERIAL_ID]],DIM_MATERIAL[MATERIAL_ID],DIM_MATERIAL[UOM_AFTER_PROCESS])</f>
        <v>BALE</v>
      </c>
      <c r="E1562">
        <v>64</v>
      </c>
    </row>
    <row r="1563" spans="1:5" x14ac:dyDescent="0.2">
      <c r="A1563" s="3">
        <v>45806</v>
      </c>
      <c r="B1563" t="s">
        <v>1</v>
      </c>
      <c r="C1563">
        <v>1</v>
      </c>
      <c r="D1563" t="str">
        <f>_xlfn.XLOOKUP(RW_DT_PRODUCTION[[#This Row],[MATERIAL_ID]],DIM_MATERIAL[MATERIAL_ID],DIM_MATERIAL[UOM_AFTER_PROCESS])</f>
        <v>BALE</v>
      </c>
      <c r="E1563">
        <v>63</v>
      </c>
    </row>
    <row r="1564" spans="1:5" x14ac:dyDescent="0.2">
      <c r="A1564" s="3">
        <v>45806</v>
      </c>
      <c r="B1564" t="s">
        <v>1</v>
      </c>
      <c r="C1564">
        <v>1</v>
      </c>
      <c r="D1564" t="str">
        <f>_xlfn.XLOOKUP(RW_DT_PRODUCTION[[#This Row],[MATERIAL_ID]],DIM_MATERIAL[MATERIAL_ID],DIM_MATERIAL[UOM_AFTER_PROCESS])</f>
        <v>BALE</v>
      </c>
      <c r="E1564">
        <v>89</v>
      </c>
    </row>
    <row r="1565" spans="1:5" x14ac:dyDescent="0.2">
      <c r="A1565" s="3">
        <v>45806</v>
      </c>
      <c r="B1565" t="s">
        <v>1</v>
      </c>
      <c r="C1565">
        <v>1</v>
      </c>
      <c r="D1565" t="str">
        <f>_xlfn.XLOOKUP(RW_DT_PRODUCTION[[#This Row],[MATERIAL_ID]],DIM_MATERIAL[MATERIAL_ID],DIM_MATERIAL[UOM_AFTER_PROCESS])</f>
        <v>BALE</v>
      </c>
      <c r="E1565">
        <v>71</v>
      </c>
    </row>
    <row r="1566" spans="1:5" x14ac:dyDescent="0.2">
      <c r="A1566" s="3">
        <v>45806</v>
      </c>
      <c r="B1566" t="s">
        <v>1</v>
      </c>
      <c r="C1566">
        <v>1</v>
      </c>
      <c r="D1566" t="str">
        <f>_xlfn.XLOOKUP(RW_DT_PRODUCTION[[#This Row],[MATERIAL_ID]],DIM_MATERIAL[MATERIAL_ID],DIM_MATERIAL[UOM_AFTER_PROCESS])</f>
        <v>BALE</v>
      </c>
      <c r="E1566">
        <v>84</v>
      </c>
    </row>
    <row r="1567" spans="1:5" x14ac:dyDescent="0.2">
      <c r="A1567" s="3">
        <v>45806</v>
      </c>
      <c r="B1567" t="s">
        <v>1</v>
      </c>
      <c r="C1567">
        <v>1</v>
      </c>
      <c r="D1567" t="str">
        <f>_xlfn.XLOOKUP(RW_DT_PRODUCTION[[#This Row],[MATERIAL_ID]],DIM_MATERIAL[MATERIAL_ID],DIM_MATERIAL[UOM_AFTER_PROCESS])</f>
        <v>BALE</v>
      </c>
      <c r="E1567">
        <v>75</v>
      </c>
    </row>
    <row r="1568" spans="1:5" x14ac:dyDescent="0.2">
      <c r="A1568" s="3">
        <v>45806</v>
      </c>
      <c r="B1568" t="s">
        <v>1</v>
      </c>
      <c r="C1568">
        <v>1</v>
      </c>
      <c r="D1568" t="str">
        <f>_xlfn.XLOOKUP(RW_DT_PRODUCTION[[#This Row],[MATERIAL_ID]],DIM_MATERIAL[MATERIAL_ID],DIM_MATERIAL[UOM_AFTER_PROCESS])</f>
        <v>BALE</v>
      </c>
      <c r="E1568">
        <v>60</v>
      </c>
    </row>
    <row r="1569" spans="1:5" x14ac:dyDescent="0.2">
      <c r="A1569" s="3">
        <v>45806</v>
      </c>
      <c r="B1569" t="s">
        <v>1</v>
      </c>
      <c r="C1569">
        <v>1</v>
      </c>
      <c r="D1569" t="str">
        <f>_xlfn.XLOOKUP(RW_DT_PRODUCTION[[#This Row],[MATERIAL_ID]],DIM_MATERIAL[MATERIAL_ID],DIM_MATERIAL[UOM_AFTER_PROCESS])</f>
        <v>BALE</v>
      </c>
      <c r="E1569">
        <v>65</v>
      </c>
    </row>
    <row r="1570" spans="1:5" x14ac:dyDescent="0.2">
      <c r="A1570" s="3">
        <v>45806</v>
      </c>
      <c r="B1570" t="s">
        <v>1</v>
      </c>
      <c r="C1570">
        <v>1</v>
      </c>
      <c r="D1570" t="str">
        <f>_xlfn.XLOOKUP(RW_DT_PRODUCTION[[#This Row],[MATERIAL_ID]],DIM_MATERIAL[MATERIAL_ID],DIM_MATERIAL[UOM_AFTER_PROCESS])</f>
        <v>BALE</v>
      </c>
      <c r="E1570">
        <v>89</v>
      </c>
    </row>
    <row r="1571" spans="1:5" x14ac:dyDescent="0.2">
      <c r="A1571" s="3">
        <v>45806</v>
      </c>
      <c r="B1571" t="s">
        <v>1</v>
      </c>
      <c r="C1571">
        <v>1</v>
      </c>
      <c r="D1571" t="str">
        <f>_xlfn.XLOOKUP(RW_DT_PRODUCTION[[#This Row],[MATERIAL_ID]],DIM_MATERIAL[MATERIAL_ID],DIM_MATERIAL[UOM_AFTER_PROCESS])</f>
        <v>BALE</v>
      </c>
      <c r="E1571">
        <v>61</v>
      </c>
    </row>
    <row r="1572" spans="1:5" x14ac:dyDescent="0.2">
      <c r="A1572" s="3">
        <v>45806</v>
      </c>
      <c r="B1572" t="s">
        <v>1</v>
      </c>
      <c r="C1572">
        <v>1</v>
      </c>
      <c r="D1572" t="str">
        <f>_xlfn.XLOOKUP(RW_DT_PRODUCTION[[#This Row],[MATERIAL_ID]],DIM_MATERIAL[MATERIAL_ID],DIM_MATERIAL[UOM_AFTER_PROCESS])</f>
        <v>BALE</v>
      </c>
      <c r="E1572">
        <v>78</v>
      </c>
    </row>
    <row r="1573" spans="1:5" x14ac:dyDescent="0.2">
      <c r="A1573" s="3">
        <v>45806</v>
      </c>
      <c r="B1573" t="s">
        <v>1</v>
      </c>
      <c r="C1573">
        <v>1</v>
      </c>
      <c r="D1573" t="str">
        <f>_xlfn.XLOOKUP(RW_DT_PRODUCTION[[#This Row],[MATERIAL_ID]],DIM_MATERIAL[MATERIAL_ID],DIM_MATERIAL[UOM_AFTER_PROCESS])</f>
        <v>BALE</v>
      </c>
      <c r="E1573">
        <v>76</v>
      </c>
    </row>
    <row r="1574" spans="1:5" x14ac:dyDescent="0.2">
      <c r="A1574" s="3">
        <v>45806</v>
      </c>
      <c r="B1574" t="s">
        <v>1</v>
      </c>
      <c r="C1574">
        <v>1</v>
      </c>
      <c r="D1574" t="str">
        <f>_xlfn.XLOOKUP(RW_DT_PRODUCTION[[#This Row],[MATERIAL_ID]],DIM_MATERIAL[MATERIAL_ID],DIM_MATERIAL[UOM_AFTER_PROCESS])</f>
        <v>BALE</v>
      </c>
      <c r="E1574">
        <v>65</v>
      </c>
    </row>
    <row r="1575" spans="1:5" x14ac:dyDescent="0.2">
      <c r="A1575" s="3">
        <v>45806</v>
      </c>
      <c r="B1575" t="s">
        <v>1</v>
      </c>
      <c r="C1575">
        <v>1</v>
      </c>
      <c r="D1575" t="str">
        <f>_xlfn.XLOOKUP(RW_DT_PRODUCTION[[#This Row],[MATERIAL_ID]],DIM_MATERIAL[MATERIAL_ID],DIM_MATERIAL[UOM_AFTER_PROCESS])</f>
        <v>BALE</v>
      </c>
      <c r="E1575">
        <v>85</v>
      </c>
    </row>
    <row r="1576" spans="1:5" x14ac:dyDescent="0.2">
      <c r="A1576" s="3">
        <v>45807</v>
      </c>
      <c r="B1576" t="s">
        <v>1</v>
      </c>
      <c r="C1576">
        <v>1</v>
      </c>
      <c r="D1576" t="str">
        <f>_xlfn.XLOOKUP(RW_DT_PRODUCTION[[#This Row],[MATERIAL_ID]],DIM_MATERIAL[MATERIAL_ID],DIM_MATERIAL[UOM_AFTER_PROCESS])</f>
        <v>BALE</v>
      </c>
      <c r="E1576">
        <v>65</v>
      </c>
    </row>
    <row r="1577" spans="1:5" x14ac:dyDescent="0.2">
      <c r="A1577" s="3">
        <v>45807</v>
      </c>
      <c r="B1577" t="s">
        <v>1</v>
      </c>
      <c r="C1577">
        <v>1</v>
      </c>
      <c r="D1577" t="str">
        <f>_xlfn.XLOOKUP(RW_DT_PRODUCTION[[#This Row],[MATERIAL_ID]],DIM_MATERIAL[MATERIAL_ID],DIM_MATERIAL[UOM_AFTER_PROCESS])</f>
        <v>BALE</v>
      </c>
      <c r="E1577">
        <v>76</v>
      </c>
    </row>
    <row r="1578" spans="1:5" x14ac:dyDescent="0.2">
      <c r="A1578" s="3">
        <v>45807</v>
      </c>
      <c r="B1578" t="s">
        <v>1</v>
      </c>
      <c r="C1578">
        <v>1</v>
      </c>
      <c r="D1578" t="str">
        <f>_xlfn.XLOOKUP(RW_DT_PRODUCTION[[#This Row],[MATERIAL_ID]],DIM_MATERIAL[MATERIAL_ID],DIM_MATERIAL[UOM_AFTER_PROCESS])</f>
        <v>BALE</v>
      </c>
      <c r="E1578">
        <v>69</v>
      </c>
    </row>
    <row r="1579" spans="1:5" x14ac:dyDescent="0.2">
      <c r="A1579" s="3">
        <v>45807</v>
      </c>
      <c r="B1579" t="s">
        <v>1</v>
      </c>
      <c r="C1579">
        <v>1</v>
      </c>
      <c r="D1579" t="str">
        <f>_xlfn.XLOOKUP(RW_DT_PRODUCTION[[#This Row],[MATERIAL_ID]],DIM_MATERIAL[MATERIAL_ID],DIM_MATERIAL[UOM_AFTER_PROCESS])</f>
        <v>BALE</v>
      </c>
      <c r="E1579">
        <v>75</v>
      </c>
    </row>
    <row r="1580" spans="1:5" x14ac:dyDescent="0.2">
      <c r="A1580" s="3">
        <v>45807</v>
      </c>
      <c r="B1580" t="s">
        <v>1</v>
      </c>
      <c r="C1580">
        <v>1</v>
      </c>
      <c r="D1580" t="str">
        <f>_xlfn.XLOOKUP(RW_DT_PRODUCTION[[#This Row],[MATERIAL_ID]],DIM_MATERIAL[MATERIAL_ID],DIM_MATERIAL[UOM_AFTER_PROCESS])</f>
        <v>BALE</v>
      </c>
      <c r="E1580">
        <v>65</v>
      </c>
    </row>
    <row r="1581" spans="1:5" x14ac:dyDescent="0.2">
      <c r="A1581" s="3">
        <v>45807</v>
      </c>
      <c r="B1581" t="s">
        <v>1</v>
      </c>
      <c r="C1581">
        <v>1</v>
      </c>
      <c r="D1581" t="str">
        <f>_xlfn.XLOOKUP(RW_DT_PRODUCTION[[#This Row],[MATERIAL_ID]],DIM_MATERIAL[MATERIAL_ID],DIM_MATERIAL[UOM_AFTER_PROCESS])</f>
        <v>BALE</v>
      </c>
      <c r="E1581">
        <v>69</v>
      </c>
    </row>
    <row r="1582" spans="1:5" x14ac:dyDescent="0.2">
      <c r="A1582" s="3">
        <v>45807</v>
      </c>
      <c r="B1582" t="s">
        <v>1</v>
      </c>
      <c r="C1582">
        <v>1</v>
      </c>
      <c r="D1582" t="str">
        <f>_xlfn.XLOOKUP(RW_DT_PRODUCTION[[#This Row],[MATERIAL_ID]],DIM_MATERIAL[MATERIAL_ID],DIM_MATERIAL[UOM_AFTER_PROCESS])</f>
        <v>BALE</v>
      </c>
      <c r="E1582">
        <v>89</v>
      </c>
    </row>
    <row r="1583" spans="1:5" x14ac:dyDescent="0.2">
      <c r="A1583" s="3">
        <v>45807</v>
      </c>
      <c r="B1583" t="s">
        <v>1</v>
      </c>
      <c r="C1583">
        <v>1</v>
      </c>
      <c r="D1583" t="str">
        <f>_xlfn.XLOOKUP(RW_DT_PRODUCTION[[#This Row],[MATERIAL_ID]],DIM_MATERIAL[MATERIAL_ID],DIM_MATERIAL[UOM_AFTER_PROCESS])</f>
        <v>BALE</v>
      </c>
      <c r="E1583">
        <v>87</v>
      </c>
    </row>
    <row r="1584" spans="1:5" x14ac:dyDescent="0.2">
      <c r="A1584" s="3">
        <v>45807</v>
      </c>
      <c r="B1584" t="s">
        <v>1</v>
      </c>
      <c r="C1584">
        <v>1</v>
      </c>
      <c r="D1584" t="str">
        <f>_xlfn.XLOOKUP(RW_DT_PRODUCTION[[#This Row],[MATERIAL_ID]],DIM_MATERIAL[MATERIAL_ID],DIM_MATERIAL[UOM_AFTER_PROCESS])</f>
        <v>BALE</v>
      </c>
      <c r="E1584">
        <v>82</v>
      </c>
    </row>
    <row r="1585" spans="1:5" x14ac:dyDescent="0.2">
      <c r="A1585" s="3">
        <v>45807</v>
      </c>
      <c r="B1585" t="s">
        <v>1</v>
      </c>
      <c r="C1585">
        <v>1</v>
      </c>
      <c r="D1585" t="str">
        <f>_xlfn.XLOOKUP(RW_DT_PRODUCTION[[#This Row],[MATERIAL_ID]],DIM_MATERIAL[MATERIAL_ID],DIM_MATERIAL[UOM_AFTER_PROCESS])</f>
        <v>BALE</v>
      </c>
      <c r="E1585">
        <v>62</v>
      </c>
    </row>
    <row r="1586" spans="1:5" x14ac:dyDescent="0.2">
      <c r="A1586" s="3">
        <v>45807</v>
      </c>
      <c r="B1586" t="s">
        <v>2</v>
      </c>
      <c r="C1586">
        <v>1</v>
      </c>
      <c r="D1586" t="str">
        <f>_xlfn.XLOOKUP(RW_DT_PRODUCTION[[#This Row],[MATERIAL_ID]],DIM_MATERIAL[MATERIAL_ID],DIM_MATERIAL[UOM_AFTER_PROCESS])</f>
        <v>BAG</v>
      </c>
      <c r="E1586">
        <v>22</v>
      </c>
    </row>
    <row r="1587" spans="1:5" x14ac:dyDescent="0.2">
      <c r="A1587" s="3">
        <v>45807</v>
      </c>
      <c r="B1587" t="s">
        <v>2</v>
      </c>
      <c r="C1587">
        <v>1</v>
      </c>
      <c r="D1587" t="str">
        <f>_xlfn.XLOOKUP(RW_DT_PRODUCTION[[#This Row],[MATERIAL_ID]],DIM_MATERIAL[MATERIAL_ID],DIM_MATERIAL[UOM_AFTER_PROCESS])</f>
        <v>BAG</v>
      </c>
      <c r="E1587">
        <v>22</v>
      </c>
    </row>
    <row r="1588" spans="1:5" x14ac:dyDescent="0.2">
      <c r="A1588" s="3">
        <v>45807</v>
      </c>
      <c r="B1588" t="s">
        <v>2</v>
      </c>
      <c r="C1588">
        <v>1</v>
      </c>
      <c r="D1588" t="str">
        <f>_xlfn.XLOOKUP(RW_DT_PRODUCTION[[#This Row],[MATERIAL_ID]],DIM_MATERIAL[MATERIAL_ID],DIM_MATERIAL[UOM_AFTER_PROCESS])</f>
        <v>BAG</v>
      </c>
      <c r="E1588">
        <v>22</v>
      </c>
    </row>
    <row r="1589" spans="1:5" x14ac:dyDescent="0.2">
      <c r="A1589" s="3">
        <v>45807</v>
      </c>
      <c r="B1589" t="s">
        <v>2</v>
      </c>
      <c r="C1589">
        <v>1</v>
      </c>
      <c r="D1589" t="str">
        <f>_xlfn.XLOOKUP(RW_DT_PRODUCTION[[#This Row],[MATERIAL_ID]],DIM_MATERIAL[MATERIAL_ID],DIM_MATERIAL[UOM_AFTER_PROCESS])</f>
        <v>BAG</v>
      </c>
      <c r="E1589">
        <v>22</v>
      </c>
    </row>
    <row r="1590" spans="1:5" x14ac:dyDescent="0.2">
      <c r="A1590" s="3">
        <v>45810</v>
      </c>
      <c r="B1590" t="s">
        <v>1</v>
      </c>
      <c r="C1590">
        <v>1</v>
      </c>
      <c r="D1590" t="str">
        <f>_xlfn.XLOOKUP(RW_DT_PRODUCTION[[#This Row],[MATERIAL_ID]],DIM_MATERIAL[MATERIAL_ID],DIM_MATERIAL[UOM_AFTER_PROCESS])</f>
        <v>BALE</v>
      </c>
      <c r="E1590">
        <v>70</v>
      </c>
    </row>
    <row r="1591" spans="1:5" x14ac:dyDescent="0.2">
      <c r="A1591" s="3">
        <v>45810</v>
      </c>
      <c r="B1591" t="s">
        <v>1</v>
      </c>
      <c r="C1591">
        <v>1</v>
      </c>
      <c r="D1591" t="str">
        <f>_xlfn.XLOOKUP(RW_DT_PRODUCTION[[#This Row],[MATERIAL_ID]],DIM_MATERIAL[MATERIAL_ID],DIM_MATERIAL[UOM_AFTER_PROCESS])</f>
        <v>BALE</v>
      </c>
      <c r="E1591">
        <v>70</v>
      </c>
    </row>
    <row r="1592" spans="1:5" x14ac:dyDescent="0.2">
      <c r="A1592" s="3">
        <v>45810</v>
      </c>
      <c r="B1592" t="s">
        <v>1</v>
      </c>
      <c r="C1592">
        <v>1</v>
      </c>
      <c r="D1592" t="str">
        <f>_xlfn.XLOOKUP(RW_DT_PRODUCTION[[#This Row],[MATERIAL_ID]],DIM_MATERIAL[MATERIAL_ID],DIM_MATERIAL[UOM_AFTER_PROCESS])</f>
        <v>BALE</v>
      </c>
      <c r="E1592">
        <v>74</v>
      </c>
    </row>
    <row r="1593" spans="1:5" x14ac:dyDescent="0.2">
      <c r="A1593" s="3">
        <v>45811</v>
      </c>
      <c r="B1593" t="s">
        <v>1</v>
      </c>
      <c r="C1593">
        <v>1</v>
      </c>
      <c r="D1593" t="str">
        <f>_xlfn.XLOOKUP(RW_DT_PRODUCTION[[#This Row],[MATERIAL_ID]],DIM_MATERIAL[MATERIAL_ID],DIM_MATERIAL[UOM_AFTER_PROCESS])</f>
        <v>BALE</v>
      </c>
      <c r="E1593">
        <v>73</v>
      </c>
    </row>
    <row r="1594" spans="1:5" x14ac:dyDescent="0.2">
      <c r="A1594" s="3">
        <v>45811</v>
      </c>
      <c r="B1594" t="s">
        <v>1</v>
      </c>
      <c r="C1594">
        <v>1</v>
      </c>
      <c r="D1594" t="str">
        <f>_xlfn.XLOOKUP(RW_DT_PRODUCTION[[#This Row],[MATERIAL_ID]],DIM_MATERIAL[MATERIAL_ID],DIM_MATERIAL[UOM_AFTER_PROCESS])</f>
        <v>BALE</v>
      </c>
      <c r="E1594">
        <v>64</v>
      </c>
    </row>
    <row r="1595" spans="1:5" x14ac:dyDescent="0.2">
      <c r="A1595" s="3">
        <v>45811</v>
      </c>
      <c r="B1595" t="s">
        <v>1</v>
      </c>
      <c r="C1595">
        <v>1</v>
      </c>
      <c r="D1595" t="str">
        <f>_xlfn.XLOOKUP(RW_DT_PRODUCTION[[#This Row],[MATERIAL_ID]],DIM_MATERIAL[MATERIAL_ID],DIM_MATERIAL[UOM_AFTER_PROCESS])</f>
        <v>BALE</v>
      </c>
      <c r="E1595">
        <v>76</v>
      </c>
    </row>
    <row r="1596" spans="1:5" x14ac:dyDescent="0.2">
      <c r="A1596" s="3">
        <v>45811</v>
      </c>
      <c r="B1596" t="s">
        <v>1</v>
      </c>
      <c r="C1596">
        <v>1</v>
      </c>
      <c r="D1596" t="str">
        <f>_xlfn.XLOOKUP(RW_DT_PRODUCTION[[#This Row],[MATERIAL_ID]],DIM_MATERIAL[MATERIAL_ID],DIM_MATERIAL[UOM_AFTER_PROCESS])</f>
        <v>BALE</v>
      </c>
      <c r="E1596">
        <v>71</v>
      </c>
    </row>
    <row r="1597" spans="1:5" x14ac:dyDescent="0.2">
      <c r="A1597" s="3">
        <v>45811</v>
      </c>
      <c r="B1597" t="s">
        <v>1</v>
      </c>
      <c r="C1597">
        <v>1</v>
      </c>
      <c r="D1597" t="str">
        <f>_xlfn.XLOOKUP(RW_DT_PRODUCTION[[#This Row],[MATERIAL_ID]],DIM_MATERIAL[MATERIAL_ID],DIM_MATERIAL[UOM_AFTER_PROCESS])</f>
        <v>BALE</v>
      </c>
      <c r="E1597">
        <v>83</v>
      </c>
    </row>
    <row r="1598" spans="1:5" x14ac:dyDescent="0.2">
      <c r="A1598" s="3">
        <v>45811</v>
      </c>
      <c r="B1598" t="s">
        <v>1</v>
      </c>
      <c r="C1598">
        <v>1</v>
      </c>
      <c r="D1598" t="str">
        <f>_xlfn.XLOOKUP(RW_DT_PRODUCTION[[#This Row],[MATERIAL_ID]],DIM_MATERIAL[MATERIAL_ID],DIM_MATERIAL[UOM_AFTER_PROCESS])</f>
        <v>BALE</v>
      </c>
      <c r="E1598">
        <v>85</v>
      </c>
    </row>
    <row r="1599" spans="1:5" x14ac:dyDescent="0.2">
      <c r="A1599" s="3">
        <v>45811</v>
      </c>
      <c r="B1599" t="s">
        <v>1</v>
      </c>
      <c r="C1599">
        <v>1</v>
      </c>
      <c r="D1599" t="str">
        <f>_xlfn.XLOOKUP(RW_DT_PRODUCTION[[#This Row],[MATERIAL_ID]],DIM_MATERIAL[MATERIAL_ID],DIM_MATERIAL[UOM_AFTER_PROCESS])</f>
        <v>BALE</v>
      </c>
      <c r="E1599">
        <v>72</v>
      </c>
    </row>
    <row r="1600" spans="1:5" x14ac:dyDescent="0.2">
      <c r="A1600" s="3">
        <v>45811</v>
      </c>
      <c r="B1600" t="s">
        <v>1</v>
      </c>
      <c r="C1600">
        <v>1</v>
      </c>
      <c r="D1600" t="str">
        <f>_xlfn.XLOOKUP(RW_DT_PRODUCTION[[#This Row],[MATERIAL_ID]],DIM_MATERIAL[MATERIAL_ID],DIM_MATERIAL[UOM_AFTER_PROCESS])</f>
        <v>BALE</v>
      </c>
      <c r="E1600">
        <v>88</v>
      </c>
    </row>
    <row r="1601" spans="1:5" x14ac:dyDescent="0.2">
      <c r="A1601" s="3">
        <v>45811</v>
      </c>
      <c r="B1601" t="s">
        <v>2</v>
      </c>
      <c r="C1601">
        <v>1</v>
      </c>
      <c r="D1601" t="str">
        <f>_xlfn.XLOOKUP(RW_DT_PRODUCTION[[#This Row],[MATERIAL_ID]],DIM_MATERIAL[MATERIAL_ID],DIM_MATERIAL[UOM_AFTER_PROCESS])</f>
        <v>BAG</v>
      </c>
      <c r="E1601">
        <v>22</v>
      </c>
    </row>
    <row r="1602" spans="1:5" x14ac:dyDescent="0.2">
      <c r="A1602" s="3">
        <v>45812</v>
      </c>
      <c r="B1602" t="s">
        <v>1</v>
      </c>
      <c r="C1602">
        <v>1</v>
      </c>
      <c r="D1602" t="str">
        <f>_xlfn.XLOOKUP(RW_DT_PRODUCTION[[#This Row],[MATERIAL_ID]],DIM_MATERIAL[MATERIAL_ID],DIM_MATERIAL[UOM_AFTER_PROCESS])</f>
        <v>BALE</v>
      </c>
      <c r="E1602">
        <v>66</v>
      </c>
    </row>
    <row r="1603" spans="1:5" x14ac:dyDescent="0.2">
      <c r="A1603" s="3">
        <v>45812</v>
      </c>
      <c r="B1603" t="s">
        <v>1</v>
      </c>
      <c r="C1603">
        <v>1</v>
      </c>
      <c r="D1603" t="str">
        <f>_xlfn.XLOOKUP(RW_DT_PRODUCTION[[#This Row],[MATERIAL_ID]],DIM_MATERIAL[MATERIAL_ID],DIM_MATERIAL[UOM_AFTER_PROCESS])</f>
        <v>BALE</v>
      </c>
      <c r="E1603">
        <v>61</v>
      </c>
    </row>
    <row r="1604" spans="1:5" x14ac:dyDescent="0.2">
      <c r="A1604" s="3">
        <v>45812</v>
      </c>
      <c r="B1604" t="s">
        <v>1</v>
      </c>
      <c r="C1604">
        <v>1</v>
      </c>
      <c r="D1604" t="str">
        <f>_xlfn.XLOOKUP(RW_DT_PRODUCTION[[#This Row],[MATERIAL_ID]],DIM_MATERIAL[MATERIAL_ID],DIM_MATERIAL[UOM_AFTER_PROCESS])</f>
        <v>BALE</v>
      </c>
      <c r="E1604">
        <v>74</v>
      </c>
    </row>
    <row r="1605" spans="1:5" x14ac:dyDescent="0.2">
      <c r="A1605" s="3">
        <v>45812</v>
      </c>
      <c r="B1605" t="s">
        <v>1</v>
      </c>
      <c r="C1605">
        <v>1</v>
      </c>
      <c r="D1605" t="str">
        <f>_xlfn.XLOOKUP(RW_DT_PRODUCTION[[#This Row],[MATERIAL_ID]],DIM_MATERIAL[MATERIAL_ID],DIM_MATERIAL[UOM_AFTER_PROCESS])</f>
        <v>BALE</v>
      </c>
      <c r="E1605">
        <v>82</v>
      </c>
    </row>
    <row r="1606" spans="1:5" x14ac:dyDescent="0.2">
      <c r="A1606" s="3">
        <v>45812</v>
      </c>
      <c r="B1606" t="s">
        <v>1</v>
      </c>
      <c r="C1606">
        <v>1</v>
      </c>
      <c r="D1606" t="str">
        <f>_xlfn.XLOOKUP(RW_DT_PRODUCTION[[#This Row],[MATERIAL_ID]],DIM_MATERIAL[MATERIAL_ID],DIM_MATERIAL[UOM_AFTER_PROCESS])</f>
        <v>BALE</v>
      </c>
      <c r="E1606">
        <v>80</v>
      </c>
    </row>
    <row r="1607" spans="1:5" x14ac:dyDescent="0.2">
      <c r="A1607" s="3">
        <v>45813</v>
      </c>
      <c r="B1607" t="s">
        <v>1</v>
      </c>
      <c r="C1607">
        <v>1</v>
      </c>
      <c r="D1607" t="str">
        <f>_xlfn.XLOOKUP(RW_DT_PRODUCTION[[#This Row],[MATERIAL_ID]],DIM_MATERIAL[MATERIAL_ID],DIM_MATERIAL[UOM_AFTER_PROCESS])</f>
        <v>BALE</v>
      </c>
      <c r="E1607">
        <v>88</v>
      </c>
    </row>
    <row r="1608" spans="1:5" x14ac:dyDescent="0.2">
      <c r="A1608" s="3">
        <v>45813</v>
      </c>
      <c r="B1608" t="s">
        <v>1</v>
      </c>
      <c r="C1608">
        <v>1</v>
      </c>
      <c r="D1608" t="str">
        <f>_xlfn.XLOOKUP(RW_DT_PRODUCTION[[#This Row],[MATERIAL_ID]],DIM_MATERIAL[MATERIAL_ID],DIM_MATERIAL[UOM_AFTER_PROCESS])</f>
        <v>BALE</v>
      </c>
      <c r="E1608">
        <v>79</v>
      </c>
    </row>
    <row r="1609" spans="1:5" x14ac:dyDescent="0.2">
      <c r="A1609" s="3">
        <v>45813</v>
      </c>
      <c r="B1609" t="s">
        <v>1</v>
      </c>
      <c r="C1609">
        <v>1</v>
      </c>
      <c r="D1609" t="str">
        <f>_xlfn.XLOOKUP(RW_DT_PRODUCTION[[#This Row],[MATERIAL_ID]],DIM_MATERIAL[MATERIAL_ID],DIM_MATERIAL[UOM_AFTER_PROCESS])</f>
        <v>BALE</v>
      </c>
      <c r="E1609">
        <v>72</v>
      </c>
    </row>
    <row r="1610" spans="1:5" x14ac:dyDescent="0.2">
      <c r="A1610" s="3">
        <v>45813</v>
      </c>
      <c r="B1610" t="s">
        <v>1</v>
      </c>
      <c r="C1610">
        <v>1</v>
      </c>
      <c r="D1610" t="str">
        <f>_xlfn.XLOOKUP(RW_DT_PRODUCTION[[#This Row],[MATERIAL_ID]],DIM_MATERIAL[MATERIAL_ID],DIM_MATERIAL[UOM_AFTER_PROCESS])</f>
        <v>BALE</v>
      </c>
      <c r="E1610">
        <v>81</v>
      </c>
    </row>
    <row r="1611" spans="1:5" x14ac:dyDescent="0.2">
      <c r="A1611" s="3">
        <v>45813</v>
      </c>
      <c r="B1611" t="s">
        <v>2</v>
      </c>
      <c r="C1611">
        <v>1</v>
      </c>
      <c r="D1611" t="str">
        <f>_xlfn.XLOOKUP(RW_DT_PRODUCTION[[#This Row],[MATERIAL_ID]],DIM_MATERIAL[MATERIAL_ID],DIM_MATERIAL[UOM_AFTER_PROCESS])</f>
        <v>BAG</v>
      </c>
      <c r="E1611">
        <v>22</v>
      </c>
    </row>
    <row r="1612" spans="1:5" x14ac:dyDescent="0.2">
      <c r="A1612" s="3">
        <v>45813</v>
      </c>
      <c r="B1612" t="s">
        <v>2</v>
      </c>
      <c r="C1612">
        <v>1</v>
      </c>
      <c r="D1612" t="str">
        <f>_xlfn.XLOOKUP(RW_DT_PRODUCTION[[#This Row],[MATERIAL_ID]],DIM_MATERIAL[MATERIAL_ID],DIM_MATERIAL[UOM_AFTER_PROCESS])</f>
        <v>BAG</v>
      </c>
      <c r="E1612">
        <v>22</v>
      </c>
    </row>
    <row r="1613" spans="1:5" x14ac:dyDescent="0.2">
      <c r="A1613" s="3">
        <v>45813</v>
      </c>
      <c r="B1613" t="s">
        <v>2</v>
      </c>
      <c r="C1613">
        <v>1</v>
      </c>
      <c r="D1613" t="str">
        <f>_xlfn.XLOOKUP(RW_DT_PRODUCTION[[#This Row],[MATERIAL_ID]],DIM_MATERIAL[MATERIAL_ID],DIM_MATERIAL[UOM_AFTER_PROCESS])</f>
        <v>BAG</v>
      </c>
      <c r="E1613">
        <v>22</v>
      </c>
    </row>
    <row r="1614" spans="1:5" x14ac:dyDescent="0.2">
      <c r="A1614" s="3">
        <v>45814</v>
      </c>
      <c r="B1614" t="s">
        <v>1</v>
      </c>
      <c r="C1614">
        <v>1</v>
      </c>
      <c r="D1614" t="str">
        <f>_xlfn.XLOOKUP(RW_DT_PRODUCTION[[#This Row],[MATERIAL_ID]],DIM_MATERIAL[MATERIAL_ID],DIM_MATERIAL[UOM_AFTER_PROCESS])</f>
        <v>BALE</v>
      </c>
      <c r="E1614">
        <v>66</v>
      </c>
    </row>
    <row r="1615" spans="1:5" x14ac:dyDescent="0.2">
      <c r="A1615" s="3">
        <v>45814</v>
      </c>
      <c r="B1615" t="s">
        <v>1</v>
      </c>
      <c r="C1615">
        <v>1</v>
      </c>
      <c r="D1615" t="str">
        <f>_xlfn.XLOOKUP(RW_DT_PRODUCTION[[#This Row],[MATERIAL_ID]],DIM_MATERIAL[MATERIAL_ID],DIM_MATERIAL[UOM_AFTER_PROCESS])</f>
        <v>BALE</v>
      </c>
      <c r="E1615">
        <v>80</v>
      </c>
    </row>
    <row r="1616" spans="1:5" x14ac:dyDescent="0.2">
      <c r="A1616" s="3">
        <v>45814</v>
      </c>
      <c r="B1616" t="s">
        <v>1</v>
      </c>
      <c r="C1616">
        <v>1</v>
      </c>
      <c r="D1616" t="str">
        <f>_xlfn.XLOOKUP(RW_DT_PRODUCTION[[#This Row],[MATERIAL_ID]],DIM_MATERIAL[MATERIAL_ID],DIM_MATERIAL[UOM_AFTER_PROCESS])</f>
        <v>BALE</v>
      </c>
      <c r="E1616">
        <v>67</v>
      </c>
    </row>
    <row r="1617" spans="1:5" x14ac:dyDescent="0.2">
      <c r="A1617" s="3">
        <v>45814</v>
      </c>
      <c r="B1617" t="s">
        <v>1</v>
      </c>
      <c r="C1617">
        <v>1</v>
      </c>
      <c r="D1617" t="str">
        <f>_xlfn.XLOOKUP(RW_DT_PRODUCTION[[#This Row],[MATERIAL_ID]],DIM_MATERIAL[MATERIAL_ID],DIM_MATERIAL[UOM_AFTER_PROCESS])</f>
        <v>BALE</v>
      </c>
      <c r="E1617">
        <v>84</v>
      </c>
    </row>
    <row r="1618" spans="1:5" x14ac:dyDescent="0.2">
      <c r="A1618" s="3">
        <v>45814</v>
      </c>
      <c r="B1618" t="s">
        <v>1</v>
      </c>
      <c r="C1618">
        <v>1</v>
      </c>
      <c r="D1618" t="str">
        <f>_xlfn.XLOOKUP(RW_DT_PRODUCTION[[#This Row],[MATERIAL_ID]],DIM_MATERIAL[MATERIAL_ID],DIM_MATERIAL[UOM_AFTER_PROCESS])</f>
        <v>BALE</v>
      </c>
      <c r="E1618">
        <v>73</v>
      </c>
    </row>
    <row r="1619" spans="1:5" x14ac:dyDescent="0.2">
      <c r="A1619" s="3">
        <v>45814</v>
      </c>
      <c r="B1619" t="s">
        <v>1</v>
      </c>
      <c r="C1619">
        <v>1</v>
      </c>
      <c r="D1619" t="str">
        <f>_xlfn.XLOOKUP(RW_DT_PRODUCTION[[#This Row],[MATERIAL_ID]],DIM_MATERIAL[MATERIAL_ID],DIM_MATERIAL[UOM_AFTER_PROCESS])</f>
        <v>BALE</v>
      </c>
      <c r="E1619">
        <v>89</v>
      </c>
    </row>
    <row r="1620" spans="1:5" x14ac:dyDescent="0.2">
      <c r="A1620" s="3">
        <v>45814</v>
      </c>
      <c r="B1620" t="s">
        <v>1</v>
      </c>
      <c r="C1620">
        <v>1</v>
      </c>
      <c r="D1620" t="str">
        <f>_xlfn.XLOOKUP(RW_DT_PRODUCTION[[#This Row],[MATERIAL_ID]],DIM_MATERIAL[MATERIAL_ID],DIM_MATERIAL[UOM_AFTER_PROCESS])</f>
        <v>BALE</v>
      </c>
      <c r="E1620">
        <v>70</v>
      </c>
    </row>
    <row r="1621" spans="1:5" x14ac:dyDescent="0.2">
      <c r="A1621" s="3">
        <v>45814</v>
      </c>
      <c r="B1621" t="s">
        <v>2</v>
      </c>
      <c r="C1621">
        <v>1</v>
      </c>
      <c r="D1621" t="str">
        <f>_xlfn.XLOOKUP(RW_DT_PRODUCTION[[#This Row],[MATERIAL_ID]],DIM_MATERIAL[MATERIAL_ID],DIM_MATERIAL[UOM_AFTER_PROCESS])</f>
        <v>BAG</v>
      </c>
      <c r="E1621">
        <v>22</v>
      </c>
    </row>
    <row r="1622" spans="1:5" x14ac:dyDescent="0.2">
      <c r="A1622" s="3">
        <v>45815</v>
      </c>
      <c r="B1622" t="s">
        <v>1</v>
      </c>
      <c r="C1622">
        <v>1</v>
      </c>
      <c r="D1622" t="str">
        <f>_xlfn.XLOOKUP(RW_DT_PRODUCTION[[#This Row],[MATERIAL_ID]],DIM_MATERIAL[MATERIAL_ID],DIM_MATERIAL[UOM_AFTER_PROCESS])</f>
        <v>BALE</v>
      </c>
      <c r="E1622">
        <v>78</v>
      </c>
    </row>
    <row r="1623" spans="1:5" x14ac:dyDescent="0.2">
      <c r="A1623" s="3">
        <v>45815</v>
      </c>
      <c r="B1623" t="s">
        <v>1</v>
      </c>
      <c r="C1623">
        <v>1</v>
      </c>
      <c r="D1623" t="str">
        <f>_xlfn.XLOOKUP(RW_DT_PRODUCTION[[#This Row],[MATERIAL_ID]],DIM_MATERIAL[MATERIAL_ID],DIM_MATERIAL[UOM_AFTER_PROCESS])</f>
        <v>BALE</v>
      </c>
      <c r="E1623">
        <v>70</v>
      </c>
    </row>
    <row r="1624" spans="1:5" x14ac:dyDescent="0.2">
      <c r="A1624" s="3">
        <v>45815</v>
      </c>
      <c r="B1624" t="s">
        <v>1</v>
      </c>
      <c r="C1624">
        <v>1</v>
      </c>
      <c r="D1624" t="str">
        <f>_xlfn.XLOOKUP(RW_DT_PRODUCTION[[#This Row],[MATERIAL_ID]],DIM_MATERIAL[MATERIAL_ID],DIM_MATERIAL[UOM_AFTER_PROCESS])</f>
        <v>BALE</v>
      </c>
      <c r="E1624">
        <v>83</v>
      </c>
    </row>
    <row r="1625" spans="1:5" x14ac:dyDescent="0.2">
      <c r="A1625" s="3">
        <v>45815</v>
      </c>
      <c r="B1625" t="s">
        <v>1</v>
      </c>
      <c r="C1625">
        <v>1</v>
      </c>
      <c r="D1625" t="str">
        <f>_xlfn.XLOOKUP(RW_DT_PRODUCTION[[#This Row],[MATERIAL_ID]],DIM_MATERIAL[MATERIAL_ID],DIM_MATERIAL[UOM_AFTER_PROCESS])</f>
        <v>BALE</v>
      </c>
      <c r="E1625">
        <v>74</v>
      </c>
    </row>
    <row r="1626" spans="1:5" x14ac:dyDescent="0.2">
      <c r="A1626" s="3">
        <v>45815</v>
      </c>
      <c r="B1626" t="s">
        <v>1</v>
      </c>
      <c r="C1626">
        <v>1</v>
      </c>
      <c r="D1626" t="str">
        <f>_xlfn.XLOOKUP(RW_DT_PRODUCTION[[#This Row],[MATERIAL_ID]],DIM_MATERIAL[MATERIAL_ID],DIM_MATERIAL[UOM_AFTER_PROCESS])</f>
        <v>BALE</v>
      </c>
      <c r="E1626">
        <v>61</v>
      </c>
    </row>
    <row r="1627" spans="1:5" x14ac:dyDescent="0.2">
      <c r="A1627" s="3">
        <v>45817</v>
      </c>
      <c r="B1627" t="s">
        <v>1</v>
      </c>
      <c r="C1627">
        <v>1</v>
      </c>
      <c r="D1627" t="str">
        <f>_xlfn.XLOOKUP(RW_DT_PRODUCTION[[#This Row],[MATERIAL_ID]],DIM_MATERIAL[MATERIAL_ID],DIM_MATERIAL[UOM_AFTER_PROCESS])</f>
        <v>BALE</v>
      </c>
      <c r="E1627">
        <v>65</v>
      </c>
    </row>
    <row r="1628" spans="1:5" x14ac:dyDescent="0.2">
      <c r="A1628" s="3">
        <v>45817</v>
      </c>
      <c r="B1628" t="s">
        <v>1</v>
      </c>
      <c r="C1628">
        <v>1</v>
      </c>
      <c r="D1628" t="str">
        <f>_xlfn.XLOOKUP(RW_DT_PRODUCTION[[#This Row],[MATERIAL_ID]],DIM_MATERIAL[MATERIAL_ID],DIM_MATERIAL[UOM_AFTER_PROCESS])</f>
        <v>BALE</v>
      </c>
      <c r="E1628">
        <v>78</v>
      </c>
    </row>
    <row r="1629" spans="1:5" x14ac:dyDescent="0.2">
      <c r="A1629" s="3">
        <v>45817</v>
      </c>
      <c r="B1629" t="s">
        <v>1</v>
      </c>
      <c r="C1629">
        <v>1</v>
      </c>
      <c r="D1629" t="str">
        <f>_xlfn.XLOOKUP(RW_DT_PRODUCTION[[#This Row],[MATERIAL_ID]],DIM_MATERIAL[MATERIAL_ID],DIM_MATERIAL[UOM_AFTER_PROCESS])</f>
        <v>BALE</v>
      </c>
      <c r="E1629">
        <v>72</v>
      </c>
    </row>
    <row r="1630" spans="1:5" x14ac:dyDescent="0.2">
      <c r="A1630" s="3">
        <v>45817</v>
      </c>
      <c r="B1630" t="s">
        <v>1</v>
      </c>
      <c r="C1630">
        <v>1</v>
      </c>
      <c r="D1630" t="str">
        <f>_xlfn.XLOOKUP(RW_DT_PRODUCTION[[#This Row],[MATERIAL_ID]],DIM_MATERIAL[MATERIAL_ID],DIM_MATERIAL[UOM_AFTER_PROCESS])</f>
        <v>BALE</v>
      </c>
      <c r="E1630">
        <v>68</v>
      </c>
    </row>
    <row r="1631" spans="1:5" x14ac:dyDescent="0.2">
      <c r="A1631" s="3">
        <v>45818</v>
      </c>
      <c r="B1631" t="s">
        <v>1</v>
      </c>
      <c r="C1631">
        <v>1</v>
      </c>
      <c r="D1631" t="str">
        <f>_xlfn.XLOOKUP(RW_DT_PRODUCTION[[#This Row],[MATERIAL_ID]],DIM_MATERIAL[MATERIAL_ID],DIM_MATERIAL[UOM_AFTER_PROCESS])</f>
        <v>BALE</v>
      </c>
      <c r="E1631">
        <v>67</v>
      </c>
    </row>
    <row r="1632" spans="1:5" x14ac:dyDescent="0.2">
      <c r="A1632" s="3">
        <v>45818</v>
      </c>
      <c r="B1632" t="s">
        <v>1</v>
      </c>
      <c r="C1632">
        <v>1</v>
      </c>
      <c r="D1632" t="str">
        <f>_xlfn.XLOOKUP(RW_DT_PRODUCTION[[#This Row],[MATERIAL_ID]],DIM_MATERIAL[MATERIAL_ID],DIM_MATERIAL[UOM_AFTER_PROCESS])</f>
        <v>BALE</v>
      </c>
      <c r="E1632">
        <v>85</v>
      </c>
    </row>
    <row r="1633" spans="1:5" x14ac:dyDescent="0.2">
      <c r="A1633" s="3">
        <v>45818</v>
      </c>
      <c r="B1633" t="s">
        <v>1</v>
      </c>
      <c r="C1633">
        <v>1</v>
      </c>
      <c r="D1633" t="str">
        <f>_xlfn.XLOOKUP(RW_DT_PRODUCTION[[#This Row],[MATERIAL_ID]],DIM_MATERIAL[MATERIAL_ID],DIM_MATERIAL[UOM_AFTER_PROCESS])</f>
        <v>BALE</v>
      </c>
      <c r="E1633">
        <v>78</v>
      </c>
    </row>
    <row r="1634" spans="1:5" x14ac:dyDescent="0.2">
      <c r="A1634" s="3">
        <v>45818</v>
      </c>
      <c r="B1634" t="s">
        <v>1</v>
      </c>
      <c r="C1634">
        <v>1</v>
      </c>
      <c r="D1634" t="str">
        <f>_xlfn.XLOOKUP(RW_DT_PRODUCTION[[#This Row],[MATERIAL_ID]],DIM_MATERIAL[MATERIAL_ID],DIM_MATERIAL[UOM_AFTER_PROCESS])</f>
        <v>BALE</v>
      </c>
      <c r="E1634">
        <v>88</v>
      </c>
    </row>
    <row r="1635" spans="1:5" x14ac:dyDescent="0.2">
      <c r="A1635" s="3">
        <v>45818</v>
      </c>
      <c r="B1635" t="s">
        <v>1</v>
      </c>
      <c r="C1635">
        <v>1</v>
      </c>
      <c r="D1635" t="str">
        <f>_xlfn.XLOOKUP(RW_DT_PRODUCTION[[#This Row],[MATERIAL_ID]],DIM_MATERIAL[MATERIAL_ID],DIM_MATERIAL[UOM_AFTER_PROCESS])</f>
        <v>BALE</v>
      </c>
      <c r="E1635">
        <v>64</v>
      </c>
    </row>
    <row r="1636" spans="1:5" x14ac:dyDescent="0.2">
      <c r="A1636" s="3">
        <v>45818</v>
      </c>
      <c r="B1636" t="s">
        <v>1</v>
      </c>
      <c r="C1636">
        <v>1</v>
      </c>
      <c r="D1636" t="str">
        <f>_xlfn.XLOOKUP(RW_DT_PRODUCTION[[#This Row],[MATERIAL_ID]],DIM_MATERIAL[MATERIAL_ID],DIM_MATERIAL[UOM_AFTER_PROCESS])</f>
        <v>BALE</v>
      </c>
      <c r="E1636">
        <v>86</v>
      </c>
    </row>
    <row r="1637" spans="1:5" x14ac:dyDescent="0.2">
      <c r="A1637" s="3">
        <v>45818</v>
      </c>
      <c r="B1637" t="s">
        <v>2</v>
      </c>
      <c r="C1637">
        <v>1</v>
      </c>
      <c r="D1637" t="str">
        <f>_xlfn.XLOOKUP(RW_DT_PRODUCTION[[#This Row],[MATERIAL_ID]],DIM_MATERIAL[MATERIAL_ID],DIM_MATERIAL[UOM_AFTER_PROCESS])</f>
        <v>BAG</v>
      </c>
      <c r="E1637">
        <v>22</v>
      </c>
    </row>
    <row r="1638" spans="1:5" x14ac:dyDescent="0.2">
      <c r="A1638" s="3">
        <v>45819</v>
      </c>
      <c r="B1638" t="s">
        <v>1</v>
      </c>
      <c r="C1638">
        <v>1</v>
      </c>
      <c r="D1638" t="str">
        <f>_xlfn.XLOOKUP(RW_DT_PRODUCTION[[#This Row],[MATERIAL_ID]],DIM_MATERIAL[MATERIAL_ID],DIM_MATERIAL[UOM_AFTER_PROCESS])</f>
        <v>BALE</v>
      </c>
      <c r="E1638">
        <v>76</v>
      </c>
    </row>
    <row r="1639" spans="1:5" x14ac:dyDescent="0.2">
      <c r="A1639" s="3">
        <v>45819</v>
      </c>
      <c r="B1639" t="s">
        <v>1</v>
      </c>
      <c r="C1639">
        <v>1</v>
      </c>
      <c r="D1639" t="str">
        <f>_xlfn.XLOOKUP(RW_DT_PRODUCTION[[#This Row],[MATERIAL_ID]],DIM_MATERIAL[MATERIAL_ID],DIM_MATERIAL[UOM_AFTER_PROCESS])</f>
        <v>BALE</v>
      </c>
      <c r="E1639">
        <v>83</v>
      </c>
    </row>
    <row r="1640" spans="1:5" x14ac:dyDescent="0.2">
      <c r="A1640" s="3">
        <v>45819</v>
      </c>
      <c r="B1640" t="s">
        <v>1</v>
      </c>
      <c r="C1640">
        <v>1</v>
      </c>
      <c r="D1640" t="str">
        <f>_xlfn.XLOOKUP(RW_DT_PRODUCTION[[#This Row],[MATERIAL_ID]],DIM_MATERIAL[MATERIAL_ID],DIM_MATERIAL[UOM_AFTER_PROCESS])</f>
        <v>BALE</v>
      </c>
      <c r="E1640">
        <v>77</v>
      </c>
    </row>
    <row r="1641" spans="1:5" x14ac:dyDescent="0.2">
      <c r="A1641" s="3">
        <v>45819</v>
      </c>
      <c r="B1641" t="s">
        <v>1</v>
      </c>
      <c r="C1641">
        <v>1</v>
      </c>
      <c r="D1641" t="str">
        <f>_xlfn.XLOOKUP(RW_DT_PRODUCTION[[#This Row],[MATERIAL_ID]],DIM_MATERIAL[MATERIAL_ID],DIM_MATERIAL[UOM_AFTER_PROCESS])</f>
        <v>BALE</v>
      </c>
      <c r="E1641">
        <v>60</v>
      </c>
    </row>
    <row r="1642" spans="1:5" x14ac:dyDescent="0.2">
      <c r="A1642" s="3">
        <v>45819</v>
      </c>
      <c r="B1642" t="s">
        <v>1</v>
      </c>
      <c r="C1642">
        <v>1</v>
      </c>
      <c r="D1642" t="str">
        <f>_xlfn.XLOOKUP(RW_DT_PRODUCTION[[#This Row],[MATERIAL_ID]],DIM_MATERIAL[MATERIAL_ID],DIM_MATERIAL[UOM_AFTER_PROCESS])</f>
        <v>BALE</v>
      </c>
      <c r="E1642">
        <v>80</v>
      </c>
    </row>
    <row r="1643" spans="1:5" x14ac:dyDescent="0.2">
      <c r="A1643" s="3">
        <v>45819</v>
      </c>
      <c r="B1643" t="s">
        <v>1</v>
      </c>
      <c r="C1643">
        <v>1</v>
      </c>
      <c r="D1643" t="str">
        <f>_xlfn.XLOOKUP(RW_DT_PRODUCTION[[#This Row],[MATERIAL_ID]],DIM_MATERIAL[MATERIAL_ID],DIM_MATERIAL[UOM_AFTER_PROCESS])</f>
        <v>BALE</v>
      </c>
      <c r="E1643">
        <v>61</v>
      </c>
    </row>
    <row r="1644" spans="1:5" x14ac:dyDescent="0.2">
      <c r="A1644" s="3">
        <v>45820</v>
      </c>
      <c r="B1644" t="s">
        <v>1</v>
      </c>
      <c r="C1644">
        <v>1</v>
      </c>
      <c r="D1644" t="str">
        <f>_xlfn.XLOOKUP(RW_DT_PRODUCTION[[#This Row],[MATERIAL_ID]],DIM_MATERIAL[MATERIAL_ID],DIM_MATERIAL[UOM_AFTER_PROCESS])</f>
        <v>BALE</v>
      </c>
      <c r="E1644">
        <v>79</v>
      </c>
    </row>
    <row r="1645" spans="1:5" x14ac:dyDescent="0.2">
      <c r="A1645" s="3">
        <v>45820</v>
      </c>
      <c r="B1645" t="s">
        <v>1</v>
      </c>
      <c r="C1645">
        <v>1</v>
      </c>
      <c r="D1645" t="str">
        <f>_xlfn.XLOOKUP(RW_DT_PRODUCTION[[#This Row],[MATERIAL_ID]],DIM_MATERIAL[MATERIAL_ID],DIM_MATERIAL[UOM_AFTER_PROCESS])</f>
        <v>BALE</v>
      </c>
      <c r="E1645">
        <v>63</v>
      </c>
    </row>
    <row r="1646" spans="1:5" x14ac:dyDescent="0.2">
      <c r="A1646" s="3">
        <v>45820</v>
      </c>
      <c r="B1646" t="s">
        <v>1</v>
      </c>
      <c r="C1646">
        <v>1</v>
      </c>
      <c r="D1646" t="str">
        <f>_xlfn.XLOOKUP(RW_DT_PRODUCTION[[#This Row],[MATERIAL_ID]],DIM_MATERIAL[MATERIAL_ID],DIM_MATERIAL[UOM_AFTER_PROCESS])</f>
        <v>BALE</v>
      </c>
      <c r="E1646">
        <v>85</v>
      </c>
    </row>
    <row r="1647" spans="1:5" x14ac:dyDescent="0.2">
      <c r="A1647" s="3">
        <v>45820</v>
      </c>
      <c r="B1647" t="s">
        <v>1</v>
      </c>
      <c r="C1647">
        <v>1</v>
      </c>
      <c r="D1647" t="str">
        <f>_xlfn.XLOOKUP(RW_DT_PRODUCTION[[#This Row],[MATERIAL_ID]],DIM_MATERIAL[MATERIAL_ID],DIM_MATERIAL[UOM_AFTER_PROCESS])</f>
        <v>BALE</v>
      </c>
      <c r="E1647">
        <v>76</v>
      </c>
    </row>
    <row r="1648" spans="1:5" x14ac:dyDescent="0.2">
      <c r="A1648" s="3">
        <v>45820</v>
      </c>
      <c r="B1648" t="s">
        <v>1</v>
      </c>
      <c r="C1648">
        <v>1</v>
      </c>
      <c r="D1648" t="str">
        <f>_xlfn.XLOOKUP(RW_DT_PRODUCTION[[#This Row],[MATERIAL_ID]],DIM_MATERIAL[MATERIAL_ID],DIM_MATERIAL[UOM_AFTER_PROCESS])</f>
        <v>BALE</v>
      </c>
      <c r="E1648">
        <v>68</v>
      </c>
    </row>
    <row r="1649" spans="1:5" x14ac:dyDescent="0.2">
      <c r="A1649" s="3">
        <v>45820</v>
      </c>
      <c r="B1649" t="s">
        <v>1</v>
      </c>
      <c r="C1649">
        <v>1</v>
      </c>
      <c r="D1649" t="str">
        <f>_xlfn.XLOOKUP(RW_DT_PRODUCTION[[#This Row],[MATERIAL_ID]],DIM_MATERIAL[MATERIAL_ID],DIM_MATERIAL[UOM_AFTER_PROCESS])</f>
        <v>BALE</v>
      </c>
      <c r="E1649">
        <v>72</v>
      </c>
    </row>
    <row r="1650" spans="1:5" x14ac:dyDescent="0.2">
      <c r="A1650" s="3">
        <v>45820</v>
      </c>
      <c r="B1650" t="s">
        <v>1</v>
      </c>
      <c r="C1650">
        <v>1</v>
      </c>
      <c r="D1650" t="str">
        <f>_xlfn.XLOOKUP(RW_DT_PRODUCTION[[#This Row],[MATERIAL_ID]],DIM_MATERIAL[MATERIAL_ID],DIM_MATERIAL[UOM_AFTER_PROCESS])</f>
        <v>BALE</v>
      </c>
      <c r="E1650">
        <v>83</v>
      </c>
    </row>
    <row r="1651" spans="1:5" x14ac:dyDescent="0.2">
      <c r="A1651" s="3">
        <v>45820</v>
      </c>
      <c r="B1651" t="s">
        <v>1</v>
      </c>
      <c r="C1651">
        <v>1</v>
      </c>
      <c r="D1651" t="str">
        <f>_xlfn.XLOOKUP(RW_DT_PRODUCTION[[#This Row],[MATERIAL_ID]],DIM_MATERIAL[MATERIAL_ID],DIM_MATERIAL[UOM_AFTER_PROCESS])</f>
        <v>BALE</v>
      </c>
      <c r="E1651">
        <v>69</v>
      </c>
    </row>
    <row r="1652" spans="1:5" x14ac:dyDescent="0.2">
      <c r="A1652" s="3">
        <v>45820</v>
      </c>
      <c r="B1652" t="s">
        <v>1</v>
      </c>
      <c r="C1652">
        <v>1</v>
      </c>
      <c r="D1652" t="str">
        <f>_xlfn.XLOOKUP(RW_DT_PRODUCTION[[#This Row],[MATERIAL_ID]],DIM_MATERIAL[MATERIAL_ID],DIM_MATERIAL[UOM_AFTER_PROCESS])</f>
        <v>BALE</v>
      </c>
      <c r="E1652">
        <v>60</v>
      </c>
    </row>
    <row r="1653" spans="1:5" x14ac:dyDescent="0.2">
      <c r="A1653" s="3">
        <v>45820</v>
      </c>
      <c r="B1653" t="s">
        <v>1</v>
      </c>
      <c r="C1653">
        <v>1</v>
      </c>
      <c r="D1653" t="str">
        <f>_xlfn.XLOOKUP(RW_DT_PRODUCTION[[#This Row],[MATERIAL_ID]],DIM_MATERIAL[MATERIAL_ID],DIM_MATERIAL[UOM_AFTER_PROCESS])</f>
        <v>BALE</v>
      </c>
      <c r="E1653">
        <v>74</v>
      </c>
    </row>
    <row r="1654" spans="1:5" x14ac:dyDescent="0.2">
      <c r="A1654" s="3">
        <v>45820</v>
      </c>
      <c r="B1654" t="s">
        <v>2</v>
      </c>
      <c r="C1654">
        <v>1</v>
      </c>
      <c r="D1654" t="str">
        <f>_xlfn.XLOOKUP(RW_DT_PRODUCTION[[#This Row],[MATERIAL_ID]],DIM_MATERIAL[MATERIAL_ID],DIM_MATERIAL[UOM_AFTER_PROCESS])</f>
        <v>BAG</v>
      </c>
      <c r="E1654">
        <v>22</v>
      </c>
    </row>
    <row r="1655" spans="1:5" x14ac:dyDescent="0.2">
      <c r="A1655" s="3">
        <v>45820</v>
      </c>
      <c r="B1655" t="s">
        <v>2</v>
      </c>
      <c r="C1655">
        <v>1</v>
      </c>
      <c r="D1655" t="str">
        <f>_xlfn.XLOOKUP(RW_DT_PRODUCTION[[#This Row],[MATERIAL_ID]],DIM_MATERIAL[MATERIAL_ID],DIM_MATERIAL[UOM_AFTER_PROCESS])</f>
        <v>BAG</v>
      </c>
      <c r="E1655">
        <v>22</v>
      </c>
    </row>
    <row r="1656" spans="1:5" x14ac:dyDescent="0.2">
      <c r="A1656" s="3">
        <v>45821</v>
      </c>
      <c r="B1656" t="s">
        <v>1</v>
      </c>
      <c r="C1656">
        <v>1</v>
      </c>
      <c r="D1656" t="str">
        <f>_xlfn.XLOOKUP(RW_DT_PRODUCTION[[#This Row],[MATERIAL_ID]],DIM_MATERIAL[MATERIAL_ID],DIM_MATERIAL[UOM_AFTER_PROCESS])</f>
        <v>BALE</v>
      </c>
      <c r="E1656">
        <v>67</v>
      </c>
    </row>
    <row r="1657" spans="1:5" x14ac:dyDescent="0.2">
      <c r="A1657" s="3">
        <v>45821</v>
      </c>
      <c r="B1657" t="s">
        <v>1</v>
      </c>
      <c r="C1657">
        <v>1</v>
      </c>
      <c r="D1657" t="str">
        <f>_xlfn.XLOOKUP(RW_DT_PRODUCTION[[#This Row],[MATERIAL_ID]],DIM_MATERIAL[MATERIAL_ID],DIM_MATERIAL[UOM_AFTER_PROCESS])</f>
        <v>BALE</v>
      </c>
      <c r="E1657">
        <v>60</v>
      </c>
    </row>
    <row r="1658" spans="1:5" x14ac:dyDescent="0.2">
      <c r="A1658" s="3">
        <v>45821</v>
      </c>
      <c r="B1658" t="s">
        <v>1</v>
      </c>
      <c r="C1658">
        <v>1</v>
      </c>
      <c r="D1658" t="str">
        <f>_xlfn.XLOOKUP(RW_DT_PRODUCTION[[#This Row],[MATERIAL_ID]],DIM_MATERIAL[MATERIAL_ID],DIM_MATERIAL[UOM_AFTER_PROCESS])</f>
        <v>BALE</v>
      </c>
      <c r="E1658">
        <v>85</v>
      </c>
    </row>
    <row r="1659" spans="1:5" x14ac:dyDescent="0.2">
      <c r="A1659" s="3">
        <v>45821</v>
      </c>
      <c r="B1659" t="s">
        <v>1</v>
      </c>
      <c r="C1659">
        <v>1</v>
      </c>
      <c r="D1659" t="str">
        <f>_xlfn.XLOOKUP(RW_DT_PRODUCTION[[#This Row],[MATERIAL_ID]],DIM_MATERIAL[MATERIAL_ID],DIM_MATERIAL[UOM_AFTER_PROCESS])</f>
        <v>BALE</v>
      </c>
      <c r="E1659">
        <v>75</v>
      </c>
    </row>
    <row r="1660" spans="1:5" x14ac:dyDescent="0.2">
      <c r="A1660" s="3">
        <v>45822</v>
      </c>
      <c r="B1660" t="s">
        <v>1</v>
      </c>
      <c r="C1660">
        <v>1</v>
      </c>
      <c r="D1660" t="str">
        <f>_xlfn.XLOOKUP(RW_DT_PRODUCTION[[#This Row],[MATERIAL_ID]],DIM_MATERIAL[MATERIAL_ID],DIM_MATERIAL[UOM_AFTER_PROCESS])</f>
        <v>BALE</v>
      </c>
      <c r="E1660">
        <v>73</v>
      </c>
    </row>
    <row r="1661" spans="1:5" x14ac:dyDescent="0.2">
      <c r="A1661" s="3">
        <v>45822</v>
      </c>
      <c r="B1661" t="s">
        <v>1</v>
      </c>
      <c r="C1661">
        <v>1</v>
      </c>
      <c r="D1661" t="str">
        <f>_xlfn.XLOOKUP(RW_DT_PRODUCTION[[#This Row],[MATERIAL_ID]],DIM_MATERIAL[MATERIAL_ID],DIM_MATERIAL[UOM_AFTER_PROCESS])</f>
        <v>BALE</v>
      </c>
      <c r="E1661">
        <v>76</v>
      </c>
    </row>
    <row r="1662" spans="1:5" x14ac:dyDescent="0.2">
      <c r="A1662" s="3">
        <v>45822</v>
      </c>
      <c r="B1662" t="s">
        <v>1</v>
      </c>
      <c r="C1662">
        <v>1</v>
      </c>
      <c r="D1662" t="str">
        <f>_xlfn.XLOOKUP(RW_DT_PRODUCTION[[#This Row],[MATERIAL_ID]],DIM_MATERIAL[MATERIAL_ID],DIM_MATERIAL[UOM_AFTER_PROCESS])</f>
        <v>BALE</v>
      </c>
      <c r="E1662">
        <v>71</v>
      </c>
    </row>
    <row r="1663" spans="1:5" x14ac:dyDescent="0.2">
      <c r="A1663" s="3">
        <v>45822</v>
      </c>
      <c r="B1663" t="s">
        <v>1</v>
      </c>
      <c r="C1663">
        <v>1</v>
      </c>
      <c r="D1663" t="str">
        <f>_xlfn.XLOOKUP(RW_DT_PRODUCTION[[#This Row],[MATERIAL_ID]],DIM_MATERIAL[MATERIAL_ID],DIM_MATERIAL[UOM_AFTER_PROCESS])</f>
        <v>BALE</v>
      </c>
      <c r="E1663">
        <v>87</v>
      </c>
    </row>
    <row r="1664" spans="1:5" x14ac:dyDescent="0.2">
      <c r="A1664" s="3">
        <v>45824</v>
      </c>
      <c r="B1664" t="s">
        <v>1</v>
      </c>
      <c r="C1664">
        <v>1</v>
      </c>
      <c r="D1664" t="str">
        <f>_xlfn.XLOOKUP(RW_DT_PRODUCTION[[#This Row],[MATERIAL_ID]],DIM_MATERIAL[MATERIAL_ID],DIM_MATERIAL[UOM_AFTER_PROCESS])</f>
        <v>BALE</v>
      </c>
      <c r="E1664">
        <v>66</v>
      </c>
    </row>
    <row r="1665" spans="1:5" x14ac:dyDescent="0.2">
      <c r="A1665" s="3">
        <v>45824</v>
      </c>
      <c r="B1665" t="s">
        <v>1</v>
      </c>
      <c r="C1665">
        <v>1</v>
      </c>
      <c r="D1665" t="str">
        <f>_xlfn.XLOOKUP(RW_DT_PRODUCTION[[#This Row],[MATERIAL_ID]],DIM_MATERIAL[MATERIAL_ID],DIM_MATERIAL[UOM_AFTER_PROCESS])</f>
        <v>BALE</v>
      </c>
      <c r="E1665">
        <v>73</v>
      </c>
    </row>
    <row r="1666" spans="1:5" x14ac:dyDescent="0.2">
      <c r="A1666" s="3">
        <v>45824</v>
      </c>
      <c r="B1666" t="s">
        <v>1</v>
      </c>
      <c r="C1666">
        <v>1</v>
      </c>
      <c r="D1666" t="str">
        <f>_xlfn.XLOOKUP(RW_DT_PRODUCTION[[#This Row],[MATERIAL_ID]],DIM_MATERIAL[MATERIAL_ID],DIM_MATERIAL[UOM_AFTER_PROCESS])</f>
        <v>BALE</v>
      </c>
      <c r="E1666">
        <v>78</v>
      </c>
    </row>
    <row r="1667" spans="1:5" x14ac:dyDescent="0.2">
      <c r="A1667" s="3">
        <v>45824</v>
      </c>
      <c r="B1667" t="s">
        <v>1</v>
      </c>
      <c r="C1667">
        <v>1</v>
      </c>
      <c r="D1667" t="str">
        <f>_xlfn.XLOOKUP(RW_DT_PRODUCTION[[#This Row],[MATERIAL_ID]],DIM_MATERIAL[MATERIAL_ID],DIM_MATERIAL[UOM_AFTER_PROCESS])</f>
        <v>BALE</v>
      </c>
      <c r="E1667">
        <v>81</v>
      </c>
    </row>
    <row r="1668" spans="1:5" x14ac:dyDescent="0.2">
      <c r="A1668" s="3">
        <v>45824</v>
      </c>
      <c r="B1668" t="s">
        <v>2</v>
      </c>
      <c r="C1668">
        <v>1</v>
      </c>
      <c r="D1668" t="str">
        <f>_xlfn.XLOOKUP(RW_DT_PRODUCTION[[#This Row],[MATERIAL_ID]],DIM_MATERIAL[MATERIAL_ID],DIM_MATERIAL[UOM_AFTER_PROCESS])</f>
        <v>BAG</v>
      </c>
      <c r="E1668">
        <v>22</v>
      </c>
    </row>
    <row r="1669" spans="1:5" x14ac:dyDescent="0.2">
      <c r="A1669" s="3">
        <v>45824</v>
      </c>
      <c r="B1669" t="s">
        <v>2</v>
      </c>
      <c r="C1669">
        <v>1</v>
      </c>
      <c r="D1669" t="str">
        <f>_xlfn.XLOOKUP(RW_DT_PRODUCTION[[#This Row],[MATERIAL_ID]],DIM_MATERIAL[MATERIAL_ID],DIM_MATERIAL[UOM_AFTER_PROCESS])</f>
        <v>BAG</v>
      </c>
      <c r="E1669">
        <v>22</v>
      </c>
    </row>
    <row r="1670" spans="1:5" x14ac:dyDescent="0.2">
      <c r="A1670" s="3">
        <v>45824</v>
      </c>
      <c r="B1670" t="s">
        <v>2</v>
      </c>
      <c r="C1670">
        <v>1</v>
      </c>
      <c r="D1670" t="str">
        <f>_xlfn.XLOOKUP(RW_DT_PRODUCTION[[#This Row],[MATERIAL_ID]],DIM_MATERIAL[MATERIAL_ID],DIM_MATERIAL[UOM_AFTER_PROCESS])</f>
        <v>BAG</v>
      </c>
      <c r="E1670">
        <v>22</v>
      </c>
    </row>
    <row r="1671" spans="1:5" x14ac:dyDescent="0.2">
      <c r="A1671" s="3">
        <v>45825</v>
      </c>
      <c r="B1671" t="s">
        <v>1</v>
      </c>
      <c r="C1671">
        <v>1</v>
      </c>
      <c r="D1671" t="str">
        <f>_xlfn.XLOOKUP(RW_DT_PRODUCTION[[#This Row],[MATERIAL_ID]],DIM_MATERIAL[MATERIAL_ID],DIM_MATERIAL[UOM_AFTER_PROCESS])</f>
        <v>BALE</v>
      </c>
      <c r="E1671">
        <v>66</v>
      </c>
    </row>
    <row r="1672" spans="1:5" x14ac:dyDescent="0.2">
      <c r="A1672" s="3">
        <v>45825</v>
      </c>
      <c r="B1672" t="s">
        <v>1</v>
      </c>
      <c r="C1672">
        <v>1</v>
      </c>
      <c r="D1672" t="str">
        <f>_xlfn.XLOOKUP(RW_DT_PRODUCTION[[#This Row],[MATERIAL_ID]],DIM_MATERIAL[MATERIAL_ID],DIM_MATERIAL[UOM_AFTER_PROCESS])</f>
        <v>BALE</v>
      </c>
      <c r="E1672">
        <v>61</v>
      </c>
    </row>
    <row r="1673" spans="1:5" x14ac:dyDescent="0.2">
      <c r="A1673" s="3">
        <v>45825</v>
      </c>
      <c r="B1673" t="s">
        <v>1</v>
      </c>
      <c r="C1673">
        <v>1</v>
      </c>
      <c r="D1673" t="str">
        <f>_xlfn.XLOOKUP(RW_DT_PRODUCTION[[#This Row],[MATERIAL_ID]],DIM_MATERIAL[MATERIAL_ID],DIM_MATERIAL[UOM_AFTER_PROCESS])</f>
        <v>BALE</v>
      </c>
      <c r="E1673">
        <v>75</v>
      </c>
    </row>
    <row r="1674" spans="1:5" x14ac:dyDescent="0.2">
      <c r="A1674" s="3">
        <v>45825</v>
      </c>
      <c r="B1674" t="s">
        <v>1</v>
      </c>
      <c r="C1674">
        <v>1</v>
      </c>
      <c r="D1674" t="str">
        <f>_xlfn.XLOOKUP(RW_DT_PRODUCTION[[#This Row],[MATERIAL_ID]],DIM_MATERIAL[MATERIAL_ID],DIM_MATERIAL[UOM_AFTER_PROCESS])</f>
        <v>BALE</v>
      </c>
      <c r="E1674">
        <v>76</v>
      </c>
    </row>
    <row r="1675" spans="1:5" x14ac:dyDescent="0.2">
      <c r="A1675" s="3">
        <v>45825</v>
      </c>
      <c r="B1675" t="s">
        <v>1</v>
      </c>
      <c r="C1675">
        <v>1</v>
      </c>
      <c r="D1675" t="str">
        <f>_xlfn.XLOOKUP(RW_DT_PRODUCTION[[#This Row],[MATERIAL_ID]],DIM_MATERIAL[MATERIAL_ID],DIM_MATERIAL[UOM_AFTER_PROCESS])</f>
        <v>BALE</v>
      </c>
      <c r="E1675">
        <v>82</v>
      </c>
    </row>
    <row r="1676" spans="1:5" x14ac:dyDescent="0.2">
      <c r="A1676" s="3">
        <v>45825</v>
      </c>
      <c r="B1676" t="s">
        <v>2</v>
      </c>
      <c r="C1676">
        <v>1</v>
      </c>
      <c r="D1676" t="str">
        <f>_xlfn.XLOOKUP(RW_DT_PRODUCTION[[#This Row],[MATERIAL_ID]],DIM_MATERIAL[MATERIAL_ID],DIM_MATERIAL[UOM_AFTER_PROCESS])</f>
        <v>BAG</v>
      </c>
      <c r="E1676">
        <v>22</v>
      </c>
    </row>
    <row r="1677" spans="1:5" x14ac:dyDescent="0.2">
      <c r="A1677" s="3">
        <v>45825</v>
      </c>
      <c r="B1677" t="s">
        <v>2</v>
      </c>
      <c r="C1677">
        <v>1</v>
      </c>
      <c r="D1677" t="str">
        <f>_xlfn.XLOOKUP(RW_DT_PRODUCTION[[#This Row],[MATERIAL_ID]],DIM_MATERIAL[MATERIAL_ID],DIM_MATERIAL[UOM_AFTER_PROCESS])</f>
        <v>BAG</v>
      </c>
      <c r="E1677">
        <v>22</v>
      </c>
    </row>
    <row r="1678" spans="1:5" x14ac:dyDescent="0.2">
      <c r="A1678" s="3">
        <v>45825</v>
      </c>
      <c r="B1678" t="s">
        <v>2</v>
      </c>
      <c r="C1678">
        <v>1</v>
      </c>
      <c r="D1678" t="str">
        <f>_xlfn.XLOOKUP(RW_DT_PRODUCTION[[#This Row],[MATERIAL_ID]],DIM_MATERIAL[MATERIAL_ID],DIM_MATERIAL[UOM_AFTER_PROCESS])</f>
        <v>BAG</v>
      </c>
      <c r="E1678">
        <v>22</v>
      </c>
    </row>
    <row r="1679" spans="1:5" x14ac:dyDescent="0.2">
      <c r="A1679" s="3">
        <v>45826</v>
      </c>
      <c r="B1679" t="s">
        <v>1</v>
      </c>
      <c r="C1679">
        <v>1</v>
      </c>
      <c r="D1679" t="str">
        <f>_xlfn.XLOOKUP(RW_DT_PRODUCTION[[#This Row],[MATERIAL_ID]],DIM_MATERIAL[MATERIAL_ID],DIM_MATERIAL[UOM_AFTER_PROCESS])</f>
        <v>BALE</v>
      </c>
      <c r="E1679">
        <v>73</v>
      </c>
    </row>
    <row r="1680" spans="1:5" x14ac:dyDescent="0.2">
      <c r="A1680" s="3">
        <v>45826</v>
      </c>
      <c r="B1680" t="s">
        <v>1</v>
      </c>
      <c r="C1680">
        <v>1</v>
      </c>
      <c r="D1680" t="str">
        <f>_xlfn.XLOOKUP(RW_DT_PRODUCTION[[#This Row],[MATERIAL_ID]],DIM_MATERIAL[MATERIAL_ID],DIM_MATERIAL[UOM_AFTER_PROCESS])</f>
        <v>BALE</v>
      </c>
      <c r="E1680">
        <v>82</v>
      </c>
    </row>
    <row r="1681" spans="1:5" x14ac:dyDescent="0.2">
      <c r="A1681" s="3">
        <v>45826</v>
      </c>
      <c r="B1681" t="s">
        <v>1</v>
      </c>
      <c r="C1681">
        <v>1</v>
      </c>
      <c r="D1681" t="str">
        <f>_xlfn.XLOOKUP(RW_DT_PRODUCTION[[#This Row],[MATERIAL_ID]],DIM_MATERIAL[MATERIAL_ID],DIM_MATERIAL[UOM_AFTER_PROCESS])</f>
        <v>BALE</v>
      </c>
      <c r="E1681">
        <v>87</v>
      </c>
    </row>
    <row r="1682" spans="1:5" x14ac:dyDescent="0.2">
      <c r="A1682" s="3">
        <v>45826</v>
      </c>
      <c r="B1682" t="s">
        <v>1</v>
      </c>
      <c r="C1682">
        <v>1</v>
      </c>
      <c r="D1682" t="str">
        <f>_xlfn.XLOOKUP(RW_DT_PRODUCTION[[#This Row],[MATERIAL_ID]],DIM_MATERIAL[MATERIAL_ID],DIM_MATERIAL[UOM_AFTER_PROCESS])</f>
        <v>BALE</v>
      </c>
      <c r="E1682">
        <v>74</v>
      </c>
    </row>
    <row r="1683" spans="1:5" x14ac:dyDescent="0.2">
      <c r="A1683" s="3">
        <v>45826</v>
      </c>
      <c r="B1683" t="s">
        <v>1</v>
      </c>
      <c r="C1683">
        <v>1</v>
      </c>
      <c r="D1683" t="str">
        <f>_xlfn.XLOOKUP(RW_DT_PRODUCTION[[#This Row],[MATERIAL_ID]],DIM_MATERIAL[MATERIAL_ID],DIM_MATERIAL[UOM_AFTER_PROCESS])</f>
        <v>BALE</v>
      </c>
      <c r="E1683">
        <v>82</v>
      </c>
    </row>
    <row r="1684" spans="1:5" x14ac:dyDescent="0.2">
      <c r="A1684" s="3">
        <v>45826</v>
      </c>
      <c r="B1684" t="s">
        <v>1</v>
      </c>
      <c r="C1684">
        <v>1</v>
      </c>
      <c r="D1684" t="str">
        <f>_xlfn.XLOOKUP(RW_DT_PRODUCTION[[#This Row],[MATERIAL_ID]],DIM_MATERIAL[MATERIAL_ID],DIM_MATERIAL[UOM_AFTER_PROCESS])</f>
        <v>BALE</v>
      </c>
      <c r="E1684">
        <v>86</v>
      </c>
    </row>
    <row r="1685" spans="1:5" x14ac:dyDescent="0.2">
      <c r="A1685" s="3">
        <v>45826</v>
      </c>
      <c r="B1685" t="s">
        <v>2</v>
      </c>
      <c r="C1685">
        <v>1</v>
      </c>
      <c r="D1685" t="str">
        <f>_xlfn.XLOOKUP(RW_DT_PRODUCTION[[#This Row],[MATERIAL_ID]],DIM_MATERIAL[MATERIAL_ID],DIM_MATERIAL[UOM_AFTER_PROCESS])</f>
        <v>BAG</v>
      </c>
      <c r="E1685">
        <v>22</v>
      </c>
    </row>
    <row r="1686" spans="1:5" x14ac:dyDescent="0.2">
      <c r="A1686" s="3">
        <v>45826</v>
      </c>
      <c r="B1686" t="s">
        <v>2</v>
      </c>
      <c r="C1686">
        <v>1</v>
      </c>
      <c r="D1686" t="str">
        <f>_xlfn.XLOOKUP(RW_DT_PRODUCTION[[#This Row],[MATERIAL_ID]],DIM_MATERIAL[MATERIAL_ID],DIM_MATERIAL[UOM_AFTER_PROCESS])</f>
        <v>BAG</v>
      </c>
      <c r="E1686">
        <v>22</v>
      </c>
    </row>
    <row r="1687" spans="1:5" x14ac:dyDescent="0.2">
      <c r="A1687" s="3">
        <v>45827</v>
      </c>
      <c r="B1687" t="s">
        <v>1</v>
      </c>
      <c r="C1687">
        <v>1</v>
      </c>
      <c r="D1687" t="str">
        <f>_xlfn.XLOOKUP(RW_DT_PRODUCTION[[#This Row],[MATERIAL_ID]],DIM_MATERIAL[MATERIAL_ID],DIM_MATERIAL[UOM_AFTER_PROCESS])</f>
        <v>BALE</v>
      </c>
      <c r="E1687">
        <v>67</v>
      </c>
    </row>
    <row r="1688" spans="1:5" x14ac:dyDescent="0.2">
      <c r="A1688" s="3">
        <v>45827</v>
      </c>
      <c r="B1688" t="s">
        <v>1</v>
      </c>
      <c r="C1688">
        <v>1</v>
      </c>
      <c r="D1688" t="str">
        <f>_xlfn.XLOOKUP(RW_DT_PRODUCTION[[#This Row],[MATERIAL_ID]],DIM_MATERIAL[MATERIAL_ID],DIM_MATERIAL[UOM_AFTER_PROCESS])</f>
        <v>BALE</v>
      </c>
      <c r="E1688">
        <v>67</v>
      </c>
    </row>
    <row r="1689" spans="1:5" x14ac:dyDescent="0.2">
      <c r="A1689" s="3">
        <v>45827</v>
      </c>
      <c r="B1689" t="s">
        <v>1</v>
      </c>
      <c r="C1689">
        <v>1</v>
      </c>
      <c r="D1689" t="str">
        <f>_xlfn.XLOOKUP(RW_DT_PRODUCTION[[#This Row],[MATERIAL_ID]],DIM_MATERIAL[MATERIAL_ID],DIM_MATERIAL[UOM_AFTER_PROCESS])</f>
        <v>BALE</v>
      </c>
      <c r="E1689">
        <v>86</v>
      </c>
    </row>
    <row r="1690" spans="1:5" x14ac:dyDescent="0.2">
      <c r="A1690" s="3">
        <v>45827</v>
      </c>
      <c r="B1690" t="s">
        <v>1</v>
      </c>
      <c r="C1690">
        <v>1</v>
      </c>
      <c r="D1690" t="str">
        <f>_xlfn.XLOOKUP(RW_DT_PRODUCTION[[#This Row],[MATERIAL_ID]],DIM_MATERIAL[MATERIAL_ID],DIM_MATERIAL[UOM_AFTER_PROCESS])</f>
        <v>BALE</v>
      </c>
      <c r="E1690">
        <v>69</v>
      </c>
    </row>
    <row r="1691" spans="1:5" x14ac:dyDescent="0.2">
      <c r="A1691" s="3">
        <v>45827</v>
      </c>
      <c r="B1691" t="s">
        <v>1</v>
      </c>
      <c r="C1691">
        <v>1</v>
      </c>
      <c r="D1691" t="str">
        <f>_xlfn.XLOOKUP(RW_DT_PRODUCTION[[#This Row],[MATERIAL_ID]],DIM_MATERIAL[MATERIAL_ID],DIM_MATERIAL[UOM_AFTER_PROCESS])</f>
        <v>BALE</v>
      </c>
      <c r="E1691">
        <v>60</v>
      </c>
    </row>
    <row r="1692" spans="1:5" x14ac:dyDescent="0.2">
      <c r="A1692" s="3">
        <v>45828</v>
      </c>
      <c r="B1692" t="s">
        <v>1</v>
      </c>
      <c r="C1692">
        <v>1</v>
      </c>
      <c r="D1692" t="str">
        <f>_xlfn.XLOOKUP(RW_DT_PRODUCTION[[#This Row],[MATERIAL_ID]],DIM_MATERIAL[MATERIAL_ID],DIM_MATERIAL[UOM_AFTER_PROCESS])</f>
        <v>BALE</v>
      </c>
      <c r="E1692">
        <v>71</v>
      </c>
    </row>
    <row r="1693" spans="1:5" x14ac:dyDescent="0.2">
      <c r="A1693" s="3">
        <v>45828</v>
      </c>
      <c r="B1693" t="s">
        <v>1</v>
      </c>
      <c r="C1693">
        <v>1</v>
      </c>
      <c r="D1693" t="str">
        <f>_xlfn.XLOOKUP(RW_DT_PRODUCTION[[#This Row],[MATERIAL_ID]],DIM_MATERIAL[MATERIAL_ID],DIM_MATERIAL[UOM_AFTER_PROCESS])</f>
        <v>BALE</v>
      </c>
      <c r="E1693">
        <v>85</v>
      </c>
    </row>
    <row r="1694" spans="1:5" x14ac:dyDescent="0.2">
      <c r="A1694" s="3">
        <v>45828</v>
      </c>
      <c r="B1694" t="s">
        <v>1</v>
      </c>
      <c r="C1694">
        <v>1</v>
      </c>
      <c r="D1694" t="str">
        <f>_xlfn.XLOOKUP(RW_DT_PRODUCTION[[#This Row],[MATERIAL_ID]],DIM_MATERIAL[MATERIAL_ID],DIM_MATERIAL[UOM_AFTER_PROCESS])</f>
        <v>BALE</v>
      </c>
      <c r="E1694">
        <v>72</v>
      </c>
    </row>
    <row r="1695" spans="1:5" x14ac:dyDescent="0.2">
      <c r="A1695" s="3">
        <v>45832</v>
      </c>
      <c r="B1695" t="s">
        <v>1</v>
      </c>
      <c r="C1695">
        <v>1</v>
      </c>
      <c r="D1695" t="str">
        <f>_xlfn.XLOOKUP(RW_DT_PRODUCTION[[#This Row],[MATERIAL_ID]],DIM_MATERIAL[MATERIAL_ID],DIM_MATERIAL[UOM_AFTER_PROCESS])</f>
        <v>BALE</v>
      </c>
      <c r="E1695">
        <v>85</v>
      </c>
    </row>
    <row r="1696" spans="1:5" x14ac:dyDescent="0.2">
      <c r="A1696" s="3">
        <v>45832</v>
      </c>
      <c r="B1696" t="s">
        <v>1</v>
      </c>
      <c r="C1696">
        <v>1</v>
      </c>
      <c r="D1696" t="str">
        <f>_xlfn.XLOOKUP(RW_DT_PRODUCTION[[#This Row],[MATERIAL_ID]],DIM_MATERIAL[MATERIAL_ID],DIM_MATERIAL[UOM_AFTER_PROCESS])</f>
        <v>BALE</v>
      </c>
      <c r="E1696">
        <v>87</v>
      </c>
    </row>
    <row r="1697" spans="1:5" x14ac:dyDescent="0.2">
      <c r="A1697" s="3">
        <v>45832</v>
      </c>
      <c r="B1697" t="s">
        <v>1</v>
      </c>
      <c r="C1697">
        <v>1</v>
      </c>
      <c r="D1697" t="str">
        <f>_xlfn.XLOOKUP(RW_DT_PRODUCTION[[#This Row],[MATERIAL_ID]],DIM_MATERIAL[MATERIAL_ID],DIM_MATERIAL[UOM_AFTER_PROCESS])</f>
        <v>BALE</v>
      </c>
      <c r="E1697">
        <v>77</v>
      </c>
    </row>
    <row r="1698" spans="1:5" x14ac:dyDescent="0.2">
      <c r="A1698" s="3">
        <v>45832</v>
      </c>
      <c r="B1698" t="s">
        <v>1</v>
      </c>
      <c r="C1698">
        <v>1</v>
      </c>
      <c r="D1698" t="str">
        <f>_xlfn.XLOOKUP(RW_DT_PRODUCTION[[#This Row],[MATERIAL_ID]],DIM_MATERIAL[MATERIAL_ID],DIM_MATERIAL[UOM_AFTER_PROCESS])</f>
        <v>BALE</v>
      </c>
      <c r="E1698">
        <v>79</v>
      </c>
    </row>
    <row r="1699" spans="1:5" x14ac:dyDescent="0.2">
      <c r="A1699" s="3">
        <v>45832</v>
      </c>
      <c r="B1699" t="s">
        <v>1</v>
      </c>
      <c r="C1699">
        <v>1</v>
      </c>
      <c r="D1699" t="str">
        <f>_xlfn.XLOOKUP(RW_DT_PRODUCTION[[#This Row],[MATERIAL_ID]],DIM_MATERIAL[MATERIAL_ID],DIM_MATERIAL[UOM_AFTER_PROCESS])</f>
        <v>BALE</v>
      </c>
      <c r="E1699">
        <v>63</v>
      </c>
    </row>
    <row r="1700" spans="1:5" x14ac:dyDescent="0.2">
      <c r="A1700" s="3">
        <v>45832</v>
      </c>
      <c r="B1700" t="s">
        <v>1</v>
      </c>
      <c r="C1700">
        <v>1</v>
      </c>
      <c r="D1700" t="str">
        <f>_xlfn.XLOOKUP(RW_DT_PRODUCTION[[#This Row],[MATERIAL_ID]],DIM_MATERIAL[MATERIAL_ID],DIM_MATERIAL[UOM_AFTER_PROCESS])</f>
        <v>BALE</v>
      </c>
      <c r="E1700">
        <v>77</v>
      </c>
    </row>
    <row r="1701" spans="1:5" x14ac:dyDescent="0.2">
      <c r="A1701" s="3">
        <v>45832</v>
      </c>
      <c r="B1701" t="s">
        <v>1</v>
      </c>
      <c r="C1701">
        <v>1</v>
      </c>
      <c r="D1701" t="str">
        <f>_xlfn.XLOOKUP(RW_DT_PRODUCTION[[#This Row],[MATERIAL_ID]],DIM_MATERIAL[MATERIAL_ID],DIM_MATERIAL[UOM_AFTER_PROCESS])</f>
        <v>BALE</v>
      </c>
      <c r="E1701">
        <v>77</v>
      </c>
    </row>
    <row r="1702" spans="1:5" x14ac:dyDescent="0.2">
      <c r="A1702" s="3">
        <v>45832</v>
      </c>
      <c r="B1702" t="s">
        <v>1</v>
      </c>
      <c r="C1702">
        <v>1</v>
      </c>
      <c r="D1702" t="str">
        <f>_xlfn.XLOOKUP(RW_DT_PRODUCTION[[#This Row],[MATERIAL_ID]],DIM_MATERIAL[MATERIAL_ID],DIM_MATERIAL[UOM_AFTER_PROCESS])</f>
        <v>BALE</v>
      </c>
      <c r="E1702">
        <v>72</v>
      </c>
    </row>
    <row r="1703" spans="1:5" x14ac:dyDescent="0.2">
      <c r="A1703" s="3">
        <v>45832</v>
      </c>
      <c r="B1703" t="s">
        <v>1</v>
      </c>
      <c r="C1703">
        <v>1</v>
      </c>
      <c r="D1703" t="str">
        <f>_xlfn.XLOOKUP(RW_DT_PRODUCTION[[#This Row],[MATERIAL_ID]],DIM_MATERIAL[MATERIAL_ID],DIM_MATERIAL[UOM_AFTER_PROCESS])</f>
        <v>BALE</v>
      </c>
      <c r="E1703">
        <v>79</v>
      </c>
    </row>
    <row r="1704" spans="1:5" x14ac:dyDescent="0.2">
      <c r="A1704" s="3">
        <v>45833</v>
      </c>
      <c r="B1704" t="s">
        <v>1</v>
      </c>
      <c r="C1704">
        <v>1</v>
      </c>
      <c r="D1704" t="str">
        <f>_xlfn.XLOOKUP(RW_DT_PRODUCTION[[#This Row],[MATERIAL_ID]],DIM_MATERIAL[MATERIAL_ID],DIM_MATERIAL[UOM_AFTER_PROCESS])</f>
        <v>BALE</v>
      </c>
      <c r="E1704">
        <v>61</v>
      </c>
    </row>
    <row r="1705" spans="1:5" x14ac:dyDescent="0.2">
      <c r="A1705" s="3">
        <v>45833</v>
      </c>
      <c r="B1705" t="s">
        <v>1</v>
      </c>
      <c r="C1705">
        <v>1</v>
      </c>
      <c r="D1705" t="str">
        <f>_xlfn.XLOOKUP(RW_DT_PRODUCTION[[#This Row],[MATERIAL_ID]],DIM_MATERIAL[MATERIAL_ID],DIM_MATERIAL[UOM_AFTER_PROCESS])</f>
        <v>BALE</v>
      </c>
      <c r="E1705">
        <v>89</v>
      </c>
    </row>
    <row r="1706" spans="1:5" x14ac:dyDescent="0.2">
      <c r="A1706" s="3">
        <v>45833</v>
      </c>
      <c r="B1706" t="s">
        <v>1</v>
      </c>
      <c r="C1706">
        <v>1</v>
      </c>
      <c r="D1706" t="str">
        <f>_xlfn.XLOOKUP(RW_DT_PRODUCTION[[#This Row],[MATERIAL_ID]],DIM_MATERIAL[MATERIAL_ID],DIM_MATERIAL[UOM_AFTER_PROCESS])</f>
        <v>BALE</v>
      </c>
      <c r="E1706">
        <v>60</v>
      </c>
    </row>
    <row r="1707" spans="1:5" x14ac:dyDescent="0.2">
      <c r="A1707" s="3">
        <v>45833</v>
      </c>
      <c r="B1707" t="s">
        <v>1</v>
      </c>
      <c r="C1707">
        <v>1</v>
      </c>
      <c r="D1707" t="str">
        <f>_xlfn.XLOOKUP(RW_DT_PRODUCTION[[#This Row],[MATERIAL_ID]],DIM_MATERIAL[MATERIAL_ID],DIM_MATERIAL[UOM_AFTER_PROCESS])</f>
        <v>BALE</v>
      </c>
      <c r="E1707">
        <v>66</v>
      </c>
    </row>
    <row r="1708" spans="1:5" x14ac:dyDescent="0.2">
      <c r="A1708" s="3">
        <v>45833</v>
      </c>
      <c r="B1708" t="s">
        <v>2</v>
      </c>
      <c r="C1708">
        <v>1</v>
      </c>
      <c r="D1708" t="str">
        <f>_xlfn.XLOOKUP(RW_DT_PRODUCTION[[#This Row],[MATERIAL_ID]],DIM_MATERIAL[MATERIAL_ID],DIM_MATERIAL[UOM_AFTER_PROCESS])</f>
        <v>BAG</v>
      </c>
      <c r="E1708">
        <v>22</v>
      </c>
    </row>
    <row r="1709" spans="1:5" x14ac:dyDescent="0.2">
      <c r="A1709" s="3">
        <v>45833</v>
      </c>
      <c r="B1709" t="s">
        <v>2</v>
      </c>
      <c r="C1709">
        <v>1</v>
      </c>
      <c r="D1709" t="str">
        <f>_xlfn.XLOOKUP(RW_DT_PRODUCTION[[#This Row],[MATERIAL_ID]],DIM_MATERIAL[MATERIAL_ID],DIM_MATERIAL[UOM_AFTER_PROCESS])</f>
        <v>BAG</v>
      </c>
      <c r="E1709">
        <v>22</v>
      </c>
    </row>
    <row r="1710" spans="1:5" x14ac:dyDescent="0.2">
      <c r="A1710" s="3">
        <v>45833</v>
      </c>
      <c r="B1710" t="s">
        <v>2</v>
      </c>
      <c r="C1710">
        <v>1</v>
      </c>
      <c r="D1710" t="str">
        <f>_xlfn.XLOOKUP(RW_DT_PRODUCTION[[#This Row],[MATERIAL_ID]],DIM_MATERIAL[MATERIAL_ID],DIM_MATERIAL[UOM_AFTER_PROCESS])</f>
        <v>BAG</v>
      </c>
      <c r="E1710">
        <v>22</v>
      </c>
    </row>
    <row r="1711" spans="1:5" x14ac:dyDescent="0.2">
      <c r="A1711" s="3">
        <v>45833</v>
      </c>
      <c r="B1711" t="s">
        <v>2</v>
      </c>
      <c r="C1711">
        <v>1</v>
      </c>
      <c r="D1711" t="str">
        <f>_xlfn.XLOOKUP(RW_DT_PRODUCTION[[#This Row],[MATERIAL_ID]],DIM_MATERIAL[MATERIAL_ID],DIM_MATERIAL[UOM_AFTER_PROCESS])</f>
        <v>BAG</v>
      </c>
      <c r="E1711">
        <v>22</v>
      </c>
    </row>
    <row r="1712" spans="1:5" x14ac:dyDescent="0.2">
      <c r="A1712" s="3">
        <v>45833</v>
      </c>
      <c r="B1712" t="s">
        <v>2</v>
      </c>
      <c r="C1712">
        <v>1</v>
      </c>
      <c r="D1712" t="str">
        <f>_xlfn.XLOOKUP(RW_DT_PRODUCTION[[#This Row],[MATERIAL_ID]],DIM_MATERIAL[MATERIAL_ID],DIM_MATERIAL[UOM_AFTER_PROCESS])</f>
        <v>BAG</v>
      </c>
      <c r="E1712">
        <v>22</v>
      </c>
    </row>
    <row r="1713" spans="1:5" x14ac:dyDescent="0.2">
      <c r="A1713" s="3">
        <v>45834</v>
      </c>
      <c r="B1713" t="s">
        <v>1</v>
      </c>
      <c r="C1713">
        <v>1</v>
      </c>
      <c r="D1713" t="str">
        <f>_xlfn.XLOOKUP(RW_DT_PRODUCTION[[#This Row],[MATERIAL_ID]],DIM_MATERIAL[MATERIAL_ID],DIM_MATERIAL[UOM_AFTER_PROCESS])</f>
        <v>BALE</v>
      </c>
      <c r="E1713">
        <v>70</v>
      </c>
    </row>
    <row r="1714" spans="1:5" x14ac:dyDescent="0.2">
      <c r="A1714" s="3">
        <v>45834</v>
      </c>
      <c r="B1714" t="s">
        <v>1</v>
      </c>
      <c r="C1714">
        <v>1</v>
      </c>
      <c r="D1714" t="str">
        <f>_xlfn.XLOOKUP(RW_DT_PRODUCTION[[#This Row],[MATERIAL_ID]],DIM_MATERIAL[MATERIAL_ID],DIM_MATERIAL[UOM_AFTER_PROCESS])</f>
        <v>BALE</v>
      </c>
      <c r="E1714">
        <v>89</v>
      </c>
    </row>
    <row r="1715" spans="1:5" x14ac:dyDescent="0.2">
      <c r="A1715" s="3">
        <v>45834</v>
      </c>
      <c r="B1715" t="s">
        <v>1</v>
      </c>
      <c r="C1715">
        <v>1</v>
      </c>
      <c r="D1715" t="str">
        <f>_xlfn.XLOOKUP(RW_DT_PRODUCTION[[#This Row],[MATERIAL_ID]],DIM_MATERIAL[MATERIAL_ID],DIM_MATERIAL[UOM_AFTER_PROCESS])</f>
        <v>BALE</v>
      </c>
      <c r="E1715">
        <v>76</v>
      </c>
    </row>
    <row r="1716" spans="1:5" x14ac:dyDescent="0.2">
      <c r="A1716" s="3">
        <v>45834</v>
      </c>
      <c r="B1716" t="s">
        <v>1</v>
      </c>
      <c r="C1716">
        <v>1</v>
      </c>
      <c r="D1716" t="str">
        <f>_xlfn.XLOOKUP(RW_DT_PRODUCTION[[#This Row],[MATERIAL_ID]],DIM_MATERIAL[MATERIAL_ID],DIM_MATERIAL[UOM_AFTER_PROCESS])</f>
        <v>BALE</v>
      </c>
      <c r="E1716">
        <v>81</v>
      </c>
    </row>
    <row r="1717" spans="1:5" x14ac:dyDescent="0.2">
      <c r="A1717" s="3">
        <v>45834</v>
      </c>
      <c r="B1717" t="s">
        <v>1</v>
      </c>
      <c r="C1717">
        <v>1</v>
      </c>
      <c r="D1717" t="str">
        <f>_xlfn.XLOOKUP(RW_DT_PRODUCTION[[#This Row],[MATERIAL_ID]],DIM_MATERIAL[MATERIAL_ID],DIM_MATERIAL[UOM_AFTER_PROCESS])</f>
        <v>BALE</v>
      </c>
      <c r="E1717">
        <v>73</v>
      </c>
    </row>
    <row r="1718" spans="1:5" x14ac:dyDescent="0.2">
      <c r="A1718" s="3">
        <v>45834</v>
      </c>
      <c r="B1718" t="s">
        <v>1</v>
      </c>
      <c r="C1718">
        <v>1</v>
      </c>
      <c r="D1718" t="str">
        <f>_xlfn.XLOOKUP(RW_DT_PRODUCTION[[#This Row],[MATERIAL_ID]],DIM_MATERIAL[MATERIAL_ID],DIM_MATERIAL[UOM_AFTER_PROCESS])</f>
        <v>BALE</v>
      </c>
      <c r="E1718">
        <v>89</v>
      </c>
    </row>
    <row r="1719" spans="1:5" x14ac:dyDescent="0.2">
      <c r="A1719" s="3">
        <v>45835</v>
      </c>
      <c r="B1719" t="s">
        <v>2</v>
      </c>
      <c r="C1719">
        <v>1</v>
      </c>
      <c r="D1719" t="str">
        <f>_xlfn.XLOOKUP(RW_DT_PRODUCTION[[#This Row],[MATERIAL_ID]],DIM_MATERIAL[MATERIAL_ID],DIM_MATERIAL[UOM_AFTER_PROCESS])</f>
        <v>BAG</v>
      </c>
      <c r="E1719">
        <v>22</v>
      </c>
    </row>
    <row r="1720" spans="1:5" x14ac:dyDescent="0.2">
      <c r="A1720" s="3">
        <v>45835</v>
      </c>
      <c r="B1720" t="s">
        <v>2</v>
      </c>
      <c r="C1720">
        <v>1</v>
      </c>
      <c r="D1720" t="str">
        <f>_xlfn.XLOOKUP(RW_DT_PRODUCTION[[#This Row],[MATERIAL_ID]],DIM_MATERIAL[MATERIAL_ID],DIM_MATERIAL[UOM_AFTER_PROCESS])</f>
        <v>BAG</v>
      </c>
      <c r="E1720">
        <v>22</v>
      </c>
    </row>
    <row r="1721" spans="1:5" x14ac:dyDescent="0.2">
      <c r="A1721" s="3">
        <v>45835</v>
      </c>
      <c r="B1721" t="s">
        <v>2</v>
      </c>
      <c r="C1721">
        <v>1</v>
      </c>
      <c r="D1721" t="str">
        <f>_xlfn.XLOOKUP(RW_DT_PRODUCTION[[#This Row],[MATERIAL_ID]],DIM_MATERIAL[MATERIAL_ID],DIM_MATERIAL[UOM_AFTER_PROCESS])</f>
        <v>BAG</v>
      </c>
      <c r="E1721">
        <v>22</v>
      </c>
    </row>
    <row r="1722" spans="1:5" x14ac:dyDescent="0.2">
      <c r="A1722" s="3">
        <v>45836</v>
      </c>
      <c r="B1722" t="s">
        <v>1</v>
      </c>
      <c r="C1722">
        <v>1</v>
      </c>
      <c r="D1722" t="str">
        <f>_xlfn.XLOOKUP(RW_DT_PRODUCTION[[#This Row],[MATERIAL_ID]],DIM_MATERIAL[MATERIAL_ID],DIM_MATERIAL[UOM_AFTER_PROCESS])</f>
        <v>BALE</v>
      </c>
      <c r="E1722">
        <v>64</v>
      </c>
    </row>
    <row r="1723" spans="1:5" x14ac:dyDescent="0.2">
      <c r="A1723" s="3">
        <v>45838</v>
      </c>
      <c r="B1723" t="s">
        <v>1</v>
      </c>
      <c r="C1723">
        <v>1</v>
      </c>
      <c r="D1723" t="str">
        <f>_xlfn.XLOOKUP(RW_DT_PRODUCTION[[#This Row],[MATERIAL_ID]],DIM_MATERIAL[MATERIAL_ID],DIM_MATERIAL[UOM_AFTER_PROCESS])</f>
        <v>BALE</v>
      </c>
      <c r="E1723">
        <v>61</v>
      </c>
    </row>
    <row r="1724" spans="1:5" x14ac:dyDescent="0.2">
      <c r="A1724" s="3">
        <v>45838</v>
      </c>
      <c r="B1724" t="s">
        <v>1</v>
      </c>
      <c r="C1724">
        <v>1</v>
      </c>
      <c r="D1724" t="str">
        <f>_xlfn.XLOOKUP(RW_DT_PRODUCTION[[#This Row],[MATERIAL_ID]],DIM_MATERIAL[MATERIAL_ID],DIM_MATERIAL[UOM_AFTER_PROCESS])</f>
        <v>BALE</v>
      </c>
      <c r="E1724">
        <v>87</v>
      </c>
    </row>
    <row r="1725" spans="1:5" x14ac:dyDescent="0.2">
      <c r="A1725" s="3">
        <v>45839</v>
      </c>
      <c r="B1725" t="s">
        <v>1</v>
      </c>
      <c r="C1725">
        <v>1</v>
      </c>
      <c r="D1725" t="str">
        <f>_xlfn.XLOOKUP(RW_DT_PRODUCTION[[#This Row],[MATERIAL_ID]],DIM_MATERIAL[MATERIAL_ID],DIM_MATERIAL[UOM_AFTER_PROCESS])</f>
        <v>BALE</v>
      </c>
      <c r="E1725">
        <v>74</v>
      </c>
    </row>
    <row r="1726" spans="1:5" x14ac:dyDescent="0.2">
      <c r="A1726" s="3">
        <v>45839</v>
      </c>
      <c r="B1726" t="s">
        <v>1</v>
      </c>
      <c r="C1726">
        <v>1</v>
      </c>
      <c r="D1726" t="str">
        <f>_xlfn.XLOOKUP(RW_DT_PRODUCTION[[#This Row],[MATERIAL_ID]],DIM_MATERIAL[MATERIAL_ID],DIM_MATERIAL[UOM_AFTER_PROCESS])</f>
        <v>BALE</v>
      </c>
      <c r="E1726">
        <v>79</v>
      </c>
    </row>
    <row r="1727" spans="1:5" x14ac:dyDescent="0.2">
      <c r="A1727" s="3">
        <v>45839</v>
      </c>
      <c r="B1727" t="s">
        <v>1</v>
      </c>
      <c r="C1727">
        <v>1</v>
      </c>
      <c r="D1727" t="str">
        <f>_xlfn.XLOOKUP(RW_DT_PRODUCTION[[#This Row],[MATERIAL_ID]],DIM_MATERIAL[MATERIAL_ID],DIM_MATERIAL[UOM_AFTER_PROCESS])</f>
        <v>BALE</v>
      </c>
      <c r="E1727">
        <v>66</v>
      </c>
    </row>
    <row r="1728" spans="1:5" x14ac:dyDescent="0.2">
      <c r="A1728" s="3">
        <v>45839</v>
      </c>
      <c r="B1728" t="s">
        <v>1</v>
      </c>
      <c r="C1728">
        <v>1</v>
      </c>
      <c r="D1728" t="str">
        <f>_xlfn.XLOOKUP(RW_DT_PRODUCTION[[#This Row],[MATERIAL_ID]],DIM_MATERIAL[MATERIAL_ID],DIM_MATERIAL[UOM_AFTER_PROCESS])</f>
        <v>BALE</v>
      </c>
      <c r="E1728">
        <v>64</v>
      </c>
    </row>
    <row r="1729" spans="1:5" x14ac:dyDescent="0.2">
      <c r="A1729" s="3">
        <v>45839</v>
      </c>
      <c r="B1729" t="s">
        <v>1</v>
      </c>
      <c r="C1729">
        <v>1</v>
      </c>
      <c r="D1729" t="str">
        <f>_xlfn.XLOOKUP(RW_DT_PRODUCTION[[#This Row],[MATERIAL_ID]],DIM_MATERIAL[MATERIAL_ID],DIM_MATERIAL[UOM_AFTER_PROCESS])</f>
        <v>BALE</v>
      </c>
      <c r="E1729">
        <v>80</v>
      </c>
    </row>
    <row r="1730" spans="1:5" x14ac:dyDescent="0.2">
      <c r="A1730" s="3">
        <v>45839</v>
      </c>
      <c r="B1730" t="s">
        <v>1</v>
      </c>
      <c r="C1730">
        <v>1</v>
      </c>
      <c r="D1730" t="str">
        <f>_xlfn.XLOOKUP(RW_DT_PRODUCTION[[#This Row],[MATERIAL_ID]],DIM_MATERIAL[MATERIAL_ID],DIM_MATERIAL[UOM_AFTER_PROCESS])</f>
        <v>BALE</v>
      </c>
      <c r="E1730">
        <v>82</v>
      </c>
    </row>
    <row r="1731" spans="1:5" x14ac:dyDescent="0.2">
      <c r="A1731" s="3">
        <v>45839</v>
      </c>
      <c r="B1731" t="s">
        <v>1</v>
      </c>
      <c r="C1731">
        <v>1</v>
      </c>
      <c r="D1731" t="str">
        <f>_xlfn.XLOOKUP(RW_DT_PRODUCTION[[#This Row],[MATERIAL_ID]],DIM_MATERIAL[MATERIAL_ID],DIM_MATERIAL[UOM_AFTER_PROCESS])</f>
        <v>BALE</v>
      </c>
      <c r="E1731">
        <v>65</v>
      </c>
    </row>
    <row r="1732" spans="1:5" x14ac:dyDescent="0.2">
      <c r="A1732" s="3">
        <v>45839</v>
      </c>
      <c r="B1732" t="s">
        <v>1</v>
      </c>
      <c r="C1732">
        <v>1</v>
      </c>
      <c r="D1732" t="str">
        <f>_xlfn.XLOOKUP(RW_DT_PRODUCTION[[#This Row],[MATERIAL_ID]],DIM_MATERIAL[MATERIAL_ID],DIM_MATERIAL[UOM_AFTER_PROCESS])</f>
        <v>BALE</v>
      </c>
      <c r="E1732">
        <v>63</v>
      </c>
    </row>
    <row r="1733" spans="1:5" x14ac:dyDescent="0.2">
      <c r="A1733" s="3">
        <v>45840</v>
      </c>
      <c r="B1733" t="s">
        <v>1</v>
      </c>
      <c r="C1733">
        <v>1</v>
      </c>
      <c r="D1733" t="str">
        <f>_xlfn.XLOOKUP(RW_DT_PRODUCTION[[#This Row],[MATERIAL_ID]],DIM_MATERIAL[MATERIAL_ID],DIM_MATERIAL[UOM_AFTER_PROCESS])</f>
        <v>BALE</v>
      </c>
      <c r="E1733">
        <v>62</v>
      </c>
    </row>
    <row r="1734" spans="1:5" x14ac:dyDescent="0.2">
      <c r="A1734" s="3">
        <v>45840</v>
      </c>
      <c r="B1734" t="s">
        <v>1</v>
      </c>
      <c r="C1734">
        <v>1</v>
      </c>
      <c r="D1734" t="str">
        <f>_xlfn.XLOOKUP(RW_DT_PRODUCTION[[#This Row],[MATERIAL_ID]],DIM_MATERIAL[MATERIAL_ID],DIM_MATERIAL[UOM_AFTER_PROCESS])</f>
        <v>BALE</v>
      </c>
      <c r="E1734">
        <v>66</v>
      </c>
    </row>
    <row r="1735" spans="1:5" x14ac:dyDescent="0.2">
      <c r="A1735" s="3">
        <v>45840</v>
      </c>
      <c r="B1735" t="s">
        <v>1</v>
      </c>
      <c r="C1735">
        <v>1</v>
      </c>
      <c r="D1735" t="str">
        <f>_xlfn.XLOOKUP(RW_DT_PRODUCTION[[#This Row],[MATERIAL_ID]],DIM_MATERIAL[MATERIAL_ID],DIM_MATERIAL[UOM_AFTER_PROCESS])</f>
        <v>BALE</v>
      </c>
      <c r="E1735">
        <v>70</v>
      </c>
    </row>
    <row r="1736" spans="1:5" x14ac:dyDescent="0.2">
      <c r="A1736" s="3">
        <v>45840</v>
      </c>
      <c r="B1736" t="s">
        <v>1</v>
      </c>
      <c r="C1736">
        <v>1</v>
      </c>
      <c r="D1736" t="str">
        <f>_xlfn.XLOOKUP(RW_DT_PRODUCTION[[#This Row],[MATERIAL_ID]],DIM_MATERIAL[MATERIAL_ID],DIM_MATERIAL[UOM_AFTER_PROCESS])</f>
        <v>BALE</v>
      </c>
      <c r="E1736">
        <v>72</v>
      </c>
    </row>
    <row r="1737" spans="1:5" x14ac:dyDescent="0.2">
      <c r="A1737" s="3">
        <v>45840</v>
      </c>
      <c r="B1737" t="s">
        <v>1</v>
      </c>
      <c r="C1737">
        <v>1</v>
      </c>
      <c r="D1737" t="str">
        <f>_xlfn.XLOOKUP(RW_DT_PRODUCTION[[#This Row],[MATERIAL_ID]],DIM_MATERIAL[MATERIAL_ID],DIM_MATERIAL[UOM_AFTER_PROCESS])</f>
        <v>BALE</v>
      </c>
      <c r="E1737">
        <v>78</v>
      </c>
    </row>
    <row r="1738" spans="1:5" x14ac:dyDescent="0.2">
      <c r="A1738" s="3">
        <v>45841</v>
      </c>
      <c r="B1738" t="s">
        <v>1</v>
      </c>
      <c r="C1738">
        <v>1</v>
      </c>
      <c r="D1738" t="str">
        <f>_xlfn.XLOOKUP(RW_DT_PRODUCTION[[#This Row],[MATERIAL_ID]],DIM_MATERIAL[MATERIAL_ID],DIM_MATERIAL[UOM_AFTER_PROCESS])</f>
        <v>BALE</v>
      </c>
      <c r="E1738">
        <v>64</v>
      </c>
    </row>
    <row r="1739" spans="1:5" x14ac:dyDescent="0.2">
      <c r="A1739" s="3">
        <v>45841</v>
      </c>
      <c r="B1739" t="s">
        <v>1</v>
      </c>
      <c r="C1739">
        <v>1</v>
      </c>
      <c r="D1739" t="str">
        <f>_xlfn.XLOOKUP(RW_DT_PRODUCTION[[#This Row],[MATERIAL_ID]],DIM_MATERIAL[MATERIAL_ID],DIM_MATERIAL[UOM_AFTER_PROCESS])</f>
        <v>BALE</v>
      </c>
      <c r="E1739">
        <v>68</v>
      </c>
    </row>
    <row r="1740" spans="1:5" x14ac:dyDescent="0.2">
      <c r="A1740" s="3">
        <v>45841</v>
      </c>
      <c r="B1740" t="s">
        <v>1</v>
      </c>
      <c r="C1740">
        <v>1</v>
      </c>
      <c r="D1740" t="str">
        <f>_xlfn.XLOOKUP(RW_DT_PRODUCTION[[#This Row],[MATERIAL_ID]],DIM_MATERIAL[MATERIAL_ID],DIM_MATERIAL[UOM_AFTER_PROCESS])</f>
        <v>BALE</v>
      </c>
      <c r="E1740">
        <v>88</v>
      </c>
    </row>
    <row r="1741" spans="1:5" x14ac:dyDescent="0.2">
      <c r="A1741" s="3">
        <v>45841</v>
      </c>
      <c r="B1741" t="s">
        <v>1</v>
      </c>
      <c r="C1741">
        <v>1</v>
      </c>
      <c r="D1741" t="str">
        <f>_xlfn.XLOOKUP(RW_DT_PRODUCTION[[#This Row],[MATERIAL_ID]],DIM_MATERIAL[MATERIAL_ID],DIM_MATERIAL[UOM_AFTER_PROCESS])</f>
        <v>BALE</v>
      </c>
      <c r="E1741">
        <v>88</v>
      </c>
    </row>
    <row r="1742" spans="1:5" x14ac:dyDescent="0.2">
      <c r="A1742" s="3">
        <v>45841</v>
      </c>
      <c r="B1742" t="s">
        <v>1</v>
      </c>
      <c r="C1742">
        <v>1</v>
      </c>
      <c r="D1742" t="str">
        <f>_xlfn.XLOOKUP(RW_DT_PRODUCTION[[#This Row],[MATERIAL_ID]],DIM_MATERIAL[MATERIAL_ID],DIM_MATERIAL[UOM_AFTER_PROCESS])</f>
        <v>BALE</v>
      </c>
      <c r="E1742">
        <v>72</v>
      </c>
    </row>
    <row r="1743" spans="1:5" x14ac:dyDescent="0.2">
      <c r="A1743" s="3">
        <v>45841</v>
      </c>
      <c r="B1743" t="s">
        <v>1</v>
      </c>
      <c r="C1743">
        <v>1</v>
      </c>
      <c r="D1743" t="str">
        <f>_xlfn.XLOOKUP(RW_DT_PRODUCTION[[#This Row],[MATERIAL_ID]],DIM_MATERIAL[MATERIAL_ID],DIM_MATERIAL[UOM_AFTER_PROCESS])</f>
        <v>BALE</v>
      </c>
      <c r="E1743">
        <v>62</v>
      </c>
    </row>
    <row r="1744" spans="1:5" x14ac:dyDescent="0.2">
      <c r="A1744" s="3">
        <v>45842</v>
      </c>
      <c r="B1744" t="s">
        <v>1</v>
      </c>
      <c r="C1744">
        <v>1</v>
      </c>
      <c r="D1744" t="str">
        <f>_xlfn.XLOOKUP(RW_DT_PRODUCTION[[#This Row],[MATERIAL_ID]],DIM_MATERIAL[MATERIAL_ID],DIM_MATERIAL[UOM_AFTER_PROCESS])</f>
        <v>BALE</v>
      </c>
      <c r="E1744">
        <v>68</v>
      </c>
    </row>
    <row r="1745" spans="1:5" x14ac:dyDescent="0.2">
      <c r="A1745" s="3">
        <v>45842</v>
      </c>
      <c r="B1745" t="s">
        <v>1</v>
      </c>
      <c r="C1745">
        <v>1</v>
      </c>
      <c r="D1745" t="str">
        <f>_xlfn.XLOOKUP(RW_DT_PRODUCTION[[#This Row],[MATERIAL_ID]],DIM_MATERIAL[MATERIAL_ID],DIM_MATERIAL[UOM_AFTER_PROCESS])</f>
        <v>BALE</v>
      </c>
      <c r="E1745">
        <v>76</v>
      </c>
    </row>
    <row r="1746" spans="1:5" x14ac:dyDescent="0.2">
      <c r="A1746" s="3">
        <v>45842</v>
      </c>
      <c r="B1746" t="s">
        <v>1</v>
      </c>
      <c r="C1746">
        <v>1</v>
      </c>
      <c r="D1746" t="str">
        <f>_xlfn.XLOOKUP(RW_DT_PRODUCTION[[#This Row],[MATERIAL_ID]],DIM_MATERIAL[MATERIAL_ID],DIM_MATERIAL[UOM_AFTER_PROCESS])</f>
        <v>BALE</v>
      </c>
      <c r="E1746">
        <v>76</v>
      </c>
    </row>
    <row r="1747" spans="1:5" x14ac:dyDescent="0.2">
      <c r="A1747" s="3">
        <v>45842</v>
      </c>
      <c r="B1747" t="s">
        <v>1</v>
      </c>
      <c r="C1747">
        <v>1</v>
      </c>
      <c r="D1747" t="str">
        <f>_xlfn.XLOOKUP(RW_DT_PRODUCTION[[#This Row],[MATERIAL_ID]],DIM_MATERIAL[MATERIAL_ID],DIM_MATERIAL[UOM_AFTER_PROCESS])</f>
        <v>BALE</v>
      </c>
      <c r="E1747">
        <v>86</v>
      </c>
    </row>
    <row r="1748" spans="1:5" x14ac:dyDescent="0.2">
      <c r="A1748" s="3">
        <v>45842</v>
      </c>
      <c r="B1748" t="s">
        <v>1</v>
      </c>
      <c r="C1748">
        <v>1</v>
      </c>
      <c r="D1748" t="str">
        <f>_xlfn.XLOOKUP(RW_DT_PRODUCTION[[#This Row],[MATERIAL_ID]],DIM_MATERIAL[MATERIAL_ID],DIM_MATERIAL[UOM_AFTER_PROCESS])</f>
        <v>BALE</v>
      </c>
      <c r="E1748">
        <v>70</v>
      </c>
    </row>
    <row r="1749" spans="1:5" x14ac:dyDescent="0.2">
      <c r="A1749" s="3">
        <v>45842</v>
      </c>
      <c r="B1749" t="s">
        <v>1</v>
      </c>
      <c r="C1749">
        <v>1</v>
      </c>
      <c r="D1749" t="str">
        <f>_xlfn.XLOOKUP(RW_DT_PRODUCTION[[#This Row],[MATERIAL_ID]],DIM_MATERIAL[MATERIAL_ID],DIM_MATERIAL[UOM_AFTER_PROCESS])</f>
        <v>BALE</v>
      </c>
      <c r="E1749">
        <v>66</v>
      </c>
    </row>
    <row r="1750" spans="1:5" x14ac:dyDescent="0.2">
      <c r="A1750" s="3">
        <v>45842</v>
      </c>
      <c r="B1750" t="s">
        <v>1</v>
      </c>
      <c r="C1750">
        <v>1</v>
      </c>
      <c r="D1750" t="str">
        <f>_xlfn.XLOOKUP(RW_DT_PRODUCTION[[#This Row],[MATERIAL_ID]],DIM_MATERIAL[MATERIAL_ID],DIM_MATERIAL[UOM_AFTER_PROCESS])</f>
        <v>BALE</v>
      </c>
      <c r="E1750">
        <v>61</v>
      </c>
    </row>
    <row r="1751" spans="1:5" x14ac:dyDescent="0.2">
      <c r="A1751" s="3">
        <v>45845</v>
      </c>
      <c r="B1751" t="s">
        <v>1</v>
      </c>
      <c r="C1751">
        <v>1</v>
      </c>
      <c r="D1751" t="str">
        <f>_xlfn.XLOOKUP(RW_DT_PRODUCTION[[#This Row],[MATERIAL_ID]],DIM_MATERIAL[MATERIAL_ID],DIM_MATERIAL[UOM_AFTER_PROCESS])</f>
        <v>BALE</v>
      </c>
      <c r="E1751">
        <v>70</v>
      </c>
    </row>
    <row r="1752" spans="1:5" x14ac:dyDescent="0.2">
      <c r="A1752" s="3">
        <v>45845</v>
      </c>
      <c r="B1752" t="s">
        <v>1</v>
      </c>
      <c r="C1752">
        <v>1</v>
      </c>
      <c r="D1752" t="str">
        <f>_xlfn.XLOOKUP(RW_DT_PRODUCTION[[#This Row],[MATERIAL_ID]],DIM_MATERIAL[MATERIAL_ID],DIM_MATERIAL[UOM_AFTER_PROCESS])</f>
        <v>BALE</v>
      </c>
      <c r="E1752">
        <v>66</v>
      </c>
    </row>
    <row r="1753" spans="1:5" x14ac:dyDescent="0.2">
      <c r="A1753" s="3">
        <v>45845</v>
      </c>
      <c r="B1753" t="s">
        <v>1</v>
      </c>
      <c r="C1753">
        <v>1</v>
      </c>
      <c r="D1753" t="str">
        <f>_xlfn.XLOOKUP(RW_DT_PRODUCTION[[#This Row],[MATERIAL_ID]],DIM_MATERIAL[MATERIAL_ID],DIM_MATERIAL[UOM_AFTER_PROCESS])</f>
        <v>BALE</v>
      </c>
      <c r="E1753">
        <v>72</v>
      </c>
    </row>
    <row r="1754" spans="1:5" x14ac:dyDescent="0.2">
      <c r="A1754" s="3">
        <v>45845</v>
      </c>
      <c r="B1754" t="s">
        <v>1</v>
      </c>
      <c r="C1754">
        <v>1</v>
      </c>
      <c r="D1754" t="str">
        <f>_xlfn.XLOOKUP(RW_DT_PRODUCTION[[#This Row],[MATERIAL_ID]],DIM_MATERIAL[MATERIAL_ID],DIM_MATERIAL[UOM_AFTER_PROCESS])</f>
        <v>BALE</v>
      </c>
      <c r="E1754">
        <v>71</v>
      </c>
    </row>
    <row r="1755" spans="1:5" x14ac:dyDescent="0.2">
      <c r="A1755" s="3">
        <v>45845</v>
      </c>
      <c r="B1755" t="s">
        <v>1</v>
      </c>
      <c r="C1755">
        <v>1</v>
      </c>
      <c r="D1755" t="str">
        <f>_xlfn.XLOOKUP(RW_DT_PRODUCTION[[#This Row],[MATERIAL_ID]],DIM_MATERIAL[MATERIAL_ID],DIM_MATERIAL[UOM_AFTER_PROCESS])</f>
        <v>BALE</v>
      </c>
      <c r="E1755">
        <v>79</v>
      </c>
    </row>
    <row r="1756" spans="1:5" x14ac:dyDescent="0.2">
      <c r="A1756" s="3">
        <v>45845</v>
      </c>
      <c r="B1756" t="s">
        <v>2</v>
      </c>
      <c r="C1756">
        <v>1</v>
      </c>
      <c r="D1756" t="str">
        <f>_xlfn.XLOOKUP(RW_DT_PRODUCTION[[#This Row],[MATERIAL_ID]],DIM_MATERIAL[MATERIAL_ID],DIM_MATERIAL[UOM_AFTER_PROCESS])</f>
        <v>BAG</v>
      </c>
      <c r="E1756">
        <v>22</v>
      </c>
    </row>
    <row r="1757" spans="1:5" x14ac:dyDescent="0.2">
      <c r="A1757" s="3">
        <v>45845</v>
      </c>
      <c r="B1757" t="s">
        <v>2</v>
      </c>
      <c r="C1757">
        <v>1</v>
      </c>
      <c r="D1757" t="str">
        <f>_xlfn.XLOOKUP(RW_DT_PRODUCTION[[#This Row],[MATERIAL_ID]],DIM_MATERIAL[MATERIAL_ID],DIM_MATERIAL[UOM_AFTER_PROCESS])</f>
        <v>BAG</v>
      </c>
      <c r="E1757">
        <v>22</v>
      </c>
    </row>
    <row r="1758" spans="1:5" x14ac:dyDescent="0.2">
      <c r="A1758" s="3">
        <v>45846</v>
      </c>
      <c r="B1758" t="s">
        <v>1</v>
      </c>
      <c r="C1758">
        <v>1</v>
      </c>
      <c r="D1758" t="str">
        <f>_xlfn.XLOOKUP(RW_DT_PRODUCTION[[#This Row],[MATERIAL_ID]],DIM_MATERIAL[MATERIAL_ID],DIM_MATERIAL[UOM_AFTER_PROCESS])</f>
        <v>BALE</v>
      </c>
      <c r="E1758">
        <v>65</v>
      </c>
    </row>
    <row r="1759" spans="1:5" x14ac:dyDescent="0.2">
      <c r="A1759" s="3">
        <v>45846</v>
      </c>
      <c r="B1759" t="s">
        <v>1</v>
      </c>
      <c r="C1759">
        <v>1</v>
      </c>
      <c r="D1759" t="str">
        <f>_xlfn.XLOOKUP(RW_DT_PRODUCTION[[#This Row],[MATERIAL_ID]],DIM_MATERIAL[MATERIAL_ID],DIM_MATERIAL[UOM_AFTER_PROCESS])</f>
        <v>BALE</v>
      </c>
      <c r="E1759">
        <v>72</v>
      </c>
    </row>
    <row r="1760" spans="1:5" x14ac:dyDescent="0.2">
      <c r="A1760" s="3">
        <v>45846</v>
      </c>
      <c r="B1760" t="s">
        <v>1</v>
      </c>
      <c r="C1760">
        <v>1</v>
      </c>
      <c r="D1760" t="str">
        <f>_xlfn.XLOOKUP(RW_DT_PRODUCTION[[#This Row],[MATERIAL_ID]],DIM_MATERIAL[MATERIAL_ID],DIM_MATERIAL[UOM_AFTER_PROCESS])</f>
        <v>BALE</v>
      </c>
      <c r="E1760">
        <v>77</v>
      </c>
    </row>
    <row r="1761" spans="1:5" x14ac:dyDescent="0.2">
      <c r="A1761" s="3">
        <v>45846</v>
      </c>
      <c r="B1761" t="s">
        <v>1</v>
      </c>
      <c r="C1761">
        <v>1</v>
      </c>
      <c r="D1761" t="str">
        <f>_xlfn.XLOOKUP(RW_DT_PRODUCTION[[#This Row],[MATERIAL_ID]],DIM_MATERIAL[MATERIAL_ID],DIM_MATERIAL[UOM_AFTER_PROCESS])</f>
        <v>BALE</v>
      </c>
      <c r="E1761">
        <v>81</v>
      </c>
    </row>
    <row r="1762" spans="1:5" x14ac:dyDescent="0.2">
      <c r="A1762" s="3">
        <v>45846</v>
      </c>
      <c r="B1762" t="s">
        <v>2</v>
      </c>
      <c r="C1762">
        <v>1</v>
      </c>
      <c r="D1762" t="str">
        <f>_xlfn.XLOOKUP(RW_DT_PRODUCTION[[#This Row],[MATERIAL_ID]],DIM_MATERIAL[MATERIAL_ID],DIM_MATERIAL[UOM_AFTER_PROCESS])</f>
        <v>BAG</v>
      </c>
      <c r="E1762">
        <v>22</v>
      </c>
    </row>
    <row r="1763" spans="1:5" x14ac:dyDescent="0.2">
      <c r="A1763" s="3">
        <v>45846</v>
      </c>
      <c r="B1763" t="s">
        <v>2</v>
      </c>
      <c r="C1763">
        <v>1</v>
      </c>
      <c r="D1763" t="str">
        <f>_xlfn.XLOOKUP(RW_DT_PRODUCTION[[#This Row],[MATERIAL_ID]],DIM_MATERIAL[MATERIAL_ID],DIM_MATERIAL[UOM_AFTER_PROCESS])</f>
        <v>BAG</v>
      </c>
      <c r="E1763">
        <v>22</v>
      </c>
    </row>
    <row r="1764" spans="1:5" x14ac:dyDescent="0.2">
      <c r="A1764" s="3">
        <v>45847</v>
      </c>
      <c r="B1764" t="s">
        <v>1</v>
      </c>
      <c r="C1764">
        <v>1</v>
      </c>
      <c r="D1764" t="str">
        <f>_xlfn.XLOOKUP(RW_DT_PRODUCTION[[#This Row],[MATERIAL_ID]],DIM_MATERIAL[MATERIAL_ID],DIM_MATERIAL[UOM_AFTER_PROCESS])</f>
        <v>BALE</v>
      </c>
      <c r="E1764">
        <v>89</v>
      </c>
    </row>
    <row r="1765" spans="1:5" x14ac:dyDescent="0.2">
      <c r="A1765" s="3">
        <v>45847</v>
      </c>
      <c r="B1765" t="s">
        <v>1</v>
      </c>
      <c r="C1765">
        <v>1</v>
      </c>
      <c r="D1765" t="str">
        <f>_xlfn.XLOOKUP(RW_DT_PRODUCTION[[#This Row],[MATERIAL_ID]],DIM_MATERIAL[MATERIAL_ID],DIM_MATERIAL[UOM_AFTER_PROCESS])</f>
        <v>BALE</v>
      </c>
      <c r="E1765">
        <v>86</v>
      </c>
    </row>
    <row r="1766" spans="1:5" x14ac:dyDescent="0.2">
      <c r="A1766" s="3">
        <v>45847</v>
      </c>
      <c r="B1766" t="s">
        <v>1</v>
      </c>
      <c r="C1766">
        <v>1</v>
      </c>
      <c r="D1766" t="str">
        <f>_xlfn.XLOOKUP(RW_DT_PRODUCTION[[#This Row],[MATERIAL_ID]],DIM_MATERIAL[MATERIAL_ID],DIM_MATERIAL[UOM_AFTER_PROCESS])</f>
        <v>BALE</v>
      </c>
      <c r="E1766">
        <v>66</v>
      </c>
    </row>
    <row r="1767" spans="1:5" x14ac:dyDescent="0.2">
      <c r="A1767" s="3">
        <v>45847</v>
      </c>
      <c r="B1767" t="s">
        <v>1</v>
      </c>
      <c r="C1767">
        <v>1</v>
      </c>
      <c r="D1767" t="str">
        <f>_xlfn.XLOOKUP(RW_DT_PRODUCTION[[#This Row],[MATERIAL_ID]],DIM_MATERIAL[MATERIAL_ID],DIM_MATERIAL[UOM_AFTER_PROCESS])</f>
        <v>BALE</v>
      </c>
      <c r="E1767">
        <v>62</v>
      </c>
    </row>
    <row r="1768" spans="1:5" x14ac:dyDescent="0.2">
      <c r="A1768" s="3">
        <v>45847</v>
      </c>
      <c r="B1768" t="s">
        <v>1</v>
      </c>
      <c r="C1768">
        <v>1</v>
      </c>
      <c r="D1768" t="str">
        <f>_xlfn.XLOOKUP(RW_DT_PRODUCTION[[#This Row],[MATERIAL_ID]],DIM_MATERIAL[MATERIAL_ID],DIM_MATERIAL[UOM_AFTER_PROCESS])</f>
        <v>BALE</v>
      </c>
      <c r="E1768">
        <v>82</v>
      </c>
    </row>
    <row r="1769" spans="1:5" x14ac:dyDescent="0.2">
      <c r="A1769" s="3">
        <v>45847</v>
      </c>
      <c r="B1769" t="s">
        <v>1</v>
      </c>
      <c r="C1769">
        <v>1</v>
      </c>
      <c r="D1769" t="str">
        <f>_xlfn.XLOOKUP(RW_DT_PRODUCTION[[#This Row],[MATERIAL_ID]],DIM_MATERIAL[MATERIAL_ID],DIM_MATERIAL[UOM_AFTER_PROCESS])</f>
        <v>BALE</v>
      </c>
      <c r="E1769">
        <v>62</v>
      </c>
    </row>
    <row r="1770" spans="1:5" x14ac:dyDescent="0.2">
      <c r="A1770" s="3">
        <v>45847</v>
      </c>
      <c r="B1770" t="s">
        <v>1</v>
      </c>
      <c r="C1770">
        <v>1</v>
      </c>
      <c r="D1770" t="str">
        <f>_xlfn.XLOOKUP(RW_DT_PRODUCTION[[#This Row],[MATERIAL_ID]],DIM_MATERIAL[MATERIAL_ID],DIM_MATERIAL[UOM_AFTER_PROCESS])</f>
        <v>BALE</v>
      </c>
      <c r="E1770">
        <v>62</v>
      </c>
    </row>
    <row r="1771" spans="1:5" x14ac:dyDescent="0.2">
      <c r="A1771" s="3">
        <v>45849</v>
      </c>
      <c r="B1771" t="s">
        <v>1</v>
      </c>
      <c r="C1771">
        <v>1</v>
      </c>
      <c r="D1771" t="str">
        <f>_xlfn.XLOOKUP(RW_DT_PRODUCTION[[#This Row],[MATERIAL_ID]],DIM_MATERIAL[MATERIAL_ID],DIM_MATERIAL[UOM_AFTER_PROCESS])</f>
        <v>BALE</v>
      </c>
      <c r="E1771">
        <v>77</v>
      </c>
    </row>
    <row r="1772" spans="1:5" x14ac:dyDescent="0.2">
      <c r="A1772" s="3">
        <v>45849</v>
      </c>
      <c r="B1772" t="s">
        <v>1</v>
      </c>
      <c r="C1772">
        <v>1</v>
      </c>
      <c r="D1772" t="str">
        <f>_xlfn.XLOOKUP(RW_DT_PRODUCTION[[#This Row],[MATERIAL_ID]],DIM_MATERIAL[MATERIAL_ID],DIM_MATERIAL[UOM_AFTER_PROCESS])</f>
        <v>BALE</v>
      </c>
      <c r="E1772">
        <v>84</v>
      </c>
    </row>
    <row r="1773" spans="1:5" x14ac:dyDescent="0.2">
      <c r="A1773" s="3">
        <v>45849</v>
      </c>
      <c r="B1773" t="s">
        <v>1</v>
      </c>
      <c r="C1773">
        <v>1</v>
      </c>
      <c r="D1773" t="str">
        <f>_xlfn.XLOOKUP(RW_DT_PRODUCTION[[#This Row],[MATERIAL_ID]],DIM_MATERIAL[MATERIAL_ID],DIM_MATERIAL[UOM_AFTER_PROCESS])</f>
        <v>BALE</v>
      </c>
      <c r="E1773">
        <v>89</v>
      </c>
    </row>
    <row r="1774" spans="1:5" x14ac:dyDescent="0.2">
      <c r="A1774" s="3">
        <v>45849</v>
      </c>
      <c r="B1774" t="s">
        <v>1</v>
      </c>
      <c r="C1774">
        <v>1</v>
      </c>
      <c r="D1774" t="str">
        <f>_xlfn.XLOOKUP(RW_DT_PRODUCTION[[#This Row],[MATERIAL_ID]],DIM_MATERIAL[MATERIAL_ID],DIM_MATERIAL[UOM_AFTER_PROCESS])</f>
        <v>BALE</v>
      </c>
      <c r="E1774">
        <v>64</v>
      </c>
    </row>
    <row r="1775" spans="1:5" x14ac:dyDescent="0.2">
      <c r="A1775" s="3">
        <v>45849</v>
      </c>
      <c r="B1775" t="s">
        <v>1</v>
      </c>
      <c r="C1775">
        <v>1</v>
      </c>
      <c r="D1775" t="str">
        <f>_xlfn.XLOOKUP(RW_DT_PRODUCTION[[#This Row],[MATERIAL_ID]],DIM_MATERIAL[MATERIAL_ID],DIM_MATERIAL[UOM_AFTER_PROCESS])</f>
        <v>BALE</v>
      </c>
      <c r="E1775">
        <v>79</v>
      </c>
    </row>
    <row r="1776" spans="1:5" x14ac:dyDescent="0.2">
      <c r="A1776" s="3">
        <v>45849</v>
      </c>
      <c r="B1776" t="s">
        <v>1</v>
      </c>
      <c r="C1776">
        <v>1</v>
      </c>
      <c r="D1776" t="str">
        <f>_xlfn.XLOOKUP(RW_DT_PRODUCTION[[#This Row],[MATERIAL_ID]],DIM_MATERIAL[MATERIAL_ID],DIM_MATERIAL[UOM_AFTER_PROCESS])</f>
        <v>BALE</v>
      </c>
      <c r="E1776">
        <v>61</v>
      </c>
    </row>
    <row r="1777" spans="1:5" x14ac:dyDescent="0.2">
      <c r="A1777" s="3">
        <v>45849</v>
      </c>
      <c r="B1777" t="s">
        <v>1</v>
      </c>
      <c r="C1777">
        <v>1</v>
      </c>
      <c r="D1777" t="str">
        <f>_xlfn.XLOOKUP(RW_DT_PRODUCTION[[#This Row],[MATERIAL_ID]],DIM_MATERIAL[MATERIAL_ID],DIM_MATERIAL[UOM_AFTER_PROCESS])</f>
        <v>BALE</v>
      </c>
      <c r="E1777">
        <v>67</v>
      </c>
    </row>
    <row r="1778" spans="1:5" x14ac:dyDescent="0.2">
      <c r="A1778" s="3">
        <v>45853</v>
      </c>
      <c r="B1778" t="s">
        <v>1</v>
      </c>
      <c r="C1778">
        <v>1</v>
      </c>
      <c r="D1778" t="str">
        <f>_xlfn.XLOOKUP(RW_DT_PRODUCTION[[#This Row],[MATERIAL_ID]],DIM_MATERIAL[MATERIAL_ID],DIM_MATERIAL[UOM_AFTER_PROCESS])</f>
        <v>BALE</v>
      </c>
      <c r="E1778">
        <v>83</v>
      </c>
    </row>
    <row r="1779" spans="1:5" x14ac:dyDescent="0.2">
      <c r="A1779" s="3">
        <v>45853</v>
      </c>
      <c r="B1779" t="s">
        <v>1</v>
      </c>
      <c r="C1779">
        <v>1</v>
      </c>
      <c r="D1779" t="str">
        <f>_xlfn.XLOOKUP(RW_DT_PRODUCTION[[#This Row],[MATERIAL_ID]],DIM_MATERIAL[MATERIAL_ID],DIM_MATERIAL[UOM_AFTER_PROCESS])</f>
        <v>BALE</v>
      </c>
      <c r="E1779">
        <v>84</v>
      </c>
    </row>
    <row r="1780" spans="1:5" x14ac:dyDescent="0.2">
      <c r="A1780" s="3">
        <v>45853</v>
      </c>
      <c r="B1780" t="s">
        <v>1</v>
      </c>
      <c r="C1780">
        <v>1</v>
      </c>
      <c r="D1780" t="str">
        <f>_xlfn.XLOOKUP(RW_DT_PRODUCTION[[#This Row],[MATERIAL_ID]],DIM_MATERIAL[MATERIAL_ID],DIM_MATERIAL[UOM_AFTER_PROCESS])</f>
        <v>BALE</v>
      </c>
      <c r="E1780">
        <v>69</v>
      </c>
    </row>
    <row r="1781" spans="1:5" x14ac:dyDescent="0.2">
      <c r="A1781" s="3">
        <v>45853</v>
      </c>
      <c r="B1781" t="s">
        <v>1</v>
      </c>
      <c r="C1781">
        <v>1</v>
      </c>
      <c r="D1781" t="str">
        <f>_xlfn.XLOOKUP(RW_DT_PRODUCTION[[#This Row],[MATERIAL_ID]],DIM_MATERIAL[MATERIAL_ID],DIM_MATERIAL[UOM_AFTER_PROCESS])</f>
        <v>BALE</v>
      </c>
      <c r="E1781">
        <v>60</v>
      </c>
    </row>
    <row r="1782" spans="1:5" x14ac:dyDescent="0.2">
      <c r="A1782" s="3">
        <v>45853</v>
      </c>
      <c r="B1782" t="s">
        <v>1</v>
      </c>
      <c r="C1782">
        <v>1</v>
      </c>
      <c r="D1782" t="str">
        <f>_xlfn.XLOOKUP(RW_DT_PRODUCTION[[#This Row],[MATERIAL_ID]],DIM_MATERIAL[MATERIAL_ID],DIM_MATERIAL[UOM_AFTER_PROCESS])</f>
        <v>BALE</v>
      </c>
      <c r="E1782">
        <v>66</v>
      </c>
    </row>
    <row r="1783" spans="1:5" x14ac:dyDescent="0.2">
      <c r="A1783" s="3">
        <v>45854</v>
      </c>
      <c r="B1783" t="s">
        <v>1</v>
      </c>
      <c r="C1783">
        <v>1</v>
      </c>
      <c r="D1783" t="str">
        <f>_xlfn.XLOOKUP(RW_DT_PRODUCTION[[#This Row],[MATERIAL_ID]],DIM_MATERIAL[MATERIAL_ID],DIM_MATERIAL[UOM_AFTER_PROCESS])</f>
        <v>BALE</v>
      </c>
      <c r="E1783">
        <v>77</v>
      </c>
    </row>
    <row r="1784" spans="1:5" x14ac:dyDescent="0.2">
      <c r="A1784" s="3">
        <v>45854</v>
      </c>
      <c r="B1784" t="s">
        <v>1</v>
      </c>
      <c r="C1784">
        <v>1</v>
      </c>
      <c r="D1784" t="str">
        <f>_xlfn.XLOOKUP(RW_DT_PRODUCTION[[#This Row],[MATERIAL_ID]],DIM_MATERIAL[MATERIAL_ID],DIM_MATERIAL[UOM_AFTER_PROCESS])</f>
        <v>BALE</v>
      </c>
      <c r="E1784">
        <v>83</v>
      </c>
    </row>
    <row r="1785" spans="1:5" x14ac:dyDescent="0.2">
      <c r="A1785" s="3">
        <v>45854</v>
      </c>
      <c r="B1785" t="s">
        <v>1</v>
      </c>
      <c r="C1785">
        <v>1</v>
      </c>
      <c r="D1785" t="str">
        <f>_xlfn.XLOOKUP(RW_DT_PRODUCTION[[#This Row],[MATERIAL_ID]],DIM_MATERIAL[MATERIAL_ID],DIM_MATERIAL[UOM_AFTER_PROCESS])</f>
        <v>BALE</v>
      </c>
      <c r="E1785">
        <v>85</v>
      </c>
    </row>
    <row r="1786" spans="1:5" x14ac:dyDescent="0.2">
      <c r="A1786" s="3">
        <v>45854</v>
      </c>
      <c r="B1786" t="s">
        <v>1</v>
      </c>
      <c r="C1786">
        <v>1</v>
      </c>
      <c r="D1786" t="str">
        <f>_xlfn.XLOOKUP(RW_DT_PRODUCTION[[#This Row],[MATERIAL_ID]],DIM_MATERIAL[MATERIAL_ID],DIM_MATERIAL[UOM_AFTER_PROCESS])</f>
        <v>BALE</v>
      </c>
      <c r="E1786">
        <v>87</v>
      </c>
    </row>
    <row r="1787" spans="1:5" x14ac:dyDescent="0.2">
      <c r="A1787" s="3">
        <v>45854</v>
      </c>
      <c r="B1787" t="s">
        <v>1</v>
      </c>
      <c r="C1787">
        <v>1</v>
      </c>
      <c r="D1787" t="str">
        <f>_xlfn.XLOOKUP(RW_DT_PRODUCTION[[#This Row],[MATERIAL_ID]],DIM_MATERIAL[MATERIAL_ID],DIM_MATERIAL[UOM_AFTER_PROCESS])</f>
        <v>BALE</v>
      </c>
      <c r="E1787">
        <v>67</v>
      </c>
    </row>
    <row r="1788" spans="1:5" x14ac:dyDescent="0.2">
      <c r="A1788" s="3">
        <v>45854</v>
      </c>
      <c r="B1788" t="s">
        <v>1</v>
      </c>
      <c r="C1788">
        <v>1</v>
      </c>
      <c r="D1788" t="str">
        <f>_xlfn.XLOOKUP(RW_DT_PRODUCTION[[#This Row],[MATERIAL_ID]],DIM_MATERIAL[MATERIAL_ID],DIM_MATERIAL[UOM_AFTER_PROCESS])</f>
        <v>BALE</v>
      </c>
      <c r="E1788">
        <v>64</v>
      </c>
    </row>
    <row r="1789" spans="1:5" x14ac:dyDescent="0.2">
      <c r="A1789" s="3">
        <v>45854</v>
      </c>
      <c r="B1789" t="s">
        <v>1</v>
      </c>
      <c r="C1789">
        <v>1</v>
      </c>
      <c r="D1789" t="str">
        <f>_xlfn.XLOOKUP(RW_DT_PRODUCTION[[#This Row],[MATERIAL_ID]],DIM_MATERIAL[MATERIAL_ID],DIM_MATERIAL[UOM_AFTER_PROCESS])</f>
        <v>BALE</v>
      </c>
      <c r="E1789">
        <v>68</v>
      </c>
    </row>
    <row r="1790" spans="1:5" x14ac:dyDescent="0.2">
      <c r="A1790" s="3">
        <v>45855</v>
      </c>
      <c r="B1790" t="s">
        <v>1</v>
      </c>
      <c r="C1790">
        <v>1</v>
      </c>
      <c r="D1790" t="str">
        <f>_xlfn.XLOOKUP(RW_DT_PRODUCTION[[#This Row],[MATERIAL_ID]],DIM_MATERIAL[MATERIAL_ID],DIM_MATERIAL[UOM_AFTER_PROCESS])</f>
        <v>BALE</v>
      </c>
      <c r="E1790">
        <v>88</v>
      </c>
    </row>
    <row r="1791" spans="1:5" x14ac:dyDescent="0.2">
      <c r="A1791" s="3">
        <v>45855</v>
      </c>
      <c r="B1791" t="s">
        <v>1</v>
      </c>
      <c r="C1791">
        <v>1</v>
      </c>
      <c r="D1791" t="str">
        <f>_xlfn.XLOOKUP(RW_DT_PRODUCTION[[#This Row],[MATERIAL_ID]],DIM_MATERIAL[MATERIAL_ID],DIM_MATERIAL[UOM_AFTER_PROCESS])</f>
        <v>BALE</v>
      </c>
      <c r="E1791">
        <v>84</v>
      </c>
    </row>
    <row r="1792" spans="1:5" x14ac:dyDescent="0.2">
      <c r="A1792" s="3">
        <v>45855</v>
      </c>
      <c r="B1792" t="s">
        <v>1</v>
      </c>
      <c r="C1792">
        <v>1</v>
      </c>
      <c r="D1792" t="str">
        <f>_xlfn.XLOOKUP(RW_DT_PRODUCTION[[#This Row],[MATERIAL_ID]],DIM_MATERIAL[MATERIAL_ID],DIM_MATERIAL[UOM_AFTER_PROCESS])</f>
        <v>BALE</v>
      </c>
      <c r="E1792">
        <v>82</v>
      </c>
    </row>
    <row r="1793" spans="1:5" x14ac:dyDescent="0.2">
      <c r="A1793" s="3">
        <v>45855</v>
      </c>
      <c r="B1793" t="s">
        <v>1</v>
      </c>
      <c r="C1793">
        <v>1</v>
      </c>
      <c r="D1793" t="str">
        <f>_xlfn.XLOOKUP(RW_DT_PRODUCTION[[#This Row],[MATERIAL_ID]],DIM_MATERIAL[MATERIAL_ID],DIM_MATERIAL[UOM_AFTER_PROCESS])</f>
        <v>BALE</v>
      </c>
      <c r="E1793">
        <v>61</v>
      </c>
    </row>
    <row r="1794" spans="1:5" x14ac:dyDescent="0.2">
      <c r="A1794" s="3">
        <v>45855</v>
      </c>
      <c r="B1794" t="s">
        <v>1</v>
      </c>
      <c r="C1794">
        <v>1</v>
      </c>
      <c r="D1794" t="str">
        <f>_xlfn.XLOOKUP(RW_DT_PRODUCTION[[#This Row],[MATERIAL_ID]],DIM_MATERIAL[MATERIAL_ID],DIM_MATERIAL[UOM_AFTER_PROCESS])</f>
        <v>BALE</v>
      </c>
      <c r="E1794">
        <v>77</v>
      </c>
    </row>
    <row r="1795" spans="1:5" x14ac:dyDescent="0.2">
      <c r="A1795" s="3">
        <v>45855</v>
      </c>
      <c r="B1795" t="s">
        <v>2</v>
      </c>
      <c r="C1795">
        <v>1</v>
      </c>
      <c r="D1795" t="str">
        <f>_xlfn.XLOOKUP(RW_DT_PRODUCTION[[#This Row],[MATERIAL_ID]],DIM_MATERIAL[MATERIAL_ID],DIM_MATERIAL[UOM_AFTER_PROCESS])</f>
        <v>BAG</v>
      </c>
      <c r="E1795">
        <v>22</v>
      </c>
    </row>
    <row r="1796" spans="1:5" x14ac:dyDescent="0.2">
      <c r="A1796" s="3">
        <v>45855</v>
      </c>
      <c r="B1796" t="s">
        <v>2</v>
      </c>
      <c r="C1796">
        <v>1</v>
      </c>
      <c r="D1796" t="str">
        <f>_xlfn.XLOOKUP(RW_DT_PRODUCTION[[#This Row],[MATERIAL_ID]],DIM_MATERIAL[MATERIAL_ID],DIM_MATERIAL[UOM_AFTER_PROCESS])</f>
        <v>BAG</v>
      </c>
      <c r="E1796">
        <v>22</v>
      </c>
    </row>
    <row r="1797" spans="1:5" x14ac:dyDescent="0.2">
      <c r="A1797" s="3">
        <v>45855</v>
      </c>
      <c r="B1797" t="s">
        <v>2</v>
      </c>
      <c r="C1797">
        <v>1</v>
      </c>
      <c r="D1797" t="str">
        <f>_xlfn.XLOOKUP(RW_DT_PRODUCTION[[#This Row],[MATERIAL_ID]],DIM_MATERIAL[MATERIAL_ID],DIM_MATERIAL[UOM_AFTER_PROCESS])</f>
        <v>BAG</v>
      </c>
      <c r="E1797">
        <v>22</v>
      </c>
    </row>
    <row r="1798" spans="1:5" x14ac:dyDescent="0.2">
      <c r="A1798" s="3">
        <v>45855</v>
      </c>
      <c r="B1798" t="s">
        <v>2</v>
      </c>
      <c r="C1798">
        <v>1</v>
      </c>
      <c r="D1798" t="str">
        <f>_xlfn.XLOOKUP(RW_DT_PRODUCTION[[#This Row],[MATERIAL_ID]],DIM_MATERIAL[MATERIAL_ID],DIM_MATERIAL[UOM_AFTER_PROCESS])</f>
        <v>BAG</v>
      </c>
      <c r="E1798">
        <v>22</v>
      </c>
    </row>
    <row r="1799" spans="1:5" x14ac:dyDescent="0.2">
      <c r="A1799" s="3">
        <v>45855</v>
      </c>
      <c r="B1799" t="s">
        <v>2</v>
      </c>
      <c r="C1799">
        <v>1</v>
      </c>
      <c r="D1799" t="str">
        <f>_xlfn.XLOOKUP(RW_DT_PRODUCTION[[#This Row],[MATERIAL_ID]],DIM_MATERIAL[MATERIAL_ID],DIM_MATERIAL[UOM_AFTER_PROCESS])</f>
        <v>BAG</v>
      </c>
      <c r="E1799">
        <v>22</v>
      </c>
    </row>
    <row r="1800" spans="1:5" x14ac:dyDescent="0.2">
      <c r="A1800" s="3">
        <v>45855</v>
      </c>
      <c r="B1800" t="s">
        <v>2</v>
      </c>
      <c r="C1800">
        <v>1</v>
      </c>
      <c r="D1800" t="str">
        <f>_xlfn.XLOOKUP(RW_DT_PRODUCTION[[#This Row],[MATERIAL_ID]],DIM_MATERIAL[MATERIAL_ID],DIM_MATERIAL[UOM_AFTER_PROCESS])</f>
        <v>BAG</v>
      </c>
      <c r="E1800">
        <v>22</v>
      </c>
    </row>
    <row r="1801" spans="1:5" x14ac:dyDescent="0.2">
      <c r="A1801" s="3">
        <v>45855</v>
      </c>
      <c r="B1801" t="s">
        <v>2</v>
      </c>
      <c r="C1801">
        <v>1</v>
      </c>
      <c r="D1801" t="str">
        <f>_xlfn.XLOOKUP(RW_DT_PRODUCTION[[#This Row],[MATERIAL_ID]],DIM_MATERIAL[MATERIAL_ID],DIM_MATERIAL[UOM_AFTER_PROCESS])</f>
        <v>BAG</v>
      </c>
      <c r="E1801">
        <v>22</v>
      </c>
    </row>
    <row r="1802" spans="1:5" x14ac:dyDescent="0.2">
      <c r="A1802" s="3">
        <v>45855</v>
      </c>
      <c r="B1802" t="s">
        <v>2</v>
      </c>
      <c r="C1802">
        <v>1</v>
      </c>
      <c r="D1802" t="str">
        <f>_xlfn.XLOOKUP(RW_DT_PRODUCTION[[#This Row],[MATERIAL_ID]],DIM_MATERIAL[MATERIAL_ID],DIM_MATERIAL[UOM_AFTER_PROCESS])</f>
        <v>BAG</v>
      </c>
      <c r="E1802">
        <v>22</v>
      </c>
    </row>
    <row r="1803" spans="1:5" x14ac:dyDescent="0.2">
      <c r="A1803" s="3">
        <v>45856</v>
      </c>
      <c r="B1803" t="s">
        <v>1</v>
      </c>
      <c r="C1803">
        <v>1</v>
      </c>
      <c r="D1803" t="str">
        <f>_xlfn.XLOOKUP(RW_DT_PRODUCTION[[#This Row],[MATERIAL_ID]],DIM_MATERIAL[MATERIAL_ID],DIM_MATERIAL[UOM_AFTER_PROCESS])</f>
        <v>BALE</v>
      </c>
      <c r="E1803">
        <v>70</v>
      </c>
    </row>
    <row r="1804" spans="1:5" x14ac:dyDescent="0.2">
      <c r="A1804" s="3">
        <v>45856</v>
      </c>
      <c r="B1804" t="s">
        <v>1</v>
      </c>
      <c r="C1804">
        <v>1</v>
      </c>
      <c r="D1804" t="str">
        <f>_xlfn.XLOOKUP(RW_DT_PRODUCTION[[#This Row],[MATERIAL_ID]],DIM_MATERIAL[MATERIAL_ID],DIM_MATERIAL[UOM_AFTER_PROCESS])</f>
        <v>BALE</v>
      </c>
      <c r="E1804">
        <v>70</v>
      </c>
    </row>
    <row r="1805" spans="1:5" x14ac:dyDescent="0.2">
      <c r="A1805" s="3">
        <v>45856</v>
      </c>
      <c r="B1805" t="s">
        <v>1</v>
      </c>
      <c r="C1805">
        <v>1</v>
      </c>
      <c r="D1805" t="str">
        <f>_xlfn.XLOOKUP(RW_DT_PRODUCTION[[#This Row],[MATERIAL_ID]],DIM_MATERIAL[MATERIAL_ID],DIM_MATERIAL[UOM_AFTER_PROCESS])</f>
        <v>BALE</v>
      </c>
      <c r="E1805">
        <v>62</v>
      </c>
    </row>
    <row r="1806" spans="1:5" x14ac:dyDescent="0.2">
      <c r="A1806" s="3">
        <v>45856</v>
      </c>
      <c r="B1806" t="s">
        <v>1</v>
      </c>
      <c r="C1806">
        <v>1</v>
      </c>
      <c r="D1806" t="str">
        <f>_xlfn.XLOOKUP(RW_DT_PRODUCTION[[#This Row],[MATERIAL_ID]],DIM_MATERIAL[MATERIAL_ID],DIM_MATERIAL[UOM_AFTER_PROCESS])</f>
        <v>BALE</v>
      </c>
      <c r="E1806">
        <v>79</v>
      </c>
    </row>
    <row r="1807" spans="1:5" x14ac:dyDescent="0.2">
      <c r="A1807" s="3">
        <v>45856</v>
      </c>
      <c r="B1807" t="s">
        <v>1</v>
      </c>
      <c r="C1807">
        <v>1</v>
      </c>
      <c r="D1807" t="str">
        <f>_xlfn.XLOOKUP(RW_DT_PRODUCTION[[#This Row],[MATERIAL_ID]],DIM_MATERIAL[MATERIAL_ID],DIM_MATERIAL[UOM_AFTER_PROCESS])</f>
        <v>BALE</v>
      </c>
      <c r="E1807">
        <v>83</v>
      </c>
    </row>
    <row r="1808" spans="1:5" x14ac:dyDescent="0.2">
      <c r="A1808" s="3">
        <v>45856</v>
      </c>
      <c r="B1808" t="s">
        <v>1</v>
      </c>
      <c r="C1808">
        <v>1</v>
      </c>
      <c r="D1808" t="str">
        <f>_xlfn.XLOOKUP(RW_DT_PRODUCTION[[#This Row],[MATERIAL_ID]],DIM_MATERIAL[MATERIAL_ID],DIM_MATERIAL[UOM_AFTER_PROCESS])</f>
        <v>BALE</v>
      </c>
      <c r="E1808">
        <v>79</v>
      </c>
    </row>
    <row r="1809" spans="1:5" x14ac:dyDescent="0.2">
      <c r="A1809" s="3">
        <v>45856</v>
      </c>
      <c r="B1809" t="s">
        <v>1</v>
      </c>
      <c r="C1809">
        <v>1</v>
      </c>
      <c r="D1809" t="str">
        <f>_xlfn.XLOOKUP(RW_DT_PRODUCTION[[#This Row],[MATERIAL_ID]],DIM_MATERIAL[MATERIAL_ID],DIM_MATERIAL[UOM_AFTER_PROCESS])</f>
        <v>BALE</v>
      </c>
      <c r="E1809">
        <v>72</v>
      </c>
    </row>
    <row r="1810" spans="1:5" x14ac:dyDescent="0.2">
      <c r="A1810" s="3">
        <v>45856</v>
      </c>
      <c r="B1810" t="s">
        <v>2</v>
      </c>
      <c r="C1810">
        <v>1</v>
      </c>
      <c r="D1810" t="str">
        <f>_xlfn.XLOOKUP(RW_DT_PRODUCTION[[#This Row],[MATERIAL_ID]],DIM_MATERIAL[MATERIAL_ID],DIM_MATERIAL[UOM_AFTER_PROCESS])</f>
        <v>BAG</v>
      </c>
      <c r="E1810">
        <v>22</v>
      </c>
    </row>
    <row r="1811" spans="1:5" x14ac:dyDescent="0.2">
      <c r="A1811" s="3">
        <v>45856</v>
      </c>
      <c r="B1811" t="s">
        <v>2</v>
      </c>
      <c r="C1811">
        <v>1</v>
      </c>
      <c r="D1811" t="str">
        <f>_xlfn.XLOOKUP(RW_DT_PRODUCTION[[#This Row],[MATERIAL_ID]],DIM_MATERIAL[MATERIAL_ID],DIM_MATERIAL[UOM_AFTER_PROCESS])</f>
        <v>BAG</v>
      </c>
      <c r="E1811">
        <v>22</v>
      </c>
    </row>
    <row r="1812" spans="1:5" x14ac:dyDescent="0.2">
      <c r="A1812" s="3">
        <v>45856</v>
      </c>
      <c r="B1812" t="s">
        <v>2</v>
      </c>
      <c r="C1812">
        <v>1</v>
      </c>
      <c r="D1812" t="str">
        <f>_xlfn.XLOOKUP(RW_DT_PRODUCTION[[#This Row],[MATERIAL_ID]],DIM_MATERIAL[MATERIAL_ID],DIM_MATERIAL[UOM_AFTER_PROCESS])</f>
        <v>BAG</v>
      </c>
      <c r="E1812">
        <v>22</v>
      </c>
    </row>
    <row r="1813" spans="1:5" x14ac:dyDescent="0.2">
      <c r="A1813" s="3">
        <v>45857</v>
      </c>
      <c r="B1813" t="s">
        <v>1</v>
      </c>
      <c r="C1813">
        <v>1</v>
      </c>
      <c r="D1813" t="str">
        <f>_xlfn.XLOOKUP(RW_DT_PRODUCTION[[#This Row],[MATERIAL_ID]],DIM_MATERIAL[MATERIAL_ID],DIM_MATERIAL[UOM_AFTER_PROCESS])</f>
        <v>BALE</v>
      </c>
      <c r="E1813">
        <v>89</v>
      </c>
    </row>
    <row r="1814" spans="1:5" x14ac:dyDescent="0.2">
      <c r="A1814" s="3">
        <v>45857</v>
      </c>
      <c r="B1814" t="s">
        <v>1</v>
      </c>
      <c r="C1814">
        <v>1</v>
      </c>
      <c r="D1814" t="str">
        <f>_xlfn.XLOOKUP(RW_DT_PRODUCTION[[#This Row],[MATERIAL_ID]],DIM_MATERIAL[MATERIAL_ID],DIM_MATERIAL[UOM_AFTER_PROCESS])</f>
        <v>BALE</v>
      </c>
      <c r="E1814">
        <v>85</v>
      </c>
    </row>
    <row r="1815" spans="1:5" x14ac:dyDescent="0.2">
      <c r="A1815" s="3">
        <v>45857</v>
      </c>
      <c r="B1815" t="s">
        <v>1</v>
      </c>
      <c r="C1815">
        <v>1</v>
      </c>
      <c r="D1815" t="str">
        <f>_xlfn.XLOOKUP(RW_DT_PRODUCTION[[#This Row],[MATERIAL_ID]],DIM_MATERIAL[MATERIAL_ID],DIM_MATERIAL[UOM_AFTER_PROCESS])</f>
        <v>BALE</v>
      </c>
      <c r="E1815">
        <v>64</v>
      </c>
    </row>
    <row r="1816" spans="1:5" x14ac:dyDescent="0.2">
      <c r="A1816" s="3">
        <v>45857</v>
      </c>
      <c r="B1816" t="s">
        <v>1</v>
      </c>
      <c r="C1816">
        <v>1</v>
      </c>
      <c r="D1816" t="str">
        <f>_xlfn.XLOOKUP(RW_DT_PRODUCTION[[#This Row],[MATERIAL_ID]],DIM_MATERIAL[MATERIAL_ID],DIM_MATERIAL[UOM_AFTER_PROCESS])</f>
        <v>BALE</v>
      </c>
      <c r="E1816">
        <v>76</v>
      </c>
    </row>
    <row r="1817" spans="1:5" x14ac:dyDescent="0.2">
      <c r="A1817" s="3">
        <v>45857</v>
      </c>
      <c r="B1817" t="s">
        <v>1</v>
      </c>
      <c r="C1817">
        <v>1</v>
      </c>
      <c r="D1817" t="str">
        <f>_xlfn.XLOOKUP(RW_DT_PRODUCTION[[#This Row],[MATERIAL_ID]],DIM_MATERIAL[MATERIAL_ID],DIM_MATERIAL[UOM_AFTER_PROCESS])</f>
        <v>BALE</v>
      </c>
      <c r="E1817">
        <v>80</v>
      </c>
    </row>
    <row r="1818" spans="1:5" x14ac:dyDescent="0.2">
      <c r="A1818" s="3">
        <v>45857</v>
      </c>
      <c r="B1818" t="s">
        <v>1</v>
      </c>
      <c r="C1818">
        <v>1</v>
      </c>
      <c r="D1818" t="str">
        <f>_xlfn.XLOOKUP(RW_DT_PRODUCTION[[#This Row],[MATERIAL_ID]],DIM_MATERIAL[MATERIAL_ID],DIM_MATERIAL[UOM_AFTER_PROCESS])</f>
        <v>BALE</v>
      </c>
      <c r="E1818">
        <v>68</v>
      </c>
    </row>
    <row r="1819" spans="1:5" x14ac:dyDescent="0.2">
      <c r="A1819" s="3">
        <v>45857</v>
      </c>
      <c r="B1819" t="s">
        <v>1</v>
      </c>
      <c r="C1819">
        <v>1</v>
      </c>
      <c r="D1819" t="str">
        <f>_xlfn.XLOOKUP(RW_DT_PRODUCTION[[#This Row],[MATERIAL_ID]],DIM_MATERIAL[MATERIAL_ID],DIM_MATERIAL[UOM_AFTER_PROCESS])</f>
        <v>BALE</v>
      </c>
      <c r="E1819">
        <v>84</v>
      </c>
    </row>
    <row r="1820" spans="1:5" x14ac:dyDescent="0.2">
      <c r="A1820" s="3">
        <v>45857</v>
      </c>
      <c r="B1820" t="s">
        <v>2</v>
      </c>
      <c r="C1820">
        <v>1</v>
      </c>
      <c r="D1820" t="str">
        <f>_xlfn.XLOOKUP(RW_DT_PRODUCTION[[#This Row],[MATERIAL_ID]],DIM_MATERIAL[MATERIAL_ID],DIM_MATERIAL[UOM_AFTER_PROCESS])</f>
        <v>BAG</v>
      </c>
      <c r="E1820">
        <v>22</v>
      </c>
    </row>
    <row r="1821" spans="1:5" x14ac:dyDescent="0.2">
      <c r="A1821" s="3">
        <v>45859</v>
      </c>
      <c r="B1821" t="s">
        <v>1</v>
      </c>
      <c r="C1821">
        <v>1</v>
      </c>
      <c r="D1821" t="str">
        <f>_xlfn.XLOOKUP(RW_DT_PRODUCTION[[#This Row],[MATERIAL_ID]],DIM_MATERIAL[MATERIAL_ID],DIM_MATERIAL[UOM_AFTER_PROCESS])</f>
        <v>BALE</v>
      </c>
      <c r="E1821">
        <v>80</v>
      </c>
    </row>
    <row r="1822" spans="1:5" x14ac:dyDescent="0.2">
      <c r="A1822" s="3">
        <v>45859</v>
      </c>
      <c r="B1822" t="s">
        <v>1</v>
      </c>
      <c r="C1822">
        <v>1</v>
      </c>
      <c r="D1822" t="str">
        <f>_xlfn.XLOOKUP(RW_DT_PRODUCTION[[#This Row],[MATERIAL_ID]],DIM_MATERIAL[MATERIAL_ID],DIM_MATERIAL[UOM_AFTER_PROCESS])</f>
        <v>BALE</v>
      </c>
      <c r="E1822">
        <v>79</v>
      </c>
    </row>
    <row r="1823" spans="1:5" x14ac:dyDescent="0.2">
      <c r="A1823" s="3">
        <v>45859</v>
      </c>
      <c r="B1823" t="s">
        <v>1</v>
      </c>
      <c r="C1823">
        <v>1</v>
      </c>
      <c r="D1823" t="str">
        <f>_xlfn.XLOOKUP(RW_DT_PRODUCTION[[#This Row],[MATERIAL_ID]],DIM_MATERIAL[MATERIAL_ID],DIM_MATERIAL[UOM_AFTER_PROCESS])</f>
        <v>BALE</v>
      </c>
      <c r="E1823">
        <v>62</v>
      </c>
    </row>
    <row r="1824" spans="1:5" x14ac:dyDescent="0.2">
      <c r="A1824" s="3">
        <v>45859</v>
      </c>
      <c r="B1824" t="s">
        <v>1</v>
      </c>
      <c r="C1824">
        <v>1</v>
      </c>
      <c r="D1824" t="str">
        <f>_xlfn.XLOOKUP(RW_DT_PRODUCTION[[#This Row],[MATERIAL_ID]],DIM_MATERIAL[MATERIAL_ID],DIM_MATERIAL[UOM_AFTER_PROCESS])</f>
        <v>BALE</v>
      </c>
      <c r="E1824">
        <v>69</v>
      </c>
    </row>
    <row r="1825" spans="1:5" x14ac:dyDescent="0.2">
      <c r="A1825" s="3">
        <v>45859</v>
      </c>
      <c r="B1825" t="s">
        <v>1</v>
      </c>
      <c r="C1825">
        <v>1</v>
      </c>
      <c r="D1825" t="str">
        <f>_xlfn.XLOOKUP(RW_DT_PRODUCTION[[#This Row],[MATERIAL_ID]],DIM_MATERIAL[MATERIAL_ID],DIM_MATERIAL[UOM_AFTER_PROCESS])</f>
        <v>BALE</v>
      </c>
      <c r="E1825">
        <v>62</v>
      </c>
    </row>
    <row r="1826" spans="1:5" x14ac:dyDescent="0.2">
      <c r="A1826" s="3">
        <v>45860</v>
      </c>
      <c r="B1826" t="s">
        <v>1</v>
      </c>
      <c r="C1826">
        <v>1</v>
      </c>
      <c r="D1826" t="str">
        <f>_xlfn.XLOOKUP(RW_DT_PRODUCTION[[#This Row],[MATERIAL_ID]],DIM_MATERIAL[MATERIAL_ID],DIM_MATERIAL[UOM_AFTER_PROCESS])</f>
        <v>BALE</v>
      </c>
      <c r="E1826">
        <v>64</v>
      </c>
    </row>
    <row r="1827" spans="1:5" x14ac:dyDescent="0.2">
      <c r="A1827" s="3">
        <v>45860</v>
      </c>
      <c r="B1827" t="s">
        <v>1</v>
      </c>
      <c r="C1827">
        <v>1</v>
      </c>
      <c r="D1827" t="str">
        <f>_xlfn.XLOOKUP(RW_DT_PRODUCTION[[#This Row],[MATERIAL_ID]],DIM_MATERIAL[MATERIAL_ID],DIM_MATERIAL[UOM_AFTER_PROCESS])</f>
        <v>BALE</v>
      </c>
      <c r="E1827">
        <v>77</v>
      </c>
    </row>
    <row r="1828" spans="1:5" x14ac:dyDescent="0.2">
      <c r="A1828" s="3">
        <v>45860</v>
      </c>
      <c r="B1828" t="s">
        <v>1</v>
      </c>
      <c r="C1828">
        <v>1</v>
      </c>
      <c r="D1828" t="str">
        <f>_xlfn.XLOOKUP(RW_DT_PRODUCTION[[#This Row],[MATERIAL_ID]],DIM_MATERIAL[MATERIAL_ID],DIM_MATERIAL[UOM_AFTER_PROCESS])</f>
        <v>BALE</v>
      </c>
      <c r="E1828">
        <v>78</v>
      </c>
    </row>
    <row r="1829" spans="1:5" x14ac:dyDescent="0.2">
      <c r="A1829" s="3">
        <v>45860</v>
      </c>
      <c r="B1829" t="s">
        <v>1</v>
      </c>
      <c r="C1829">
        <v>1</v>
      </c>
      <c r="D1829" t="str">
        <f>_xlfn.XLOOKUP(RW_DT_PRODUCTION[[#This Row],[MATERIAL_ID]],DIM_MATERIAL[MATERIAL_ID],DIM_MATERIAL[UOM_AFTER_PROCESS])</f>
        <v>BALE</v>
      </c>
      <c r="E1829">
        <v>81</v>
      </c>
    </row>
    <row r="1830" spans="1:5" x14ac:dyDescent="0.2">
      <c r="A1830" s="3">
        <v>45860</v>
      </c>
      <c r="B1830" t="s">
        <v>1</v>
      </c>
      <c r="C1830">
        <v>1</v>
      </c>
      <c r="D1830" t="str">
        <f>_xlfn.XLOOKUP(RW_DT_PRODUCTION[[#This Row],[MATERIAL_ID]],DIM_MATERIAL[MATERIAL_ID],DIM_MATERIAL[UOM_AFTER_PROCESS])</f>
        <v>BALE</v>
      </c>
      <c r="E1830">
        <v>62</v>
      </c>
    </row>
    <row r="1831" spans="1:5" x14ac:dyDescent="0.2">
      <c r="A1831" s="3">
        <v>45860</v>
      </c>
      <c r="B1831" t="s">
        <v>1</v>
      </c>
      <c r="C1831">
        <v>1</v>
      </c>
      <c r="D1831" t="str">
        <f>_xlfn.XLOOKUP(RW_DT_PRODUCTION[[#This Row],[MATERIAL_ID]],DIM_MATERIAL[MATERIAL_ID],DIM_MATERIAL[UOM_AFTER_PROCESS])</f>
        <v>BALE</v>
      </c>
      <c r="E1831">
        <v>61</v>
      </c>
    </row>
    <row r="1832" spans="1:5" x14ac:dyDescent="0.2">
      <c r="A1832" s="3">
        <v>45860</v>
      </c>
      <c r="B1832" t="s">
        <v>1</v>
      </c>
      <c r="C1832">
        <v>1</v>
      </c>
      <c r="D1832" t="str">
        <f>_xlfn.XLOOKUP(RW_DT_PRODUCTION[[#This Row],[MATERIAL_ID]],DIM_MATERIAL[MATERIAL_ID],DIM_MATERIAL[UOM_AFTER_PROCESS])</f>
        <v>BALE</v>
      </c>
      <c r="E1832">
        <v>63</v>
      </c>
    </row>
    <row r="1833" spans="1:5" x14ac:dyDescent="0.2">
      <c r="A1833" s="3">
        <v>45861</v>
      </c>
      <c r="B1833" t="s">
        <v>1</v>
      </c>
      <c r="C1833">
        <v>1</v>
      </c>
      <c r="D1833" t="str">
        <f>_xlfn.XLOOKUP(RW_DT_PRODUCTION[[#This Row],[MATERIAL_ID]],DIM_MATERIAL[MATERIAL_ID],DIM_MATERIAL[UOM_AFTER_PROCESS])</f>
        <v>BALE</v>
      </c>
      <c r="E1833">
        <v>64</v>
      </c>
    </row>
    <row r="1834" spans="1:5" x14ac:dyDescent="0.2">
      <c r="A1834" s="3">
        <v>45861</v>
      </c>
      <c r="B1834" t="s">
        <v>1</v>
      </c>
      <c r="C1834">
        <v>1</v>
      </c>
      <c r="D1834" t="str">
        <f>_xlfn.XLOOKUP(RW_DT_PRODUCTION[[#This Row],[MATERIAL_ID]],DIM_MATERIAL[MATERIAL_ID],DIM_MATERIAL[UOM_AFTER_PROCESS])</f>
        <v>BALE</v>
      </c>
      <c r="E1834">
        <v>89</v>
      </c>
    </row>
    <row r="1835" spans="1:5" x14ac:dyDescent="0.2">
      <c r="A1835" s="3">
        <v>45861</v>
      </c>
      <c r="B1835" t="s">
        <v>1</v>
      </c>
      <c r="C1835">
        <v>1</v>
      </c>
      <c r="D1835" t="str">
        <f>_xlfn.XLOOKUP(RW_DT_PRODUCTION[[#This Row],[MATERIAL_ID]],DIM_MATERIAL[MATERIAL_ID],DIM_MATERIAL[UOM_AFTER_PROCESS])</f>
        <v>BALE</v>
      </c>
      <c r="E1835">
        <v>78</v>
      </c>
    </row>
    <row r="1836" spans="1:5" x14ac:dyDescent="0.2">
      <c r="A1836" s="3">
        <v>45861</v>
      </c>
      <c r="B1836" t="s">
        <v>1</v>
      </c>
      <c r="C1836">
        <v>1</v>
      </c>
      <c r="D1836" t="str">
        <f>_xlfn.XLOOKUP(RW_DT_PRODUCTION[[#This Row],[MATERIAL_ID]],DIM_MATERIAL[MATERIAL_ID],DIM_MATERIAL[UOM_AFTER_PROCESS])</f>
        <v>BALE</v>
      </c>
      <c r="E1836">
        <v>67</v>
      </c>
    </row>
    <row r="1837" spans="1:5" x14ac:dyDescent="0.2">
      <c r="A1837" s="3">
        <v>45861</v>
      </c>
      <c r="B1837" t="s">
        <v>1</v>
      </c>
      <c r="C1837">
        <v>1</v>
      </c>
      <c r="D1837" t="str">
        <f>_xlfn.XLOOKUP(RW_DT_PRODUCTION[[#This Row],[MATERIAL_ID]],DIM_MATERIAL[MATERIAL_ID],DIM_MATERIAL[UOM_AFTER_PROCESS])</f>
        <v>BALE</v>
      </c>
      <c r="E1837">
        <v>67</v>
      </c>
    </row>
    <row r="1838" spans="1:5" x14ac:dyDescent="0.2">
      <c r="A1838" s="3">
        <v>45861</v>
      </c>
      <c r="B1838" t="s">
        <v>1</v>
      </c>
      <c r="C1838">
        <v>1</v>
      </c>
      <c r="D1838" t="str">
        <f>_xlfn.XLOOKUP(RW_DT_PRODUCTION[[#This Row],[MATERIAL_ID]],DIM_MATERIAL[MATERIAL_ID],DIM_MATERIAL[UOM_AFTER_PROCESS])</f>
        <v>BALE</v>
      </c>
      <c r="E1838">
        <v>69</v>
      </c>
    </row>
    <row r="1839" spans="1:5" x14ac:dyDescent="0.2">
      <c r="A1839" s="3">
        <v>45861</v>
      </c>
      <c r="B1839" t="s">
        <v>1</v>
      </c>
      <c r="C1839">
        <v>1</v>
      </c>
      <c r="D1839" t="str">
        <f>_xlfn.XLOOKUP(RW_DT_PRODUCTION[[#This Row],[MATERIAL_ID]],DIM_MATERIAL[MATERIAL_ID],DIM_MATERIAL[UOM_AFTER_PROCESS])</f>
        <v>BALE</v>
      </c>
      <c r="E1839">
        <v>66</v>
      </c>
    </row>
    <row r="1840" spans="1:5" x14ac:dyDescent="0.2">
      <c r="A1840" s="3">
        <v>45861</v>
      </c>
      <c r="B1840" t="s">
        <v>2</v>
      </c>
      <c r="C1840">
        <v>1</v>
      </c>
      <c r="D1840" t="str">
        <f>_xlfn.XLOOKUP(RW_DT_PRODUCTION[[#This Row],[MATERIAL_ID]],DIM_MATERIAL[MATERIAL_ID],DIM_MATERIAL[UOM_AFTER_PROCESS])</f>
        <v>BAG</v>
      </c>
      <c r="E1840">
        <v>22</v>
      </c>
    </row>
    <row r="1841" spans="1:5" x14ac:dyDescent="0.2">
      <c r="A1841" s="3">
        <v>45861</v>
      </c>
      <c r="B1841" t="s">
        <v>2</v>
      </c>
      <c r="C1841">
        <v>1</v>
      </c>
      <c r="D1841" t="str">
        <f>_xlfn.XLOOKUP(RW_DT_PRODUCTION[[#This Row],[MATERIAL_ID]],DIM_MATERIAL[MATERIAL_ID],DIM_MATERIAL[UOM_AFTER_PROCESS])</f>
        <v>BAG</v>
      </c>
      <c r="E1841">
        <v>22</v>
      </c>
    </row>
    <row r="1842" spans="1:5" x14ac:dyDescent="0.2">
      <c r="A1842" s="3">
        <v>45861</v>
      </c>
      <c r="B1842" t="s">
        <v>2</v>
      </c>
      <c r="C1842">
        <v>1</v>
      </c>
      <c r="D1842" t="str">
        <f>_xlfn.XLOOKUP(RW_DT_PRODUCTION[[#This Row],[MATERIAL_ID]],DIM_MATERIAL[MATERIAL_ID],DIM_MATERIAL[UOM_AFTER_PROCESS])</f>
        <v>BAG</v>
      </c>
      <c r="E1842">
        <v>22</v>
      </c>
    </row>
    <row r="1843" spans="1:5" x14ac:dyDescent="0.2">
      <c r="A1843" s="3">
        <v>45861</v>
      </c>
      <c r="B1843" t="s">
        <v>2</v>
      </c>
      <c r="C1843">
        <v>1</v>
      </c>
      <c r="D1843" t="str">
        <f>_xlfn.XLOOKUP(RW_DT_PRODUCTION[[#This Row],[MATERIAL_ID]],DIM_MATERIAL[MATERIAL_ID],DIM_MATERIAL[UOM_AFTER_PROCESS])</f>
        <v>BAG</v>
      </c>
      <c r="E1843">
        <v>22</v>
      </c>
    </row>
    <row r="1844" spans="1:5" x14ac:dyDescent="0.2">
      <c r="A1844" s="3">
        <v>45861</v>
      </c>
      <c r="B1844" t="s">
        <v>2</v>
      </c>
      <c r="C1844">
        <v>1</v>
      </c>
      <c r="D1844" t="str">
        <f>_xlfn.XLOOKUP(RW_DT_PRODUCTION[[#This Row],[MATERIAL_ID]],DIM_MATERIAL[MATERIAL_ID],DIM_MATERIAL[UOM_AFTER_PROCESS])</f>
        <v>BAG</v>
      </c>
      <c r="E1844">
        <v>22</v>
      </c>
    </row>
    <row r="1845" spans="1:5" x14ac:dyDescent="0.2">
      <c r="A1845" s="3">
        <v>45861</v>
      </c>
      <c r="B1845" t="s">
        <v>2</v>
      </c>
      <c r="C1845">
        <v>1</v>
      </c>
      <c r="D1845" t="str">
        <f>_xlfn.XLOOKUP(RW_DT_PRODUCTION[[#This Row],[MATERIAL_ID]],DIM_MATERIAL[MATERIAL_ID],DIM_MATERIAL[UOM_AFTER_PROCESS])</f>
        <v>BAG</v>
      </c>
      <c r="E1845">
        <v>22</v>
      </c>
    </row>
    <row r="1846" spans="1:5" x14ac:dyDescent="0.2">
      <c r="A1846" s="3">
        <v>45862</v>
      </c>
      <c r="B1846" t="s">
        <v>1</v>
      </c>
      <c r="C1846">
        <v>1</v>
      </c>
      <c r="D1846" t="str">
        <f>_xlfn.XLOOKUP(RW_DT_PRODUCTION[[#This Row],[MATERIAL_ID]],DIM_MATERIAL[MATERIAL_ID],DIM_MATERIAL[UOM_AFTER_PROCESS])</f>
        <v>BALE</v>
      </c>
      <c r="E1846">
        <v>82</v>
      </c>
    </row>
    <row r="1847" spans="1:5" x14ac:dyDescent="0.2">
      <c r="A1847" s="3">
        <v>45862</v>
      </c>
      <c r="B1847" t="s">
        <v>1</v>
      </c>
      <c r="C1847">
        <v>1</v>
      </c>
      <c r="D1847" t="str">
        <f>_xlfn.XLOOKUP(RW_DT_PRODUCTION[[#This Row],[MATERIAL_ID]],DIM_MATERIAL[MATERIAL_ID],DIM_MATERIAL[UOM_AFTER_PROCESS])</f>
        <v>BALE</v>
      </c>
      <c r="E1847">
        <v>73</v>
      </c>
    </row>
    <row r="1848" spans="1:5" x14ac:dyDescent="0.2">
      <c r="A1848" s="3">
        <v>45862</v>
      </c>
      <c r="B1848" t="s">
        <v>1</v>
      </c>
      <c r="C1848">
        <v>1</v>
      </c>
      <c r="D1848" t="str">
        <f>_xlfn.XLOOKUP(RW_DT_PRODUCTION[[#This Row],[MATERIAL_ID]],DIM_MATERIAL[MATERIAL_ID],DIM_MATERIAL[UOM_AFTER_PROCESS])</f>
        <v>BALE</v>
      </c>
      <c r="E1848">
        <v>82</v>
      </c>
    </row>
    <row r="1849" spans="1:5" x14ac:dyDescent="0.2">
      <c r="A1849" s="3">
        <v>45862</v>
      </c>
      <c r="B1849" t="s">
        <v>1</v>
      </c>
      <c r="C1849">
        <v>1</v>
      </c>
      <c r="D1849" t="str">
        <f>_xlfn.XLOOKUP(RW_DT_PRODUCTION[[#This Row],[MATERIAL_ID]],DIM_MATERIAL[MATERIAL_ID],DIM_MATERIAL[UOM_AFTER_PROCESS])</f>
        <v>BALE</v>
      </c>
      <c r="E1849">
        <v>71</v>
      </c>
    </row>
    <row r="1850" spans="1:5" x14ac:dyDescent="0.2">
      <c r="A1850" s="3">
        <v>45862</v>
      </c>
      <c r="B1850" t="s">
        <v>1</v>
      </c>
      <c r="C1850">
        <v>1</v>
      </c>
      <c r="D1850" t="str">
        <f>_xlfn.XLOOKUP(RW_DT_PRODUCTION[[#This Row],[MATERIAL_ID]],DIM_MATERIAL[MATERIAL_ID],DIM_MATERIAL[UOM_AFTER_PROCESS])</f>
        <v>BALE</v>
      </c>
      <c r="E1850">
        <v>67</v>
      </c>
    </row>
    <row r="1851" spans="1:5" x14ac:dyDescent="0.2">
      <c r="A1851" s="3">
        <v>45862</v>
      </c>
      <c r="B1851" t="s">
        <v>1</v>
      </c>
      <c r="C1851">
        <v>1</v>
      </c>
      <c r="D1851" t="str">
        <f>_xlfn.XLOOKUP(RW_DT_PRODUCTION[[#This Row],[MATERIAL_ID]],DIM_MATERIAL[MATERIAL_ID],DIM_MATERIAL[UOM_AFTER_PROCESS])</f>
        <v>BALE</v>
      </c>
      <c r="E1851">
        <v>66</v>
      </c>
    </row>
    <row r="1852" spans="1:5" x14ac:dyDescent="0.2">
      <c r="A1852" s="3">
        <v>45863</v>
      </c>
      <c r="B1852" t="s">
        <v>1</v>
      </c>
      <c r="C1852">
        <v>1</v>
      </c>
      <c r="D1852" t="str">
        <f>_xlfn.XLOOKUP(RW_DT_PRODUCTION[[#This Row],[MATERIAL_ID]],DIM_MATERIAL[MATERIAL_ID],DIM_MATERIAL[UOM_AFTER_PROCESS])</f>
        <v>BALE</v>
      </c>
      <c r="E1852">
        <v>64</v>
      </c>
    </row>
    <row r="1853" spans="1:5" x14ac:dyDescent="0.2">
      <c r="A1853" s="3">
        <v>45863</v>
      </c>
      <c r="B1853" t="s">
        <v>1</v>
      </c>
      <c r="C1853">
        <v>1</v>
      </c>
      <c r="D1853" t="str">
        <f>_xlfn.XLOOKUP(RW_DT_PRODUCTION[[#This Row],[MATERIAL_ID]],DIM_MATERIAL[MATERIAL_ID],DIM_MATERIAL[UOM_AFTER_PROCESS])</f>
        <v>BALE</v>
      </c>
      <c r="E1853">
        <v>60</v>
      </c>
    </row>
    <row r="1854" spans="1:5" x14ac:dyDescent="0.2">
      <c r="A1854" s="3">
        <v>45863</v>
      </c>
      <c r="B1854" t="s">
        <v>1</v>
      </c>
      <c r="C1854">
        <v>1</v>
      </c>
      <c r="D1854" t="str">
        <f>_xlfn.XLOOKUP(RW_DT_PRODUCTION[[#This Row],[MATERIAL_ID]],DIM_MATERIAL[MATERIAL_ID],DIM_MATERIAL[UOM_AFTER_PROCESS])</f>
        <v>BALE</v>
      </c>
      <c r="E1854">
        <v>67</v>
      </c>
    </row>
    <row r="1855" spans="1:5" x14ac:dyDescent="0.2">
      <c r="A1855" s="3">
        <v>45863</v>
      </c>
      <c r="B1855" t="s">
        <v>1</v>
      </c>
      <c r="C1855">
        <v>1</v>
      </c>
      <c r="D1855" t="str">
        <f>_xlfn.XLOOKUP(RW_DT_PRODUCTION[[#This Row],[MATERIAL_ID]],DIM_MATERIAL[MATERIAL_ID],DIM_MATERIAL[UOM_AFTER_PROCESS])</f>
        <v>BALE</v>
      </c>
      <c r="E1855">
        <v>64</v>
      </c>
    </row>
    <row r="1856" spans="1:5" x14ac:dyDescent="0.2">
      <c r="A1856" s="3">
        <v>45863</v>
      </c>
      <c r="B1856" t="s">
        <v>1</v>
      </c>
      <c r="C1856">
        <v>1</v>
      </c>
      <c r="D1856" t="str">
        <f>_xlfn.XLOOKUP(RW_DT_PRODUCTION[[#This Row],[MATERIAL_ID]],DIM_MATERIAL[MATERIAL_ID],DIM_MATERIAL[UOM_AFTER_PROCESS])</f>
        <v>BALE</v>
      </c>
      <c r="E1856">
        <v>78</v>
      </c>
    </row>
    <row r="1857" spans="1:5" x14ac:dyDescent="0.2">
      <c r="A1857" s="3">
        <v>45863</v>
      </c>
      <c r="B1857" t="s">
        <v>1</v>
      </c>
      <c r="C1857">
        <v>1</v>
      </c>
      <c r="D1857" t="str">
        <f>_xlfn.XLOOKUP(RW_DT_PRODUCTION[[#This Row],[MATERIAL_ID]],DIM_MATERIAL[MATERIAL_ID],DIM_MATERIAL[UOM_AFTER_PROCESS])</f>
        <v>BALE</v>
      </c>
      <c r="E1857">
        <v>88</v>
      </c>
    </row>
    <row r="1858" spans="1:5" x14ac:dyDescent="0.2">
      <c r="A1858" s="3">
        <v>45864</v>
      </c>
      <c r="B1858" t="s">
        <v>1</v>
      </c>
      <c r="C1858">
        <v>1</v>
      </c>
      <c r="D1858" t="str">
        <f>_xlfn.XLOOKUP(RW_DT_PRODUCTION[[#This Row],[MATERIAL_ID]],DIM_MATERIAL[MATERIAL_ID],DIM_MATERIAL[UOM_AFTER_PROCESS])</f>
        <v>BALE</v>
      </c>
      <c r="E1858">
        <v>79</v>
      </c>
    </row>
    <row r="1859" spans="1:5" x14ac:dyDescent="0.2">
      <c r="A1859" s="3">
        <v>45864</v>
      </c>
      <c r="B1859" t="s">
        <v>1</v>
      </c>
      <c r="C1859">
        <v>1</v>
      </c>
      <c r="D1859" t="str">
        <f>_xlfn.XLOOKUP(RW_DT_PRODUCTION[[#This Row],[MATERIAL_ID]],DIM_MATERIAL[MATERIAL_ID],DIM_MATERIAL[UOM_AFTER_PROCESS])</f>
        <v>BALE</v>
      </c>
      <c r="E1859">
        <v>68</v>
      </c>
    </row>
    <row r="1860" spans="1:5" x14ac:dyDescent="0.2">
      <c r="A1860" s="3">
        <v>45864</v>
      </c>
      <c r="B1860" t="s">
        <v>1</v>
      </c>
      <c r="C1860">
        <v>1</v>
      </c>
      <c r="D1860" t="str">
        <f>_xlfn.XLOOKUP(RW_DT_PRODUCTION[[#This Row],[MATERIAL_ID]],DIM_MATERIAL[MATERIAL_ID],DIM_MATERIAL[UOM_AFTER_PROCESS])</f>
        <v>BALE</v>
      </c>
      <c r="E1860">
        <v>73</v>
      </c>
    </row>
    <row r="1861" spans="1:5" x14ac:dyDescent="0.2">
      <c r="A1861" s="3">
        <v>45864</v>
      </c>
      <c r="B1861" t="s">
        <v>1</v>
      </c>
      <c r="C1861">
        <v>1</v>
      </c>
      <c r="D1861" t="str">
        <f>_xlfn.XLOOKUP(RW_DT_PRODUCTION[[#This Row],[MATERIAL_ID]],DIM_MATERIAL[MATERIAL_ID],DIM_MATERIAL[UOM_AFTER_PROCESS])</f>
        <v>BALE</v>
      </c>
      <c r="E1861">
        <v>88</v>
      </c>
    </row>
    <row r="1862" spans="1:5" x14ac:dyDescent="0.2">
      <c r="A1862" s="3">
        <v>45864</v>
      </c>
      <c r="B1862" t="s">
        <v>1</v>
      </c>
      <c r="C1862">
        <v>1</v>
      </c>
      <c r="D1862" t="str">
        <f>_xlfn.XLOOKUP(RW_DT_PRODUCTION[[#This Row],[MATERIAL_ID]],DIM_MATERIAL[MATERIAL_ID],DIM_MATERIAL[UOM_AFTER_PROCESS])</f>
        <v>BALE</v>
      </c>
      <c r="E1862">
        <v>63</v>
      </c>
    </row>
    <row r="1863" spans="1:5" x14ac:dyDescent="0.2">
      <c r="A1863" s="3">
        <v>45864</v>
      </c>
      <c r="B1863" t="s">
        <v>1</v>
      </c>
      <c r="C1863">
        <v>1</v>
      </c>
      <c r="D1863" t="str">
        <f>_xlfn.XLOOKUP(RW_DT_PRODUCTION[[#This Row],[MATERIAL_ID]],DIM_MATERIAL[MATERIAL_ID],DIM_MATERIAL[UOM_AFTER_PROCESS])</f>
        <v>BALE</v>
      </c>
      <c r="E1863">
        <v>73</v>
      </c>
    </row>
    <row r="1864" spans="1:5" x14ac:dyDescent="0.2">
      <c r="A1864" s="3">
        <v>45864</v>
      </c>
      <c r="B1864" t="s">
        <v>1</v>
      </c>
      <c r="C1864">
        <v>1</v>
      </c>
      <c r="D1864" t="str">
        <f>_xlfn.XLOOKUP(RW_DT_PRODUCTION[[#This Row],[MATERIAL_ID]],DIM_MATERIAL[MATERIAL_ID],DIM_MATERIAL[UOM_AFTER_PROCESS])</f>
        <v>BALE</v>
      </c>
      <c r="E1864">
        <v>69</v>
      </c>
    </row>
    <row r="1865" spans="1:5" x14ac:dyDescent="0.2">
      <c r="A1865" s="3">
        <v>45866</v>
      </c>
      <c r="B1865" t="s">
        <v>1</v>
      </c>
      <c r="C1865">
        <v>1</v>
      </c>
      <c r="D1865" t="str">
        <f>_xlfn.XLOOKUP(RW_DT_PRODUCTION[[#This Row],[MATERIAL_ID]],DIM_MATERIAL[MATERIAL_ID],DIM_MATERIAL[UOM_AFTER_PROCESS])</f>
        <v>BALE</v>
      </c>
      <c r="E1865">
        <v>67</v>
      </c>
    </row>
    <row r="1866" spans="1:5" x14ac:dyDescent="0.2">
      <c r="A1866" s="3">
        <v>45866</v>
      </c>
      <c r="B1866" t="s">
        <v>1</v>
      </c>
      <c r="C1866">
        <v>1</v>
      </c>
      <c r="D1866" t="str">
        <f>_xlfn.XLOOKUP(RW_DT_PRODUCTION[[#This Row],[MATERIAL_ID]],DIM_MATERIAL[MATERIAL_ID],DIM_MATERIAL[UOM_AFTER_PROCESS])</f>
        <v>BALE</v>
      </c>
      <c r="E1866">
        <v>81</v>
      </c>
    </row>
    <row r="1867" spans="1:5" x14ac:dyDescent="0.2">
      <c r="A1867" s="3">
        <v>45866</v>
      </c>
      <c r="B1867" t="s">
        <v>1</v>
      </c>
      <c r="C1867">
        <v>1</v>
      </c>
      <c r="D1867" t="str">
        <f>_xlfn.XLOOKUP(RW_DT_PRODUCTION[[#This Row],[MATERIAL_ID]],DIM_MATERIAL[MATERIAL_ID],DIM_MATERIAL[UOM_AFTER_PROCESS])</f>
        <v>BALE</v>
      </c>
      <c r="E1867">
        <v>67</v>
      </c>
    </row>
    <row r="1868" spans="1:5" x14ac:dyDescent="0.2">
      <c r="A1868" s="3">
        <v>45866</v>
      </c>
      <c r="B1868" t="s">
        <v>1</v>
      </c>
      <c r="C1868">
        <v>1</v>
      </c>
      <c r="D1868" t="str">
        <f>_xlfn.XLOOKUP(RW_DT_PRODUCTION[[#This Row],[MATERIAL_ID]],DIM_MATERIAL[MATERIAL_ID],DIM_MATERIAL[UOM_AFTER_PROCESS])</f>
        <v>BALE</v>
      </c>
      <c r="E1868">
        <v>63</v>
      </c>
    </row>
    <row r="1869" spans="1:5" x14ac:dyDescent="0.2">
      <c r="A1869" s="3">
        <v>45866</v>
      </c>
      <c r="B1869" t="s">
        <v>1</v>
      </c>
      <c r="C1869">
        <v>1</v>
      </c>
      <c r="D1869" t="str">
        <f>_xlfn.XLOOKUP(RW_DT_PRODUCTION[[#This Row],[MATERIAL_ID]],DIM_MATERIAL[MATERIAL_ID],DIM_MATERIAL[UOM_AFTER_PROCESS])</f>
        <v>BALE</v>
      </c>
      <c r="E1869">
        <v>63</v>
      </c>
    </row>
    <row r="1870" spans="1:5" x14ac:dyDescent="0.2">
      <c r="A1870" s="3">
        <v>45867</v>
      </c>
      <c r="B1870" t="s">
        <v>1</v>
      </c>
      <c r="C1870">
        <v>1</v>
      </c>
      <c r="D1870" t="str">
        <f>_xlfn.XLOOKUP(RW_DT_PRODUCTION[[#This Row],[MATERIAL_ID]],DIM_MATERIAL[MATERIAL_ID],DIM_MATERIAL[UOM_AFTER_PROCESS])</f>
        <v>BALE</v>
      </c>
      <c r="E1870">
        <v>78</v>
      </c>
    </row>
    <row r="1871" spans="1:5" x14ac:dyDescent="0.2">
      <c r="A1871" s="3">
        <v>45867</v>
      </c>
      <c r="B1871" t="s">
        <v>1</v>
      </c>
      <c r="C1871">
        <v>1</v>
      </c>
      <c r="D1871" t="str">
        <f>_xlfn.XLOOKUP(RW_DT_PRODUCTION[[#This Row],[MATERIAL_ID]],DIM_MATERIAL[MATERIAL_ID],DIM_MATERIAL[UOM_AFTER_PROCESS])</f>
        <v>BALE</v>
      </c>
      <c r="E1871">
        <v>70</v>
      </c>
    </row>
    <row r="1872" spans="1:5" x14ac:dyDescent="0.2">
      <c r="A1872" s="3">
        <v>45867</v>
      </c>
      <c r="B1872" t="s">
        <v>1</v>
      </c>
      <c r="C1872">
        <v>1</v>
      </c>
      <c r="D1872" t="str">
        <f>_xlfn.XLOOKUP(RW_DT_PRODUCTION[[#This Row],[MATERIAL_ID]],DIM_MATERIAL[MATERIAL_ID],DIM_MATERIAL[UOM_AFTER_PROCESS])</f>
        <v>BALE</v>
      </c>
      <c r="E1872">
        <v>67</v>
      </c>
    </row>
    <row r="1873" spans="1:5" x14ac:dyDescent="0.2">
      <c r="A1873" s="3">
        <v>45867</v>
      </c>
      <c r="B1873" t="s">
        <v>1</v>
      </c>
      <c r="C1873">
        <v>1</v>
      </c>
      <c r="D1873" t="str">
        <f>_xlfn.XLOOKUP(RW_DT_PRODUCTION[[#This Row],[MATERIAL_ID]],DIM_MATERIAL[MATERIAL_ID],DIM_MATERIAL[UOM_AFTER_PROCESS])</f>
        <v>BALE</v>
      </c>
      <c r="E1873">
        <v>79</v>
      </c>
    </row>
    <row r="1874" spans="1:5" x14ac:dyDescent="0.2">
      <c r="A1874" s="3">
        <v>45867</v>
      </c>
      <c r="B1874" t="s">
        <v>1</v>
      </c>
      <c r="C1874">
        <v>1</v>
      </c>
      <c r="D1874" t="str">
        <f>_xlfn.XLOOKUP(RW_DT_PRODUCTION[[#This Row],[MATERIAL_ID]],DIM_MATERIAL[MATERIAL_ID],DIM_MATERIAL[UOM_AFTER_PROCESS])</f>
        <v>BALE</v>
      </c>
      <c r="E1874">
        <v>66</v>
      </c>
    </row>
    <row r="1875" spans="1:5" x14ac:dyDescent="0.2">
      <c r="A1875" s="3">
        <v>45867</v>
      </c>
      <c r="B1875" t="s">
        <v>1</v>
      </c>
      <c r="C1875">
        <v>1</v>
      </c>
      <c r="D1875" t="str">
        <f>_xlfn.XLOOKUP(RW_DT_PRODUCTION[[#This Row],[MATERIAL_ID]],DIM_MATERIAL[MATERIAL_ID],DIM_MATERIAL[UOM_AFTER_PROCESS])</f>
        <v>BALE</v>
      </c>
      <c r="E1875">
        <v>78</v>
      </c>
    </row>
    <row r="1876" spans="1:5" x14ac:dyDescent="0.2">
      <c r="A1876" s="3">
        <v>45867</v>
      </c>
      <c r="B1876" t="s">
        <v>2</v>
      </c>
      <c r="C1876">
        <v>1</v>
      </c>
      <c r="D1876" t="str">
        <f>_xlfn.XLOOKUP(RW_DT_PRODUCTION[[#This Row],[MATERIAL_ID]],DIM_MATERIAL[MATERIAL_ID],DIM_MATERIAL[UOM_AFTER_PROCESS])</f>
        <v>BAG</v>
      </c>
      <c r="E1876">
        <v>22</v>
      </c>
    </row>
    <row r="1877" spans="1:5" x14ac:dyDescent="0.2">
      <c r="A1877" s="3">
        <v>45867</v>
      </c>
      <c r="B1877" t="s">
        <v>2</v>
      </c>
      <c r="C1877">
        <v>1</v>
      </c>
      <c r="D1877" t="str">
        <f>_xlfn.XLOOKUP(RW_DT_PRODUCTION[[#This Row],[MATERIAL_ID]],DIM_MATERIAL[MATERIAL_ID],DIM_MATERIAL[UOM_AFTER_PROCESS])</f>
        <v>BAG</v>
      </c>
      <c r="E1877">
        <v>22</v>
      </c>
    </row>
    <row r="1878" spans="1:5" x14ac:dyDescent="0.2">
      <c r="A1878" s="3">
        <v>45868</v>
      </c>
      <c r="B1878" t="s">
        <v>1</v>
      </c>
      <c r="C1878">
        <v>1</v>
      </c>
      <c r="D1878" t="str">
        <f>_xlfn.XLOOKUP(RW_DT_PRODUCTION[[#This Row],[MATERIAL_ID]],DIM_MATERIAL[MATERIAL_ID],DIM_MATERIAL[UOM_AFTER_PROCESS])</f>
        <v>BALE</v>
      </c>
      <c r="E1878">
        <v>73</v>
      </c>
    </row>
    <row r="1879" spans="1:5" x14ac:dyDescent="0.2">
      <c r="A1879" s="3">
        <v>45868</v>
      </c>
      <c r="B1879" t="s">
        <v>1</v>
      </c>
      <c r="C1879">
        <v>1</v>
      </c>
      <c r="D1879" t="str">
        <f>_xlfn.XLOOKUP(RW_DT_PRODUCTION[[#This Row],[MATERIAL_ID]],DIM_MATERIAL[MATERIAL_ID],DIM_MATERIAL[UOM_AFTER_PROCESS])</f>
        <v>BALE</v>
      </c>
      <c r="E1879">
        <v>77</v>
      </c>
    </row>
    <row r="1880" spans="1:5" x14ac:dyDescent="0.2">
      <c r="A1880" s="3">
        <v>45868</v>
      </c>
      <c r="B1880" t="s">
        <v>1</v>
      </c>
      <c r="C1880">
        <v>1</v>
      </c>
      <c r="D1880" t="str">
        <f>_xlfn.XLOOKUP(RW_DT_PRODUCTION[[#This Row],[MATERIAL_ID]],DIM_MATERIAL[MATERIAL_ID],DIM_MATERIAL[UOM_AFTER_PROCESS])</f>
        <v>BALE</v>
      </c>
      <c r="E1880">
        <v>83</v>
      </c>
    </row>
    <row r="1881" spans="1:5" x14ac:dyDescent="0.2">
      <c r="A1881" s="3">
        <v>45868</v>
      </c>
      <c r="B1881" t="s">
        <v>1</v>
      </c>
      <c r="C1881">
        <v>1</v>
      </c>
      <c r="D1881" t="str">
        <f>_xlfn.XLOOKUP(RW_DT_PRODUCTION[[#This Row],[MATERIAL_ID]],DIM_MATERIAL[MATERIAL_ID],DIM_MATERIAL[UOM_AFTER_PROCESS])</f>
        <v>BALE</v>
      </c>
      <c r="E1881">
        <v>67</v>
      </c>
    </row>
    <row r="1882" spans="1:5" x14ac:dyDescent="0.2">
      <c r="A1882" s="3">
        <v>45868</v>
      </c>
      <c r="B1882" t="s">
        <v>1</v>
      </c>
      <c r="C1882">
        <v>1</v>
      </c>
      <c r="D1882" t="str">
        <f>_xlfn.XLOOKUP(RW_DT_PRODUCTION[[#This Row],[MATERIAL_ID]],DIM_MATERIAL[MATERIAL_ID],DIM_MATERIAL[UOM_AFTER_PROCESS])</f>
        <v>BALE</v>
      </c>
      <c r="E1882">
        <v>63</v>
      </c>
    </row>
    <row r="1883" spans="1:5" x14ac:dyDescent="0.2">
      <c r="A1883" s="3">
        <v>45868</v>
      </c>
      <c r="B1883" t="s">
        <v>1</v>
      </c>
      <c r="C1883">
        <v>1</v>
      </c>
      <c r="D1883" t="str">
        <f>_xlfn.XLOOKUP(RW_DT_PRODUCTION[[#This Row],[MATERIAL_ID]],DIM_MATERIAL[MATERIAL_ID],DIM_MATERIAL[UOM_AFTER_PROCESS])</f>
        <v>BALE</v>
      </c>
      <c r="E1883">
        <v>83</v>
      </c>
    </row>
    <row r="1884" spans="1:5" x14ac:dyDescent="0.2">
      <c r="A1884" s="3">
        <v>45869</v>
      </c>
      <c r="B1884" t="s">
        <v>1</v>
      </c>
      <c r="C1884">
        <v>1</v>
      </c>
      <c r="D1884" t="str">
        <f>_xlfn.XLOOKUP(RW_DT_PRODUCTION[[#This Row],[MATERIAL_ID]],DIM_MATERIAL[MATERIAL_ID],DIM_MATERIAL[UOM_AFTER_PROCESS])</f>
        <v>BALE</v>
      </c>
      <c r="E1884">
        <v>60</v>
      </c>
    </row>
    <row r="1885" spans="1:5" x14ac:dyDescent="0.2">
      <c r="A1885" s="3">
        <v>45869</v>
      </c>
      <c r="B1885" t="s">
        <v>1</v>
      </c>
      <c r="C1885">
        <v>1</v>
      </c>
      <c r="D1885" t="str">
        <f>_xlfn.XLOOKUP(RW_DT_PRODUCTION[[#This Row],[MATERIAL_ID]],DIM_MATERIAL[MATERIAL_ID],DIM_MATERIAL[UOM_AFTER_PROCESS])</f>
        <v>BALE</v>
      </c>
      <c r="E1885">
        <v>63</v>
      </c>
    </row>
    <row r="1886" spans="1:5" x14ac:dyDescent="0.2">
      <c r="A1886" s="3">
        <v>45869</v>
      </c>
      <c r="B1886" t="s">
        <v>1</v>
      </c>
      <c r="C1886">
        <v>1</v>
      </c>
      <c r="D1886" t="str">
        <f>_xlfn.XLOOKUP(RW_DT_PRODUCTION[[#This Row],[MATERIAL_ID]],DIM_MATERIAL[MATERIAL_ID],DIM_MATERIAL[UOM_AFTER_PROCESS])</f>
        <v>BALE</v>
      </c>
      <c r="E1886">
        <v>79</v>
      </c>
    </row>
    <row r="1887" spans="1:5" x14ac:dyDescent="0.2">
      <c r="A1887" s="3">
        <v>45869</v>
      </c>
      <c r="B1887" t="s">
        <v>1</v>
      </c>
      <c r="C1887">
        <v>1</v>
      </c>
      <c r="D1887" t="str">
        <f>_xlfn.XLOOKUP(RW_DT_PRODUCTION[[#This Row],[MATERIAL_ID]],DIM_MATERIAL[MATERIAL_ID],DIM_MATERIAL[UOM_AFTER_PROCESS])</f>
        <v>BALE</v>
      </c>
      <c r="E1887">
        <v>74</v>
      </c>
    </row>
    <row r="1888" spans="1:5" x14ac:dyDescent="0.2">
      <c r="A1888" s="3">
        <v>45870</v>
      </c>
      <c r="B1888" t="s">
        <v>1</v>
      </c>
      <c r="C1888">
        <v>1</v>
      </c>
      <c r="D1888" t="str">
        <f>_xlfn.XLOOKUP(RW_DT_PRODUCTION[[#This Row],[MATERIAL_ID]],DIM_MATERIAL[MATERIAL_ID],DIM_MATERIAL[UOM_AFTER_PROCESS])</f>
        <v>BALE</v>
      </c>
      <c r="E1888">
        <v>68</v>
      </c>
    </row>
    <row r="1889" spans="1:5" x14ac:dyDescent="0.2">
      <c r="A1889" s="3">
        <v>45870</v>
      </c>
      <c r="B1889" t="s">
        <v>1</v>
      </c>
      <c r="C1889">
        <v>1</v>
      </c>
      <c r="D1889" t="str">
        <f>_xlfn.XLOOKUP(RW_DT_PRODUCTION[[#This Row],[MATERIAL_ID]],DIM_MATERIAL[MATERIAL_ID],DIM_MATERIAL[UOM_AFTER_PROCESS])</f>
        <v>BALE</v>
      </c>
      <c r="E1889">
        <v>81</v>
      </c>
    </row>
    <row r="1890" spans="1:5" x14ac:dyDescent="0.2">
      <c r="A1890" s="3">
        <v>45870</v>
      </c>
      <c r="B1890" t="s">
        <v>1</v>
      </c>
      <c r="C1890">
        <v>1</v>
      </c>
      <c r="D1890" t="str">
        <f>_xlfn.XLOOKUP(RW_DT_PRODUCTION[[#This Row],[MATERIAL_ID]],DIM_MATERIAL[MATERIAL_ID],DIM_MATERIAL[UOM_AFTER_PROCESS])</f>
        <v>BALE</v>
      </c>
      <c r="E1890">
        <v>81</v>
      </c>
    </row>
    <row r="1891" spans="1:5" x14ac:dyDescent="0.2">
      <c r="A1891" s="3">
        <v>45870</v>
      </c>
      <c r="B1891" t="s">
        <v>1</v>
      </c>
      <c r="C1891">
        <v>1</v>
      </c>
      <c r="D1891" t="str">
        <f>_xlfn.XLOOKUP(RW_DT_PRODUCTION[[#This Row],[MATERIAL_ID]],DIM_MATERIAL[MATERIAL_ID],DIM_MATERIAL[UOM_AFTER_PROCESS])</f>
        <v>BALE</v>
      </c>
      <c r="E1891">
        <v>64</v>
      </c>
    </row>
    <row r="1892" spans="1:5" x14ac:dyDescent="0.2">
      <c r="A1892" s="3">
        <v>45870</v>
      </c>
      <c r="B1892" t="s">
        <v>1</v>
      </c>
      <c r="C1892">
        <v>1</v>
      </c>
      <c r="D1892" t="str">
        <f>_xlfn.XLOOKUP(RW_DT_PRODUCTION[[#This Row],[MATERIAL_ID]],DIM_MATERIAL[MATERIAL_ID],DIM_MATERIAL[UOM_AFTER_PROCESS])</f>
        <v>BALE</v>
      </c>
      <c r="E1892">
        <v>76</v>
      </c>
    </row>
    <row r="1893" spans="1:5" x14ac:dyDescent="0.2">
      <c r="A1893" s="3">
        <v>45870</v>
      </c>
      <c r="B1893" t="s">
        <v>1</v>
      </c>
      <c r="C1893">
        <v>1</v>
      </c>
      <c r="D1893" t="str">
        <f>_xlfn.XLOOKUP(RW_DT_PRODUCTION[[#This Row],[MATERIAL_ID]],DIM_MATERIAL[MATERIAL_ID],DIM_MATERIAL[UOM_AFTER_PROCESS])</f>
        <v>BALE</v>
      </c>
      <c r="E1893">
        <v>69</v>
      </c>
    </row>
    <row r="1894" spans="1:5" x14ac:dyDescent="0.2">
      <c r="A1894" s="3">
        <v>45871</v>
      </c>
      <c r="B1894" t="s">
        <v>1</v>
      </c>
      <c r="C1894">
        <v>1</v>
      </c>
      <c r="D1894" t="str">
        <f>_xlfn.XLOOKUP(RW_DT_PRODUCTION[[#This Row],[MATERIAL_ID]],DIM_MATERIAL[MATERIAL_ID],DIM_MATERIAL[UOM_AFTER_PROCESS])</f>
        <v>BALE</v>
      </c>
      <c r="E1894">
        <v>67</v>
      </c>
    </row>
    <row r="1895" spans="1:5" x14ac:dyDescent="0.2">
      <c r="A1895" s="3">
        <v>45871</v>
      </c>
      <c r="B1895" t="s">
        <v>1</v>
      </c>
      <c r="C1895">
        <v>1</v>
      </c>
      <c r="D1895" t="str">
        <f>_xlfn.XLOOKUP(RW_DT_PRODUCTION[[#This Row],[MATERIAL_ID]],DIM_MATERIAL[MATERIAL_ID],DIM_MATERIAL[UOM_AFTER_PROCESS])</f>
        <v>BALE</v>
      </c>
      <c r="E1895">
        <v>88</v>
      </c>
    </row>
    <row r="1896" spans="1:5" x14ac:dyDescent="0.2">
      <c r="A1896" s="3">
        <v>45871</v>
      </c>
      <c r="B1896" t="s">
        <v>1</v>
      </c>
      <c r="C1896">
        <v>1</v>
      </c>
      <c r="D1896" t="str">
        <f>_xlfn.XLOOKUP(RW_DT_PRODUCTION[[#This Row],[MATERIAL_ID]],DIM_MATERIAL[MATERIAL_ID],DIM_MATERIAL[UOM_AFTER_PROCESS])</f>
        <v>BALE</v>
      </c>
      <c r="E1896">
        <v>60</v>
      </c>
    </row>
    <row r="1897" spans="1:5" x14ac:dyDescent="0.2">
      <c r="A1897" s="3">
        <v>45871</v>
      </c>
      <c r="B1897" t="s">
        <v>1</v>
      </c>
      <c r="C1897">
        <v>1</v>
      </c>
      <c r="D1897" t="str">
        <f>_xlfn.XLOOKUP(RW_DT_PRODUCTION[[#This Row],[MATERIAL_ID]],DIM_MATERIAL[MATERIAL_ID],DIM_MATERIAL[UOM_AFTER_PROCESS])</f>
        <v>BALE</v>
      </c>
      <c r="E1897">
        <v>60</v>
      </c>
    </row>
    <row r="1898" spans="1:5" x14ac:dyDescent="0.2">
      <c r="A1898" s="3">
        <v>45871</v>
      </c>
      <c r="B1898" t="s">
        <v>1</v>
      </c>
      <c r="C1898">
        <v>1</v>
      </c>
      <c r="D1898" t="str">
        <f>_xlfn.XLOOKUP(RW_DT_PRODUCTION[[#This Row],[MATERIAL_ID]],DIM_MATERIAL[MATERIAL_ID],DIM_MATERIAL[UOM_AFTER_PROCESS])</f>
        <v>BALE</v>
      </c>
      <c r="E1898">
        <v>69</v>
      </c>
    </row>
    <row r="1899" spans="1:5" x14ac:dyDescent="0.2">
      <c r="A1899" s="3">
        <v>45871</v>
      </c>
      <c r="B1899" t="s">
        <v>2</v>
      </c>
      <c r="C1899">
        <v>1</v>
      </c>
      <c r="D1899" t="str">
        <f>_xlfn.XLOOKUP(RW_DT_PRODUCTION[[#This Row],[MATERIAL_ID]],DIM_MATERIAL[MATERIAL_ID],DIM_MATERIAL[UOM_AFTER_PROCESS])</f>
        <v>BAG</v>
      </c>
      <c r="E1899">
        <v>22</v>
      </c>
    </row>
    <row r="1900" spans="1:5" x14ac:dyDescent="0.2">
      <c r="A1900" s="3">
        <v>45871</v>
      </c>
      <c r="B1900" t="s">
        <v>2</v>
      </c>
      <c r="C1900">
        <v>1</v>
      </c>
      <c r="D1900" t="str">
        <f>_xlfn.XLOOKUP(RW_DT_PRODUCTION[[#This Row],[MATERIAL_ID]],DIM_MATERIAL[MATERIAL_ID],DIM_MATERIAL[UOM_AFTER_PROCESS])</f>
        <v>BAG</v>
      </c>
      <c r="E1900">
        <v>22</v>
      </c>
    </row>
    <row r="1901" spans="1:5" x14ac:dyDescent="0.2">
      <c r="A1901" s="3">
        <v>45871</v>
      </c>
      <c r="B1901" t="s">
        <v>2</v>
      </c>
      <c r="C1901">
        <v>1</v>
      </c>
      <c r="D1901" t="str">
        <f>_xlfn.XLOOKUP(RW_DT_PRODUCTION[[#This Row],[MATERIAL_ID]],DIM_MATERIAL[MATERIAL_ID],DIM_MATERIAL[UOM_AFTER_PROCESS])</f>
        <v>BAG</v>
      </c>
      <c r="E1901">
        <v>22</v>
      </c>
    </row>
    <row r="1902" spans="1:5" x14ac:dyDescent="0.2">
      <c r="A1902" s="3">
        <v>45871</v>
      </c>
      <c r="B1902" t="s">
        <v>2</v>
      </c>
      <c r="C1902">
        <v>1</v>
      </c>
      <c r="D1902" t="str">
        <f>_xlfn.XLOOKUP(RW_DT_PRODUCTION[[#This Row],[MATERIAL_ID]],DIM_MATERIAL[MATERIAL_ID],DIM_MATERIAL[UOM_AFTER_PROCESS])</f>
        <v>BAG</v>
      </c>
      <c r="E1902">
        <v>22</v>
      </c>
    </row>
    <row r="1903" spans="1:5" x14ac:dyDescent="0.2">
      <c r="A1903" s="3">
        <v>45871</v>
      </c>
      <c r="B1903" t="s">
        <v>2</v>
      </c>
      <c r="C1903">
        <v>1</v>
      </c>
      <c r="D1903" t="str">
        <f>_xlfn.XLOOKUP(RW_DT_PRODUCTION[[#This Row],[MATERIAL_ID]],DIM_MATERIAL[MATERIAL_ID],DIM_MATERIAL[UOM_AFTER_PROCESS])</f>
        <v>BAG</v>
      </c>
      <c r="E1903">
        <v>22</v>
      </c>
    </row>
    <row r="1904" spans="1:5" x14ac:dyDescent="0.2">
      <c r="A1904" s="3">
        <v>45874</v>
      </c>
      <c r="B1904" t="s">
        <v>1</v>
      </c>
      <c r="C1904">
        <v>1</v>
      </c>
      <c r="D1904" t="str">
        <f>_xlfn.XLOOKUP(RW_DT_PRODUCTION[[#This Row],[MATERIAL_ID]],DIM_MATERIAL[MATERIAL_ID],DIM_MATERIAL[UOM_AFTER_PROCESS])</f>
        <v>BALE</v>
      </c>
      <c r="E1904">
        <v>65</v>
      </c>
    </row>
    <row r="1905" spans="1:5" x14ac:dyDescent="0.2">
      <c r="A1905" s="3">
        <v>45874</v>
      </c>
      <c r="B1905" t="s">
        <v>1</v>
      </c>
      <c r="C1905">
        <v>1</v>
      </c>
      <c r="D1905" t="str">
        <f>_xlfn.XLOOKUP(RW_DT_PRODUCTION[[#This Row],[MATERIAL_ID]],DIM_MATERIAL[MATERIAL_ID],DIM_MATERIAL[UOM_AFTER_PROCESS])</f>
        <v>BALE</v>
      </c>
      <c r="E1905">
        <v>62</v>
      </c>
    </row>
    <row r="1906" spans="1:5" x14ac:dyDescent="0.2">
      <c r="A1906" s="3">
        <v>45874</v>
      </c>
      <c r="B1906" t="s">
        <v>1</v>
      </c>
      <c r="C1906">
        <v>1</v>
      </c>
      <c r="D1906" t="str">
        <f>_xlfn.XLOOKUP(RW_DT_PRODUCTION[[#This Row],[MATERIAL_ID]],DIM_MATERIAL[MATERIAL_ID],DIM_MATERIAL[UOM_AFTER_PROCESS])</f>
        <v>BALE</v>
      </c>
      <c r="E1906">
        <v>76</v>
      </c>
    </row>
    <row r="1907" spans="1:5" x14ac:dyDescent="0.2">
      <c r="A1907" s="3">
        <v>45874</v>
      </c>
      <c r="B1907" t="s">
        <v>1</v>
      </c>
      <c r="C1907">
        <v>1</v>
      </c>
      <c r="D1907" t="str">
        <f>_xlfn.XLOOKUP(RW_DT_PRODUCTION[[#This Row],[MATERIAL_ID]],DIM_MATERIAL[MATERIAL_ID],DIM_MATERIAL[UOM_AFTER_PROCESS])</f>
        <v>BALE</v>
      </c>
      <c r="E1907">
        <v>62</v>
      </c>
    </row>
    <row r="1908" spans="1:5" x14ac:dyDescent="0.2">
      <c r="A1908" s="3">
        <v>45874</v>
      </c>
      <c r="B1908" t="s">
        <v>2</v>
      </c>
      <c r="C1908">
        <v>1</v>
      </c>
      <c r="D1908" t="str">
        <f>_xlfn.XLOOKUP(RW_DT_PRODUCTION[[#This Row],[MATERIAL_ID]],DIM_MATERIAL[MATERIAL_ID],DIM_MATERIAL[UOM_AFTER_PROCESS])</f>
        <v>BAG</v>
      </c>
      <c r="E1908">
        <v>22</v>
      </c>
    </row>
    <row r="1909" spans="1:5" x14ac:dyDescent="0.2">
      <c r="A1909" s="3">
        <v>45875</v>
      </c>
      <c r="B1909" t="s">
        <v>1</v>
      </c>
      <c r="C1909">
        <v>1</v>
      </c>
      <c r="D1909" t="str">
        <f>_xlfn.XLOOKUP(RW_DT_PRODUCTION[[#This Row],[MATERIAL_ID]],DIM_MATERIAL[MATERIAL_ID],DIM_MATERIAL[UOM_AFTER_PROCESS])</f>
        <v>BALE</v>
      </c>
      <c r="E1909">
        <v>87</v>
      </c>
    </row>
    <row r="1910" spans="1:5" x14ac:dyDescent="0.2">
      <c r="A1910" s="3">
        <v>45875</v>
      </c>
      <c r="B1910" t="s">
        <v>1</v>
      </c>
      <c r="C1910">
        <v>1</v>
      </c>
      <c r="D1910" t="str">
        <f>_xlfn.XLOOKUP(RW_DT_PRODUCTION[[#This Row],[MATERIAL_ID]],DIM_MATERIAL[MATERIAL_ID],DIM_MATERIAL[UOM_AFTER_PROCESS])</f>
        <v>BALE</v>
      </c>
      <c r="E1910">
        <v>85</v>
      </c>
    </row>
    <row r="1911" spans="1:5" x14ac:dyDescent="0.2">
      <c r="A1911" s="3">
        <v>45875</v>
      </c>
      <c r="B1911" t="s">
        <v>1</v>
      </c>
      <c r="C1911">
        <v>1</v>
      </c>
      <c r="D1911" t="str">
        <f>_xlfn.XLOOKUP(RW_DT_PRODUCTION[[#This Row],[MATERIAL_ID]],DIM_MATERIAL[MATERIAL_ID],DIM_MATERIAL[UOM_AFTER_PROCESS])</f>
        <v>BALE</v>
      </c>
      <c r="E1911">
        <v>75</v>
      </c>
    </row>
    <row r="1912" spans="1:5" x14ac:dyDescent="0.2">
      <c r="A1912" s="3">
        <v>45875</v>
      </c>
      <c r="B1912" t="s">
        <v>1</v>
      </c>
      <c r="C1912">
        <v>1</v>
      </c>
      <c r="D1912" t="str">
        <f>_xlfn.XLOOKUP(RW_DT_PRODUCTION[[#This Row],[MATERIAL_ID]],DIM_MATERIAL[MATERIAL_ID],DIM_MATERIAL[UOM_AFTER_PROCESS])</f>
        <v>BALE</v>
      </c>
      <c r="E1912">
        <v>68</v>
      </c>
    </row>
    <row r="1913" spans="1:5" x14ac:dyDescent="0.2">
      <c r="A1913" s="3">
        <v>45876</v>
      </c>
      <c r="B1913" t="s">
        <v>1</v>
      </c>
      <c r="C1913">
        <v>1</v>
      </c>
      <c r="D1913" t="str">
        <f>_xlfn.XLOOKUP(RW_DT_PRODUCTION[[#This Row],[MATERIAL_ID]],DIM_MATERIAL[MATERIAL_ID],DIM_MATERIAL[UOM_AFTER_PROCESS])</f>
        <v>BALE</v>
      </c>
      <c r="E1913">
        <v>77</v>
      </c>
    </row>
    <row r="1914" spans="1:5" x14ac:dyDescent="0.2">
      <c r="A1914" s="3">
        <v>45876</v>
      </c>
      <c r="B1914" t="s">
        <v>1</v>
      </c>
      <c r="C1914">
        <v>1</v>
      </c>
      <c r="D1914" t="str">
        <f>_xlfn.XLOOKUP(RW_DT_PRODUCTION[[#This Row],[MATERIAL_ID]],DIM_MATERIAL[MATERIAL_ID],DIM_MATERIAL[UOM_AFTER_PROCESS])</f>
        <v>BALE</v>
      </c>
      <c r="E1914">
        <v>72</v>
      </c>
    </row>
    <row r="1915" spans="1:5" x14ac:dyDescent="0.2">
      <c r="A1915" s="3">
        <v>45876</v>
      </c>
      <c r="B1915" t="s">
        <v>1</v>
      </c>
      <c r="C1915">
        <v>1</v>
      </c>
      <c r="D1915" t="str">
        <f>_xlfn.XLOOKUP(RW_DT_PRODUCTION[[#This Row],[MATERIAL_ID]],DIM_MATERIAL[MATERIAL_ID],DIM_MATERIAL[UOM_AFTER_PROCESS])</f>
        <v>BALE</v>
      </c>
      <c r="E1915">
        <v>74</v>
      </c>
    </row>
    <row r="1916" spans="1:5" x14ac:dyDescent="0.2">
      <c r="A1916" s="3">
        <v>45876</v>
      </c>
      <c r="B1916" t="s">
        <v>1</v>
      </c>
      <c r="C1916">
        <v>1</v>
      </c>
      <c r="D1916" t="str">
        <f>_xlfn.XLOOKUP(RW_DT_PRODUCTION[[#This Row],[MATERIAL_ID]],DIM_MATERIAL[MATERIAL_ID],DIM_MATERIAL[UOM_AFTER_PROCESS])</f>
        <v>BALE</v>
      </c>
      <c r="E1916">
        <v>61</v>
      </c>
    </row>
    <row r="1917" spans="1:5" x14ac:dyDescent="0.2">
      <c r="A1917" s="3">
        <v>45876</v>
      </c>
      <c r="B1917" t="s">
        <v>1</v>
      </c>
      <c r="C1917">
        <v>1</v>
      </c>
      <c r="D1917" t="str">
        <f>_xlfn.XLOOKUP(RW_DT_PRODUCTION[[#This Row],[MATERIAL_ID]],DIM_MATERIAL[MATERIAL_ID],DIM_MATERIAL[UOM_AFTER_PROCESS])</f>
        <v>BALE</v>
      </c>
      <c r="E1917">
        <v>89</v>
      </c>
    </row>
    <row r="1918" spans="1:5" x14ac:dyDescent="0.2">
      <c r="A1918" s="3">
        <v>45876</v>
      </c>
      <c r="B1918" t="s">
        <v>1</v>
      </c>
      <c r="C1918">
        <v>1</v>
      </c>
      <c r="D1918" t="str">
        <f>_xlfn.XLOOKUP(RW_DT_PRODUCTION[[#This Row],[MATERIAL_ID]],DIM_MATERIAL[MATERIAL_ID],DIM_MATERIAL[UOM_AFTER_PROCESS])</f>
        <v>BALE</v>
      </c>
      <c r="E1918">
        <v>88</v>
      </c>
    </row>
    <row r="1919" spans="1:5" x14ac:dyDescent="0.2">
      <c r="A1919" s="3">
        <v>45877</v>
      </c>
      <c r="B1919" t="s">
        <v>1</v>
      </c>
      <c r="C1919">
        <v>1</v>
      </c>
      <c r="D1919" t="str">
        <f>_xlfn.XLOOKUP(RW_DT_PRODUCTION[[#This Row],[MATERIAL_ID]],DIM_MATERIAL[MATERIAL_ID],DIM_MATERIAL[UOM_AFTER_PROCESS])</f>
        <v>BALE</v>
      </c>
      <c r="E1919">
        <v>77</v>
      </c>
    </row>
    <row r="1920" spans="1:5" x14ac:dyDescent="0.2">
      <c r="A1920" s="3">
        <v>45877</v>
      </c>
      <c r="B1920" t="s">
        <v>1</v>
      </c>
      <c r="C1920">
        <v>1</v>
      </c>
      <c r="D1920" t="str">
        <f>_xlfn.XLOOKUP(RW_DT_PRODUCTION[[#This Row],[MATERIAL_ID]],DIM_MATERIAL[MATERIAL_ID],DIM_MATERIAL[UOM_AFTER_PROCESS])</f>
        <v>BALE</v>
      </c>
      <c r="E1920">
        <v>67</v>
      </c>
    </row>
    <row r="1921" spans="1:5" x14ac:dyDescent="0.2">
      <c r="A1921" s="3">
        <v>45877</v>
      </c>
      <c r="B1921" t="s">
        <v>1</v>
      </c>
      <c r="C1921">
        <v>1</v>
      </c>
      <c r="D1921" t="str">
        <f>_xlfn.XLOOKUP(RW_DT_PRODUCTION[[#This Row],[MATERIAL_ID]],DIM_MATERIAL[MATERIAL_ID],DIM_MATERIAL[UOM_AFTER_PROCESS])</f>
        <v>BALE</v>
      </c>
      <c r="E1921">
        <v>69</v>
      </c>
    </row>
    <row r="1922" spans="1:5" x14ac:dyDescent="0.2">
      <c r="A1922" s="3">
        <v>45877</v>
      </c>
      <c r="B1922" t="s">
        <v>2</v>
      </c>
      <c r="C1922">
        <v>1</v>
      </c>
      <c r="D1922" t="str">
        <f>_xlfn.XLOOKUP(RW_DT_PRODUCTION[[#This Row],[MATERIAL_ID]],DIM_MATERIAL[MATERIAL_ID],DIM_MATERIAL[UOM_AFTER_PROCESS])</f>
        <v>BAG</v>
      </c>
      <c r="E1922">
        <v>22</v>
      </c>
    </row>
    <row r="1923" spans="1:5" x14ac:dyDescent="0.2">
      <c r="A1923" s="3">
        <v>45877</v>
      </c>
      <c r="B1923" t="s">
        <v>2</v>
      </c>
      <c r="C1923">
        <v>1</v>
      </c>
      <c r="D1923" t="str">
        <f>_xlfn.XLOOKUP(RW_DT_PRODUCTION[[#This Row],[MATERIAL_ID]],DIM_MATERIAL[MATERIAL_ID],DIM_MATERIAL[UOM_AFTER_PROCESS])</f>
        <v>BAG</v>
      </c>
      <c r="E1923">
        <v>22</v>
      </c>
    </row>
    <row r="1924" spans="1:5" x14ac:dyDescent="0.2">
      <c r="A1924" s="3">
        <v>45877</v>
      </c>
      <c r="B1924" t="s">
        <v>2</v>
      </c>
      <c r="C1924">
        <v>1</v>
      </c>
      <c r="D1924" t="str">
        <f>_xlfn.XLOOKUP(RW_DT_PRODUCTION[[#This Row],[MATERIAL_ID]],DIM_MATERIAL[MATERIAL_ID],DIM_MATERIAL[UOM_AFTER_PROCESS])</f>
        <v>BAG</v>
      </c>
      <c r="E1924">
        <v>22</v>
      </c>
    </row>
    <row r="1925" spans="1:5" x14ac:dyDescent="0.2">
      <c r="A1925" s="3">
        <v>45877</v>
      </c>
      <c r="B1925" t="s">
        <v>2</v>
      </c>
      <c r="C1925">
        <v>1</v>
      </c>
      <c r="D1925" t="str">
        <f>_xlfn.XLOOKUP(RW_DT_PRODUCTION[[#This Row],[MATERIAL_ID]],DIM_MATERIAL[MATERIAL_ID],DIM_MATERIAL[UOM_AFTER_PROCESS])</f>
        <v>BAG</v>
      </c>
      <c r="E1925">
        <v>22</v>
      </c>
    </row>
    <row r="1926" spans="1:5" x14ac:dyDescent="0.2">
      <c r="A1926" s="3">
        <v>45880</v>
      </c>
      <c r="B1926" t="s">
        <v>1</v>
      </c>
      <c r="C1926">
        <v>1</v>
      </c>
      <c r="D1926" t="str">
        <f>_xlfn.XLOOKUP(RW_DT_PRODUCTION[[#This Row],[MATERIAL_ID]],DIM_MATERIAL[MATERIAL_ID],DIM_MATERIAL[UOM_AFTER_PROCESS])</f>
        <v>BALE</v>
      </c>
      <c r="E1926">
        <v>79</v>
      </c>
    </row>
    <row r="1927" spans="1:5" x14ac:dyDescent="0.2">
      <c r="A1927" s="3">
        <v>45880</v>
      </c>
      <c r="B1927" t="s">
        <v>1</v>
      </c>
      <c r="C1927">
        <v>1</v>
      </c>
      <c r="D1927" t="str">
        <f>_xlfn.XLOOKUP(RW_DT_PRODUCTION[[#This Row],[MATERIAL_ID]],DIM_MATERIAL[MATERIAL_ID],DIM_MATERIAL[UOM_AFTER_PROCESS])</f>
        <v>BALE</v>
      </c>
      <c r="E1927">
        <v>71</v>
      </c>
    </row>
    <row r="1928" spans="1:5" x14ac:dyDescent="0.2">
      <c r="A1928" s="3">
        <v>45880</v>
      </c>
      <c r="B1928" t="s">
        <v>1</v>
      </c>
      <c r="C1928">
        <v>1</v>
      </c>
      <c r="D1928" t="str">
        <f>_xlfn.XLOOKUP(RW_DT_PRODUCTION[[#This Row],[MATERIAL_ID]],DIM_MATERIAL[MATERIAL_ID],DIM_MATERIAL[UOM_AFTER_PROCESS])</f>
        <v>BALE</v>
      </c>
      <c r="E1928">
        <v>87</v>
      </c>
    </row>
    <row r="1929" spans="1:5" x14ac:dyDescent="0.2">
      <c r="A1929" s="3">
        <v>45881</v>
      </c>
      <c r="B1929" t="s">
        <v>1</v>
      </c>
      <c r="C1929">
        <v>1</v>
      </c>
      <c r="D1929" t="str">
        <f>_xlfn.XLOOKUP(RW_DT_PRODUCTION[[#This Row],[MATERIAL_ID]],DIM_MATERIAL[MATERIAL_ID],DIM_MATERIAL[UOM_AFTER_PROCESS])</f>
        <v>BALE</v>
      </c>
      <c r="E1929">
        <v>61</v>
      </c>
    </row>
    <row r="1930" spans="1:5" x14ac:dyDescent="0.2">
      <c r="A1930" s="3">
        <v>45881</v>
      </c>
      <c r="B1930" t="s">
        <v>1</v>
      </c>
      <c r="C1930">
        <v>1</v>
      </c>
      <c r="D1930" t="str">
        <f>_xlfn.XLOOKUP(RW_DT_PRODUCTION[[#This Row],[MATERIAL_ID]],DIM_MATERIAL[MATERIAL_ID],DIM_MATERIAL[UOM_AFTER_PROCESS])</f>
        <v>BALE</v>
      </c>
      <c r="E1930">
        <v>81</v>
      </c>
    </row>
    <row r="1931" spans="1:5" x14ac:dyDescent="0.2">
      <c r="A1931" s="3">
        <v>45881</v>
      </c>
      <c r="B1931" t="s">
        <v>1</v>
      </c>
      <c r="C1931">
        <v>1</v>
      </c>
      <c r="D1931" t="str">
        <f>_xlfn.XLOOKUP(RW_DT_PRODUCTION[[#This Row],[MATERIAL_ID]],DIM_MATERIAL[MATERIAL_ID],DIM_MATERIAL[UOM_AFTER_PROCESS])</f>
        <v>BALE</v>
      </c>
      <c r="E1931">
        <v>74</v>
      </c>
    </row>
    <row r="1932" spans="1:5" x14ac:dyDescent="0.2">
      <c r="A1932" s="3">
        <v>45881</v>
      </c>
      <c r="B1932" t="s">
        <v>2</v>
      </c>
      <c r="C1932">
        <v>1</v>
      </c>
      <c r="D1932" t="str">
        <f>_xlfn.XLOOKUP(RW_DT_PRODUCTION[[#This Row],[MATERIAL_ID]],DIM_MATERIAL[MATERIAL_ID],DIM_MATERIAL[UOM_AFTER_PROCESS])</f>
        <v>BAG</v>
      </c>
      <c r="E1932">
        <v>22</v>
      </c>
    </row>
    <row r="1933" spans="1:5" x14ac:dyDescent="0.2">
      <c r="A1933" s="3">
        <v>45881</v>
      </c>
      <c r="B1933" t="s">
        <v>2</v>
      </c>
      <c r="C1933">
        <v>1</v>
      </c>
      <c r="D1933" t="str">
        <f>_xlfn.XLOOKUP(RW_DT_PRODUCTION[[#This Row],[MATERIAL_ID]],DIM_MATERIAL[MATERIAL_ID],DIM_MATERIAL[UOM_AFTER_PROCESS])</f>
        <v>BAG</v>
      </c>
      <c r="E1933">
        <v>22</v>
      </c>
    </row>
    <row r="1934" spans="1:5" x14ac:dyDescent="0.2">
      <c r="A1934" s="3">
        <v>45881</v>
      </c>
      <c r="B1934" t="s">
        <v>2</v>
      </c>
      <c r="C1934">
        <v>1</v>
      </c>
      <c r="D1934" t="str">
        <f>_xlfn.XLOOKUP(RW_DT_PRODUCTION[[#This Row],[MATERIAL_ID]],DIM_MATERIAL[MATERIAL_ID],DIM_MATERIAL[UOM_AFTER_PROCESS])</f>
        <v>BAG</v>
      </c>
      <c r="E1934">
        <v>22</v>
      </c>
    </row>
    <row r="1935" spans="1:5" x14ac:dyDescent="0.2">
      <c r="A1935" s="3">
        <v>45881</v>
      </c>
      <c r="B1935" t="s">
        <v>2</v>
      </c>
      <c r="C1935">
        <v>1</v>
      </c>
      <c r="D1935" t="str">
        <f>_xlfn.XLOOKUP(RW_DT_PRODUCTION[[#This Row],[MATERIAL_ID]],DIM_MATERIAL[MATERIAL_ID],DIM_MATERIAL[UOM_AFTER_PROCESS])</f>
        <v>BAG</v>
      </c>
      <c r="E1935">
        <v>22</v>
      </c>
    </row>
    <row r="1936" spans="1:5" x14ac:dyDescent="0.2">
      <c r="A1936" s="3">
        <v>45882</v>
      </c>
      <c r="B1936" t="s">
        <v>1</v>
      </c>
      <c r="C1936">
        <v>1</v>
      </c>
      <c r="D1936" t="str">
        <f>_xlfn.XLOOKUP(RW_DT_PRODUCTION[[#This Row],[MATERIAL_ID]],DIM_MATERIAL[MATERIAL_ID],DIM_MATERIAL[UOM_AFTER_PROCESS])</f>
        <v>BALE</v>
      </c>
      <c r="E1936">
        <v>75</v>
      </c>
    </row>
    <row r="1937" spans="1:5" x14ac:dyDescent="0.2">
      <c r="A1937" s="3">
        <v>45882</v>
      </c>
      <c r="B1937" t="s">
        <v>1</v>
      </c>
      <c r="C1937">
        <v>1</v>
      </c>
      <c r="D1937" t="str">
        <f>_xlfn.XLOOKUP(RW_DT_PRODUCTION[[#This Row],[MATERIAL_ID]],DIM_MATERIAL[MATERIAL_ID],DIM_MATERIAL[UOM_AFTER_PROCESS])</f>
        <v>BALE</v>
      </c>
      <c r="E1937">
        <v>62</v>
      </c>
    </row>
    <row r="1938" spans="1:5" x14ac:dyDescent="0.2">
      <c r="A1938" s="3">
        <v>45882</v>
      </c>
      <c r="B1938" t="s">
        <v>1</v>
      </c>
      <c r="C1938">
        <v>1</v>
      </c>
      <c r="D1938" t="str">
        <f>_xlfn.XLOOKUP(RW_DT_PRODUCTION[[#This Row],[MATERIAL_ID]],DIM_MATERIAL[MATERIAL_ID],DIM_MATERIAL[UOM_AFTER_PROCESS])</f>
        <v>BALE</v>
      </c>
      <c r="E1938">
        <v>65</v>
      </c>
    </row>
    <row r="1939" spans="1:5" x14ac:dyDescent="0.2">
      <c r="A1939" s="3">
        <v>45882</v>
      </c>
      <c r="B1939" t="s">
        <v>2</v>
      </c>
      <c r="C1939">
        <v>1</v>
      </c>
      <c r="D1939" t="str">
        <f>_xlfn.XLOOKUP(RW_DT_PRODUCTION[[#This Row],[MATERIAL_ID]],DIM_MATERIAL[MATERIAL_ID],DIM_MATERIAL[UOM_AFTER_PROCESS])</f>
        <v>BAG</v>
      </c>
      <c r="E1939">
        <v>22</v>
      </c>
    </row>
    <row r="1940" spans="1:5" x14ac:dyDescent="0.2">
      <c r="A1940" s="3">
        <v>45882</v>
      </c>
      <c r="B1940" t="s">
        <v>2</v>
      </c>
      <c r="C1940">
        <v>1</v>
      </c>
      <c r="D1940" t="str">
        <f>_xlfn.XLOOKUP(RW_DT_PRODUCTION[[#This Row],[MATERIAL_ID]],DIM_MATERIAL[MATERIAL_ID],DIM_MATERIAL[UOM_AFTER_PROCESS])</f>
        <v>BAG</v>
      </c>
      <c r="E1940">
        <v>22</v>
      </c>
    </row>
    <row r="1941" spans="1:5" x14ac:dyDescent="0.2">
      <c r="A1941" s="3">
        <v>45882</v>
      </c>
      <c r="B1941" t="s">
        <v>2</v>
      </c>
      <c r="C1941">
        <v>1</v>
      </c>
      <c r="D1941" t="str">
        <f>_xlfn.XLOOKUP(RW_DT_PRODUCTION[[#This Row],[MATERIAL_ID]],DIM_MATERIAL[MATERIAL_ID],DIM_MATERIAL[UOM_AFTER_PROCESS])</f>
        <v>BAG</v>
      </c>
      <c r="E1941">
        <v>22</v>
      </c>
    </row>
    <row r="1942" spans="1:5" x14ac:dyDescent="0.2">
      <c r="A1942" s="3">
        <v>45882</v>
      </c>
      <c r="B1942" t="s">
        <v>2</v>
      </c>
      <c r="C1942">
        <v>1</v>
      </c>
      <c r="D1942" t="str">
        <f>_xlfn.XLOOKUP(RW_DT_PRODUCTION[[#This Row],[MATERIAL_ID]],DIM_MATERIAL[MATERIAL_ID],DIM_MATERIAL[UOM_AFTER_PROCESS])</f>
        <v>BAG</v>
      </c>
      <c r="E1942">
        <v>22</v>
      </c>
    </row>
    <row r="1943" spans="1:5" x14ac:dyDescent="0.2">
      <c r="A1943" s="3">
        <v>45882</v>
      </c>
      <c r="B1943" t="s">
        <v>2</v>
      </c>
      <c r="C1943">
        <v>1</v>
      </c>
      <c r="D1943" t="str">
        <f>_xlfn.XLOOKUP(RW_DT_PRODUCTION[[#This Row],[MATERIAL_ID]],DIM_MATERIAL[MATERIAL_ID],DIM_MATERIAL[UOM_AFTER_PROCESS])</f>
        <v>BAG</v>
      </c>
      <c r="E1943">
        <v>22</v>
      </c>
    </row>
    <row r="1944" spans="1:5" x14ac:dyDescent="0.2">
      <c r="A1944" s="3">
        <v>45883</v>
      </c>
      <c r="B1944" t="s">
        <v>1</v>
      </c>
      <c r="C1944">
        <v>1</v>
      </c>
      <c r="D1944" t="str">
        <f>_xlfn.XLOOKUP(RW_DT_PRODUCTION[[#This Row],[MATERIAL_ID]],DIM_MATERIAL[MATERIAL_ID],DIM_MATERIAL[UOM_AFTER_PROCESS])</f>
        <v>BALE</v>
      </c>
      <c r="E1944">
        <v>75</v>
      </c>
    </row>
    <row r="1945" spans="1:5" x14ac:dyDescent="0.2">
      <c r="A1945" s="3">
        <v>45883</v>
      </c>
      <c r="B1945" t="s">
        <v>1</v>
      </c>
      <c r="C1945">
        <v>1</v>
      </c>
      <c r="D1945" t="str">
        <f>_xlfn.XLOOKUP(RW_DT_PRODUCTION[[#This Row],[MATERIAL_ID]],DIM_MATERIAL[MATERIAL_ID],DIM_MATERIAL[UOM_AFTER_PROCESS])</f>
        <v>BALE</v>
      </c>
      <c r="E1945">
        <v>73</v>
      </c>
    </row>
    <row r="1946" spans="1:5" x14ac:dyDescent="0.2">
      <c r="A1946" s="3">
        <v>45883</v>
      </c>
      <c r="B1946" t="s">
        <v>1</v>
      </c>
      <c r="C1946">
        <v>1</v>
      </c>
      <c r="D1946" t="str">
        <f>_xlfn.XLOOKUP(RW_DT_PRODUCTION[[#This Row],[MATERIAL_ID]],DIM_MATERIAL[MATERIAL_ID],DIM_MATERIAL[UOM_AFTER_PROCESS])</f>
        <v>BALE</v>
      </c>
      <c r="E1946">
        <v>73</v>
      </c>
    </row>
    <row r="1947" spans="1:5" x14ac:dyDescent="0.2">
      <c r="A1947" s="3">
        <v>45883</v>
      </c>
      <c r="B1947" t="s">
        <v>1</v>
      </c>
      <c r="C1947">
        <v>1</v>
      </c>
      <c r="D1947" t="str">
        <f>_xlfn.XLOOKUP(RW_DT_PRODUCTION[[#This Row],[MATERIAL_ID]],DIM_MATERIAL[MATERIAL_ID],DIM_MATERIAL[UOM_AFTER_PROCESS])</f>
        <v>BALE</v>
      </c>
      <c r="E1947">
        <v>66</v>
      </c>
    </row>
    <row r="1948" spans="1:5" x14ac:dyDescent="0.2">
      <c r="A1948" s="3">
        <v>45883</v>
      </c>
      <c r="B1948" t="s">
        <v>1</v>
      </c>
      <c r="C1948">
        <v>1</v>
      </c>
      <c r="D1948" t="str">
        <f>_xlfn.XLOOKUP(RW_DT_PRODUCTION[[#This Row],[MATERIAL_ID]],DIM_MATERIAL[MATERIAL_ID],DIM_MATERIAL[UOM_AFTER_PROCESS])</f>
        <v>BALE</v>
      </c>
      <c r="E1948">
        <v>70</v>
      </c>
    </row>
    <row r="1949" spans="1:5" x14ac:dyDescent="0.2">
      <c r="A1949" s="3">
        <v>45883</v>
      </c>
      <c r="B1949" t="s">
        <v>2</v>
      </c>
      <c r="C1949">
        <v>1</v>
      </c>
      <c r="D1949" t="str">
        <f>_xlfn.XLOOKUP(RW_DT_PRODUCTION[[#This Row],[MATERIAL_ID]],DIM_MATERIAL[MATERIAL_ID],DIM_MATERIAL[UOM_AFTER_PROCESS])</f>
        <v>BAG</v>
      </c>
      <c r="E1949">
        <v>22</v>
      </c>
    </row>
    <row r="1950" spans="1:5" x14ac:dyDescent="0.2">
      <c r="A1950" s="3">
        <v>45883</v>
      </c>
      <c r="B1950" t="s">
        <v>2</v>
      </c>
      <c r="C1950">
        <v>1</v>
      </c>
      <c r="D1950" t="str">
        <f>_xlfn.XLOOKUP(RW_DT_PRODUCTION[[#This Row],[MATERIAL_ID]],DIM_MATERIAL[MATERIAL_ID],DIM_MATERIAL[UOM_AFTER_PROCESS])</f>
        <v>BAG</v>
      </c>
      <c r="E1950">
        <v>22</v>
      </c>
    </row>
    <row r="1951" spans="1:5" x14ac:dyDescent="0.2">
      <c r="A1951" s="3">
        <v>45883</v>
      </c>
      <c r="B1951" t="s">
        <v>2</v>
      </c>
      <c r="C1951">
        <v>1</v>
      </c>
      <c r="D1951" t="str">
        <f>_xlfn.XLOOKUP(RW_DT_PRODUCTION[[#This Row],[MATERIAL_ID]],DIM_MATERIAL[MATERIAL_ID],DIM_MATERIAL[UOM_AFTER_PROCESS])</f>
        <v>BAG</v>
      </c>
      <c r="E1951">
        <v>22</v>
      </c>
    </row>
    <row r="1952" spans="1:5" x14ac:dyDescent="0.2">
      <c r="A1952" s="3">
        <v>45883</v>
      </c>
      <c r="B1952" t="s">
        <v>2</v>
      </c>
      <c r="C1952">
        <v>1</v>
      </c>
      <c r="D1952" t="str">
        <f>_xlfn.XLOOKUP(RW_DT_PRODUCTION[[#This Row],[MATERIAL_ID]],DIM_MATERIAL[MATERIAL_ID],DIM_MATERIAL[UOM_AFTER_PROCESS])</f>
        <v>BAG</v>
      </c>
      <c r="E1952">
        <v>22</v>
      </c>
    </row>
    <row r="1953" spans="1:5" x14ac:dyDescent="0.2">
      <c r="A1953" s="3">
        <v>45883</v>
      </c>
      <c r="B1953" t="s">
        <v>2</v>
      </c>
      <c r="C1953">
        <v>1</v>
      </c>
      <c r="D1953" t="str">
        <f>_xlfn.XLOOKUP(RW_DT_PRODUCTION[[#This Row],[MATERIAL_ID]],DIM_MATERIAL[MATERIAL_ID],DIM_MATERIAL[UOM_AFTER_PROCESS])</f>
        <v>BAG</v>
      </c>
      <c r="E1953">
        <v>22</v>
      </c>
    </row>
    <row r="1954" spans="1:5" x14ac:dyDescent="0.2">
      <c r="A1954" s="3">
        <v>45883</v>
      </c>
      <c r="B1954" t="s">
        <v>2</v>
      </c>
      <c r="C1954">
        <v>1</v>
      </c>
      <c r="D1954" t="str">
        <f>_xlfn.XLOOKUP(RW_DT_PRODUCTION[[#This Row],[MATERIAL_ID]],DIM_MATERIAL[MATERIAL_ID],DIM_MATERIAL[UOM_AFTER_PROCESS])</f>
        <v>BAG</v>
      </c>
      <c r="E1954">
        <v>22</v>
      </c>
    </row>
    <row r="1955" spans="1:5" x14ac:dyDescent="0.2">
      <c r="A1955" s="3">
        <v>45883</v>
      </c>
      <c r="B1955" t="s">
        <v>2</v>
      </c>
      <c r="C1955">
        <v>1</v>
      </c>
      <c r="D1955" t="str">
        <f>_xlfn.XLOOKUP(RW_DT_PRODUCTION[[#This Row],[MATERIAL_ID]],DIM_MATERIAL[MATERIAL_ID],DIM_MATERIAL[UOM_AFTER_PROCESS])</f>
        <v>BAG</v>
      </c>
      <c r="E1955">
        <v>22</v>
      </c>
    </row>
    <row r="1956" spans="1:5" x14ac:dyDescent="0.2">
      <c r="A1956" s="3">
        <v>45883</v>
      </c>
      <c r="B1956" t="s">
        <v>2</v>
      </c>
      <c r="C1956">
        <v>1</v>
      </c>
      <c r="D1956" t="str">
        <f>_xlfn.XLOOKUP(RW_DT_PRODUCTION[[#This Row],[MATERIAL_ID]],DIM_MATERIAL[MATERIAL_ID],DIM_MATERIAL[UOM_AFTER_PROCESS])</f>
        <v>BAG</v>
      </c>
      <c r="E1956">
        <v>22</v>
      </c>
    </row>
    <row r="1957" spans="1:5" x14ac:dyDescent="0.2">
      <c r="A1957" s="3">
        <v>45883</v>
      </c>
      <c r="B1957" t="s">
        <v>2</v>
      </c>
      <c r="C1957">
        <v>1</v>
      </c>
      <c r="D1957" t="str">
        <f>_xlfn.XLOOKUP(RW_DT_PRODUCTION[[#This Row],[MATERIAL_ID]],DIM_MATERIAL[MATERIAL_ID],DIM_MATERIAL[UOM_AFTER_PROCESS])</f>
        <v>BAG</v>
      </c>
      <c r="E1957">
        <v>22</v>
      </c>
    </row>
    <row r="1958" spans="1:5" x14ac:dyDescent="0.2">
      <c r="A1958" s="3">
        <v>45884</v>
      </c>
      <c r="B1958" t="s">
        <v>1</v>
      </c>
      <c r="C1958">
        <v>1</v>
      </c>
      <c r="D1958" t="str">
        <f>_xlfn.XLOOKUP(RW_DT_PRODUCTION[[#This Row],[MATERIAL_ID]],DIM_MATERIAL[MATERIAL_ID],DIM_MATERIAL[UOM_AFTER_PROCESS])</f>
        <v>BALE</v>
      </c>
      <c r="E1958">
        <v>81</v>
      </c>
    </row>
    <row r="1959" spans="1:5" x14ac:dyDescent="0.2">
      <c r="A1959" s="3">
        <v>45884</v>
      </c>
      <c r="B1959" t="s">
        <v>1</v>
      </c>
      <c r="C1959">
        <v>1</v>
      </c>
      <c r="D1959" t="str">
        <f>_xlfn.XLOOKUP(RW_DT_PRODUCTION[[#This Row],[MATERIAL_ID]],DIM_MATERIAL[MATERIAL_ID],DIM_MATERIAL[UOM_AFTER_PROCESS])</f>
        <v>BALE</v>
      </c>
      <c r="E1959">
        <v>71</v>
      </c>
    </row>
    <row r="1960" spans="1:5" x14ac:dyDescent="0.2">
      <c r="A1960" s="3">
        <v>45884</v>
      </c>
      <c r="B1960" t="s">
        <v>1</v>
      </c>
      <c r="C1960">
        <v>1</v>
      </c>
      <c r="D1960" t="str">
        <f>_xlfn.XLOOKUP(RW_DT_PRODUCTION[[#This Row],[MATERIAL_ID]],DIM_MATERIAL[MATERIAL_ID],DIM_MATERIAL[UOM_AFTER_PROCESS])</f>
        <v>BALE</v>
      </c>
      <c r="E1960">
        <v>85</v>
      </c>
    </row>
    <row r="1961" spans="1:5" x14ac:dyDescent="0.2">
      <c r="A1961" s="3">
        <v>45884</v>
      </c>
      <c r="B1961" t="s">
        <v>1</v>
      </c>
      <c r="C1961">
        <v>1</v>
      </c>
      <c r="D1961" t="str">
        <f>_xlfn.XLOOKUP(RW_DT_PRODUCTION[[#This Row],[MATERIAL_ID]],DIM_MATERIAL[MATERIAL_ID],DIM_MATERIAL[UOM_AFTER_PROCESS])</f>
        <v>BALE</v>
      </c>
      <c r="E1961">
        <v>83</v>
      </c>
    </row>
    <row r="1962" spans="1:5" x14ac:dyDescent="0.2">
      <c r="A1962" s="3">
        <v>45884</v>
      </c>
      <c r="B1962" t="s">
        <v>1</v>
      </c>
      <c r="C1962">
        <v>1</v>
      </c>
      <c r="D1962" t="str">
        <f>_xlfn.XLOOKUP(RW_DT_PRODUCTION[[#This Row],[MATERIAL_ID]],DIM_MATERIAL[MATERIAL_ID],DIM_MATERIAL[UOM_AFTER_PROCESS])</f>
        <v>BALE</v>
      </c>
      <c r="E1962">
        <v>85</v>
      </c>
    </row>
    <row r="1963" spans="1:5" x14ac:dyDescent="0.2">
      <c r="A1963" s="3">
        <v>45884</v>
      </c>
      <c r="B1963" t="s">
        <v>1</v>
      </c>
      <c r="C1963">
        <v>1</v>
      </c>
      <c r="D1963" t="str">
        <f>_xlfn.XLOOKUP(RW_DT_PRODUCTION[[#This Row],[MATERIAL_ID]],DIM_MATERIAL[MATERIAL_ID],DIM_MATERIAL[UOM_AFTER_PROCESS])</f>
        <v>BALE</v>
      </c>
      <c r="E1963">
        <v>88</v>
      </c>
    </row>
    <row r="1964" spans="1:5" x14ac:dyDescent="0.2">
      <c r="A1964" s="3">
        <v>45884</v>
      </c>
      <c r="B1964" t="s">
        <v>1</v>
      </c>
      <c r="C1964">
        <v>1</v>
      </c>
      <c r="D1964" t="str">
        <f>_xlfn.XLOOKUP(RW_DT_PRODUCTION[[#This Row],[MATERIAL_ID]],DIM_MATERIAL[MATERIAL_ID],DIM_MATERIAL[UOM_AFTER_PROCESS])</f>
        <v>BALE</v>
      </c>
      <c r="E1964">
        <v>84</v>
      </c>
    </row>
    <row r="1965" spans="1:5" x14ac:dyDescent="0.2">
      <c r="A1965" s="3">
        <v>45884</v>
      </c>
      <c r="B1965" t="s">
        <v>2</v>
      </c>
      <c r="C1965">
        <v>1</v>
      </c>
      <c r="D1965" t="str">
        <f>_xlfn.XLOOKUP(RW_DT_PRODUCTION[[#This Row],[MATERIAL_ID]],DIM_MATERIAL[MATERIAL_ID],DIM_MATERIAL[UOM_AFTER_PROCESS])</f>
        <v>BAG</v>
      </c>
      <c r="E1965">
        <v>22</v>
      </c>
    </row>
    <row r="1966" spans="1:5" x14ac:dyDescent="0.2">
      <c r="A1966" s="3">
        <v>45884</v>
      </c>
      <c r="B1966" t="s">
        <v>2</v>
      </c>
      <c r="C1966">
        <v>1</v>
      </c>
      <c r="D1966" t="str">
        <f>_xlfn.XLOOKUP(RW_DT_PRODUCTION[[#This Row],[MATERIAL_ID]],DIM_MATERIAL[MATERIAL_ID],DIM_MATERIAL[UOM_AFTER_PROCESS])</f>
        <v>BAG</v>
      </c>
      <c r="E1966">
        <v>22</v>
      </c>
    </row>
    <row r="1967" spans="1:5" x14ac:dyDescent="0.2">
      <c r="A1967" s="3">
        <v>45884</v>
      </c>
      <c r="B1967" t="s">
        <v>2</v>
      </c>
      <c r="C1967">
        <v>1</v>
      </c>
      <c r="D1967" t="str">
        <f>_xlfn.XLOOKUP(RW_DT_PRODUCTION[[#This Row],[MATERIAL_ID]],DIM_MATERIAL[MATERIAL_ID],DIM_MATERIAL[UOM_AFTER_PROCESS])</f>
        <v>BAG</v>
      </c>
      <c r="E1967">
        <v>22</v>
      </c>
    </row>
    <row r="1968" spans="1:5" x14ac:dyDescent="0.2">
      <c r="A1968" s="3">
        <v>45884</v>
      </c>
      <c r="B1968" t="s">
        <v>2</v>
      </c>
      <c r="C1968">
        <v>1</v>
      </c>
      <c r="D1968" t="str">
        <f>_xlfn.XLOOKUP(RW_DT_PRODUCTION[[#This Row],[MATERIAL_ID]],DIM_MATERIAL[MATERIAL_ID],DIM_MATERIAL[UOM_AFTER_PROCESS])</f>
        <v>BAG</v>
      </c>
      <c r="E1968">
        <v>22</v>
      </c>
    </row>
    <row r="1969" spans="1:5" x14ac:dyDescent="0.2">
      <c r="A1969" s="3">
        <v>45884</v>
      </c>
      <c r="B1969" t="s">
        <v>2</v>
      </c>
      <c r="C1969">
        <v>1</v>
      </c>
      <c r="D1969" t="str">
        <f>_xlfn.XLOOKUP(RW_DT_PRODUCTION[[#This Row],[MATERIAL_ID]],DIM_MATERIAL[MATERIAL_ID],DIM_MATERIAL[UOM_AFTER_PROCESS])</f>
        <v>BAG</v>
      </c>
      <c r="E1969">
        <v>22</v>
      </c>
    </row>
    <row r="1970" spans="1:5" x14ac:dyDescent="0.2">
      <c r="A1970" s="3">
        <v>45884</v>
      </c>
      <c r="B1970" t="s">
        <v>2</v>
      </c>
      <c r="C1970">
        <v>1</v>
      </c>
      <c r="D1970" t="str">
        <f>_xlfn.XLOOKUP(RW_DT_PRODUCTION[[#This Row],[MATERIAL_ID]],DIM_MATERIAL[MATERIAL_ID],DIM_MATERIAL[UOM_AFTER_PROCESS])</f>
        <v>BAG</v>
      </c>
      <c r="E1970">
        <v>22</v>
      </c>
    </row>
    <row r="1971" spans="1:5" x14ac:dyDescent="0.2">
      <c r="A1971" s="3">
        <v>45884</v>
      </c>
      <c r="B1971" t="s">
        <v>2</v>
      </c>
      <c r="C1971">
        <v>1</v>
      </c>
      <c r="D1971" t="str">
        <f>_xlfn.XLOOKUP(RW_DT_PRODUCTION[[#This Row],[MATERIAL_ID]],DIM_MATERIAL[MATERIAL_ID],DIM_MATERIAL[UOM_AFTER_PROCESS])</f>
        <v>BAG</v>
      </c>
      <c r="E1971">
        <v>22</v>
      </c>
    </row>
    <row r="1972" spans="1:5" x14ac:dyDescent="0.2">
      <c r="A1972" s="3">
        <v>45884</v>
      </c>
      <c r="B1972" t="s">
        <v>2</v>
      </c>
      <c r="C1972">
        <v>1</v>
      </c>
      <c r="D1972" t="str">
        <f>_xlfn.XLOOKUP(RW_DT_PRODUCTION[[#This Row],[MATERIAL_ID]],DIM_MATERIAL[MATERIAL_ID],DIM_MATERIAL[UOM_AFTER_PROCESS])</f>
        <v>BAG</v>
      </c>
      <c r="E1972">
        <v>22</v>
      </c>
    </row>
    <row r="1973" spans="1:5" x14ac:dyDescent="0.2">
      <c r="A1973" s="3">
        <v>45884</v>
      </c>
      <c r="B1973" t="s">
        <v>2</v>
      </c>
      <c r="C1973">
        <v>1</v>
      </c>
      <c r="D1973" t="str">
        <f>_xlfn.XLOOKUP(RW_DT_PRODUCTION[[#This Row],[MATERIAL_ID]],DIM_MATERIAL[MATERIAL_ID],DIM_MATERIAL[UOM_AFTER_PROCESS])</f>
        <v>BAG</v>
      </c>
      <c r="E1973">
        <v>22</v>
      </c>
    </row>
    <row r="1974" spans="1:5" x14ac:dyDescent="0.2">
      <c r="A1974" s="3">
        <v>45887</v>
      </c>
      <c r="B1974" t="s">
        <v>1</v>
      </c>
      <c r="C1974">
        <v>1</v>
      </c>
      <c r="D1974" t="str">
        <f>_xlfn.XLOOKUP(RW_DT_PRODUCTION[[#This Row],[MATERIAL_ID]],DIM_MATERIAL[MATERIAL_ID],DIM_MATERIAL[UOM_AFTER_PROCESS])</f>
        <v>BALE</v>
      </c>
      <c r="E1974">
        <v>63</v>
      </c>
    </row>
    <row r="1975" spans="1:5" x14ac:dyDescent="0.2">
      <c r="A1975" s="3">
        <v>45887</v>
      </c>
      <c r="B1975" t="s">
        <v>1</v>
      </c>
      <c r="C1975">
        <v>1</v>
      </c>
      <c r="D1975" t="str">
        <f>_xlfn.XLOOKUP(RW_DT_PRODUCTION[[#This Row],[MATERIAL_ID]],DIM_MATERIAL[MATERIAL_ID],DIM_MATERIAL[UOM_AFTER_PROCESS])</f>
        <v>BALE</v>
      </c>
      <c r="E1975">
        <v>88</v>
      </c>
    </row>
    <row r="1976" spans="1:5" x14ac:dyDescent="0.2">
      <c r="A1976" s="3">
        <v>45887</v>
      </c>
      <c r="B1976" t="s">
        <v>1</v>
      </c>
      <c r="C1976">
        <v>1</v>
      </c>
      <c r="D1976" t="str">
        <f>_xlfn.XLOOKUP(RW_DT_PRODUCTION[[#This Row],[MATERIAL_ID]],DIM_MATERIAL[MATERIAL_ID],DIM_MATERIAL[UOM_AFTER_PROCESS])</f>
        <v>BALE</v>
      </c>
      <c r="E1976">
        <v>68</v>
      </c>
    </row>
    <row r="1977" spans="1:5" x14ac:dyDescent="0.2">
      <c r="A1977" s="3">
        <v>45887</v>
      </c>
      <c r="B1977" t="s">
        <v>1</v>
      </c>
      <c r="C1977">
        <v>1</v>
      </c>
      <c r="D1977" t="str">
        <f>_xlfn.XLOOKUP(RW_DT_PRODUCTION[[#This Row],[MATERIAL_ID]],DIM_MATERIAL[MATERIAL_ID],DIM_MATERIAL[UOM_AFTER_PROCESS])</f>
        <v>BALE</v>
      </c>
      <c r="E1977">
        <v>77</v>
      </c>
    </row>
    <row r="1978" spans="1:5" x14ac:dyDescent="0.2">
      <c r="A1978" s="3">
        <v>45887</v>
      </c>
      <c r="B1978" t="s">
        <v>1</v>
      </c>
      <c r="C1978">
        <v>1</v>
      </c>
      <c r="D1978" t="str">
        <f>_xlfn.XLOOKUP(RW_DT_PRODUCTION[[#This Row],[MATERIAL_ID]],DIM_MATERIAL[MATERIAL_ID],DIM_MATERIAL[UOM_AFTER_PROCESS])</f>
        <v>BALE</v>
      </c>
      <c r="E1978">
        <v>80</v>
      </c>
    </row>
    <row r="1979" spans="1:5" x14ac:dyDescent="0.2">
      <c r="A1979" s="3">
        <v>45887</v>
      </c>
      <c r="B1979" t="s">
        <v>1</v>
      </c>
      <c r="C1979">
        <v>1</v>
      </c>
      <c r="D1979" t="str">
        <f>_xlfn.XLOOKUP(RW_DT_PRODUCTION[[#This Row],[MATERIAL_ID]],DIM_MATERIAL[MATERIAL_ID],DIM_MATERIAL[UOM_AFTER_PROCESS])</f>
        <v>BALE</v>
      </c>
      <c r="E1979">
        <v>64</v>
      </c>
    </row>
    <row r="1980" spans="1:5" x14ac:dyDescent="0.2">
      <c r="A1980" s="3">
        <v>45887</v>
      </c>
      <c r="B1980" t="s">
        <v>2</v>
      </c>
      <c r="C1980">
        <v>1</v>
      </c>
      <c r="D1980" t="str">
        <f>_xlfn.XLOOKUP(RW_DT_PRODUCTION[[#This Row],[MATERIAL_ID]],DIM_MATERIAL[MATERIAL_ID],DIM_MATERIAL[UOM_AFTER_PROCESS])</f>
        <v>BAG</v>
      </c>
      <c r="E1980">
        <v>22</v>
      </c>
    </row>
    <row r="1981" spans="1:5" x14ac:dyDescent="0.2">
      <c r="A1981" s="3">
        <v>45887</v>
      </c>
      <c r="B1981" t="s">
        <v>2</v>
      </c>
      <c r="C1981">
        <v>1</v>
      </c>
      <c r="D1981" t="str">
        <f>_xlfn.XLOOKUP(RW_DT_PRODUCTION[[#This Row],[MATERIAL_ID]],DIM_MATERIAL[MATERIAL_ID],DIM_MATERIAL[UOM_AFTER_PROCESS])</f>
        <v>BAG</v>
      </c>
      <c r="E1981">
        <v>22</v>
      </c>
    </row>
    <row r="1982" spans="1:5" x14ac:dyDescent="0.2">
      <c r="A1982" s="3">
        <v>45887</v>
      </c>
      <c r="B1982" t="s">
        <v>2</v>
      </c>
      <c r="C1982">
        <v>1</v>
      </c>
      <c r="D1982" t="str">
        <f>_xlfn.XLOOKUP(RW_DT_PRODUCTION[[#This Row],[MATERIAL_ID]],DIM_MATERIAL[MATERIAL_ID],DIM_MATERIAL[UOM_AFTER_PROCESS])</f>
        <v>BAG</v>
      </c>
      <c r="E1982">
        <v>22</v>
      </c>
    </row>
    <row r="1983" spans="1:5" x14ac:dyDescent="0.2">
      <c r="A1983" s="3">
        <v>45888</v>
      </c>
      <c r="B1983" t="s">
        <v>1</v>
      </c>
      <c r="C1983">
        <v>1</v>
      </c>
      <c r="D1983" t="str">
        <f>_xlfn.XLOOKUP(RW_DT_PRODUCTION[[#This Row],[MATERIAL_ID]],DIM_MATERIAL[MATERIAL_ID],DIM_MATERIAL[UOM_AFTER_PROCESS])</f>
        <v>BALE</v>
      </c>
      <c r="E1983">
        <v>64</v>
      </c>
    </row>
    <row r="1984" spans="1:5" x14ac:dyDescent="0.2">
      <c r="A1984" s="3">
        <v>45888</v>
      </c>
      <c r="B1984" t="s">
        <v>1</v>
      </c>
      <c r="C1984">
        <v>1</v>
      </c>
      <c r="D1984" t="str">
        <f>_xlfn.XLOOKUP(RW_DT_PRODUCTION[[#This Row],[MATERIAL_ID]],DIM_MATERIAL[MATERIAL_ID],DIM_MATERIAL[UOM_AFTER_PROCESS])</f>
        <v>BALE</v>
      </c>
      <c r="E1984">
        <v>75</v>
      </c>
    </row>
    <row r="1985" spans="1:5" x14ac:dyDescent="0.2">
      <c r="A1985" s="3">
        <v>45888</v>
      </c>
      <c r="B1985" t="s">
        <v>1</v>
      </c>
      <c r="C1985">
        <v>1</v>
      </c>
      <c r="D1985" t="str">
        <f>_xlfn.XLOOKUP(RW_DT_PRODUCTION[[#This Row],[MATERIAL_ID]],DIM_MATERIAL[MATERIAL_ID],DIM_MATERIAL[UOM_AFTER_PROCESS])</f>
        <v>BALE</v>
      </c>
      <c r="E1985">
        <v>69</v>
      </c>
    </row>
    <row r="1986" spans="1:5" x14ac:dyDescent="0.2">
      <c r="A1986" s="3">
        <v>45888</v>
      </c>
      <c r="B1986" t="s">
        <v>1</v>
      </c>
      <c r="C1986">
        <v>1</v>
      </c>
      <c r="D1986" t="str">
        <f>_xlfn.XLOOKUP(RW_DT_PRODUCTION[[#This Row],[MATERIAL_ID]],DIM_MATERIAL[MATERIAL_ID],DIM_MATERIAL[UOM_AFTER_PROCESS])</f>
        <v>BALE</v>
      </c>
      <c r="E1986">
        <v>60</v>
      </c>
    </row>
    <row r="1987" spans="1:5" x14ac:dyDescent="0.2">
      <c r="A1987" s="3">
        <v>45888</v>
      </c>
      <c r="B1987" t="s">
        <v>1</v>
      </c>
      <c r="C1987">
        <v>1</v>
      </c>
      <c r="D1987" t="str">
        <f>_xlfn.XLOOKUP(RW_DT_PRODUCTION[[#This Row],[MATERIAL_ID]],DIM_MATERIAL[MATERIAL_ID],DIM_MATERIAL[UOM_AFTER_PROCESS])</f>
        <v>BALE</v>
      </c>
      <c r="E1987">
        <v>70</v>
      </c>
    </row>
    <row r="1988" spans="1:5" x14ac:dyDescent="0.2">
      <c r="A1988" s="3">
        <v>45888</v>
      </c>
      <c r="B1988" t="s">
        <v>1</v>
      </c>
      <c r="C1988">
        <v>1</v>
      </c>
      <c r="D1988" t="str">
        <f>_xlfn.XLOOKUP(RW_DT_PRODUCTION[[#This Row],[MATERIAL_ID]],DIM_MATERIAL[MATERIAL_ID],DIM_MATERIAL[UOM_AFTER_PROCESS])</f>
        <v>BALE</v>
      </c>
      <c r="E1988">
        <v>62</v>
      </c>
    </row>
    <row r="1989" spans="1:5" x14ac:dyDescent="0.2">
      <c r="A1989" s="3">
        <v>45888</v>
      </c>
      <c r="B1989" t="s">
        <v>2</v>
      </c>
      <c r="C1989">
        <v>1</v>
      </c>
      <c r="D1989" t="str">
        <f>_xlfn.XLOOKUP(RW_DT_PRODUCTION[[#This Row],[MATERIAL_ID]],DIM_MATERIAL[MATERIAL_ID],DIM_MATERIAL[UOM_AFTER_PROCESS])</f>
        <v>BAG</v>
      </c>
      <c r="E1989">
        <v>22</v>
      </c>
    </row>
    <row r="1990" spans="1:5" x14ac:dyDescent="0.2">
      <c r="A1990" s="3">
        <v>45888</v>
      </c>
      <c r="B1990" t="s">
        <v>2</v>
      </c>
      <c r="C1990">
        <v>1</v>
      </c>
      <c r="D1990" t="str">
        <f>_xlfn.XLOOKUP(RW_DT_PRODUCTION[[#This Row],[MATERIAL_ID]],DIM_MATERIAL[MATERIAL_ID],DIM_MATERIAL[UOM_AFTER_PROCESS])</f>
        <v>BAG</v>
      </c>
      <c r="E1990">
        <v>22</v>
      </c>
    </row>
    <row r="1991" spans="1:5" x14ac:dyDescent="0.2">
      <c r="A1991" s="3">
        <v>45889</v>
      </c>
      <c r="B1991" t="s">
        <v>1</v>
      </c>
      <c r="C1991">
        <v>1</v>
      </c>
      <c r="D1991" t="str">
        <f>_xlfn.XLOOKUP(RW_DT_PRODUCTION[[#This Row],[MATERIAL_ID]],DIM_MATERIAL[MATERIAL_ID],DIM_MATERIAL[UOM_AFTER_PROCESS])</f>
        <v>BALE</v>
      </c>
      <c r="E1991">
        <v>70</v>
      </c>
    </row>
    <row r="1992" spans="1:5" x14ac:dyDescent="0.2">
      <c r="A1992" s="3">
        <v>45889</v>
      </c>
      <c r="B1992" t="s">
        <v>1</v>
      </c>
      <c r="C1992">
        <v>1</v>
      </c>
      <c r="D1992" t="str">
        <f>_xlfn.XLOOKUP(RW_DT_PRODUCTION[[#This Row],[MATERIAL_ID]],DIM_MATERIAL[MATERIAL_ID],DIM_MATERIAL[UOM_AFTER_PROCESS])</f>
        <v>BALE</v>
      </c>
      <c r="E1992">
        <v>62</v>
      </c>
    </row>
    <row r="1993" spans="1:5" x14ac:dyDescent="0.2">
      <c r="A1993" s="3">
        <v>45889</v>
      </c>
      <c r="B1993" t="s">
        <v>1</v>
      </c>
      <c r="C1993">
        <v>1</v>
      </c>
      <c r="D1993" t="str">
        <f>_xlfn.XLOOKUP(RW_DT_PRODUCTION[[#This Row],[MATERIAL_ID]],DIM_MATERIAL[MATERIAL_ID],DIM_MATERIAL[UOM_AFTER_PROCESS])</f>
        <v>BALE</v>
      </c>
      <c r="E1993">
        <v>66</v>
      </c>
    </row>
    <row r="1994" spans="1:5" x14ac:dyDescent="0.2">
      <c r="A1994" s="3">
        <v>45889</v>
      </c>
      <c r="B1994" t="s">
        <v>1</v>
      </c>
      <c r="C1994">
        <v>1</v>
      </c>
      <c r="D1994" t="str">
        <f>_xlfn.XLOOKUP(RW_DT_PRODUCTION[[#This Row],[MATERIAL_ID]],DIM_MATERIAL[MATERIAL_ID],DIM_MATERIAL[UOM_AFTER_PROCESS])</f>
        <v>BALE</v>
      </c>
      <c r="E1994">
        <v>84</v>
      </c>
    </row>
    <row r="1995" spans="1:5" x14ac:dyDescent="0.2">
      <c r="A1995" s="3">
        <v>45890</v>
      </c>
      <c r="B1995" t="s">
        <v>1</v>
      </c>
      <c r="C1995">
        <v>1</v>
      </c>
      <c r="D1995" t="str">
        <f>_xlfn.XLOOKUP(RW_DT_PRODUCTION[[#This Row],[MATERIAL_ID]],DIM_MATERIAL[MATERIAL_ID],DIM_MATERIAL[UOM_AFTER_PROCESS])</f>
        <v>BALE</v>
      </c>
      <c r="E1995">
        <v>87</v>
      </c>
    </row>
    <row r="1996" spans="1:5" x14ac:dyDescent="0.2">
      <c r="A1996" s="3">
        <v>45890</v>
      </c>
      <c r="B1996" t="s">
        <v>1</v>
      </c>
      <c r="C1996">
        <v>1</v>
      </c>
      <c r="D1996" t="str">
        <f>_xlfn.XLOOKUP(RW_DT_PRODUCTION[[#This Row],[MATERIAL_ID]],DIM_MATERIAL[MATERIAL_ID],DIM_MATERIAL[UOM_AFTER_PROCESS])</f>
        <v>BALE</v>
      </c>
      <c r="E1996">
        <v>73</v>
      </c>
    </row>
    <row r="1997" spans="1:5" x14ac:dyDescent="0.2">
      <c r="A1997" s="3">
        <v>45890</v>
      </c>
      <c r="B1997" t="s">
        <v>1</v>
      </c>
      <c r="C1997">
        <v>1</v>
      </c>
      <c r="D1997" t="str">
        <f>_xlfn.XLOOKUP(RW_DT_PRODUCTION[[#This Row],[MATERIAL_ID]],DIM_MATERIAL[MATERIAL_ID],DIM_MATERIAL[UOM_AFTER_PROCESS])</f>
        <v>BALE</v>
      </c>
      <c r="E1997">
        <v>67</v>
      </c>
    </row>
    <row r="1998" spans="1:5" x14ac:dyDescent="0.2">
      <c r="A1998" s="3">
        <v>45890</v>
      </c>
      <c r="B1998" t="s">
        <v>1</v>
      </c>
      <c r="C1998">
        <v>1</v>
      </c>
      <c r="D1998" t="str">
        <f>_xlfn.XLOOKUP(RW_DT_PRODUCTION[[#This Row],[MATERIAL_ID]],DIM_MATERIAL[MATERIAL_ID],DIM_MATERIAL[UOM_AFTER_PROCESS])</f>
        <v>BALE</v>
      </c>
      <c r="E1998">
        <v>81</v>
      </c>
    </row>
    <row r="1999" spans="1:5" x14ac:dyDescent="0.2">
      <c r="A1999" s="3">
        <v>45890</v>
      </c>
      <c r="B1999" t="s">
        <v>1</v>
      </c>
      <c r="C1999">
        <v>1</v>
      </c>
      <c r="D1999" t="str">
        <f>_xlfn.XLOOKUP(RW_DT_PRODUCTION[[#This Row],[MATERIAL_ID]],DIM_MATERIAL[MATERIAL_ID],DIM_MATERIAL[UOM_AFTER_PROCESS])</f>
        <v>BALE</v>
      </c>
      <c r="E1999">
        <v>86</v>
      </c>
    </row>
    <row r="2000" spans="1:5" x14ac:dyDescent="0.2">
      <c r="A2000" s="3">
        <v>45890</v>
      </c>
      <c r="B2000" t="s">
        <v>1</v>
      </c>
      <c r="C2000">
        <v>1</v>
      </c>
      <c r="D2000" t="str">
        <f>_xlfn.XLOOKUP(RW_DT_PRODUCTION[[#This Row],[MATERIAL_ID]],DIM_MATERIAL[MATERIAL_ID],DIM_MATERIAL[UOM_AFTER_PROCESS])</f>
        <v>BALE</v>
      </c>
      <c r="E2000">
        <v>79</v>
      </c>
    </row>
    <row r="2001" spans="1:5" x14ac:dyDescent="0.2">
      <c r="A2001" s="3">
        <v>45890</v>
      </c>
      <c r="B2001" t="s">
        <v>1</v>
      </c>
      <c r="C2001">
        <v>1</v>
      </c>
      <c r="D2001" t="str">
        <f>_xlfn.XLOOKUP(RW_DT_PRODUCTION[[#This Row],[MATERIAL_ID]],DIM_MATERIAL[MATERIAL_ID],DIM_MATERIAL[UOM_AFTER_PROCESS])</f>
        <v>BALE</v>
      </c>
      <c r="E2001">
        <v>86</v>
      </c>
    </row>
    <row r="2002" spans="1:5" x14ac:dyDescent="0.2">
      <c r="A2002" s="3">
        <v>45890</v>
      </c>
      <c r="B2002" t="s">
        <v>2</v>
      </c>
      <c r="C2002">
        <v>1</v>
      </c>
      <c r="D2002" t="str">
        <f>_xlfn.XLOOKUP(RW_DT_PRODUCTION[[#This Row],[MATERIAL_ID]],DIM_MATERIAL[MATERIAL_ID],DIM_MATERIAL[UOM_AFTER_PROCESS])</f>
        <v>BAG</v>
      </c>
      <c r="E2002">
        <v>22</v>
      </c>
    </row>
    <row r="2003" spans="1:5" x14ac:dyDescent="0.2">
      <c r="A2003" s="3">
        <v>45891</v>
      </c>
      <c r="B2003" t="s">
        <v>1</v>
      </c>
      <c r="C2003">
        <v>1</v>
      </c>
      <c r="D2003" t="str">
        <f>_xlfn.XLOOKUP(RW_DT_PRODUCTION[[#This Row],[MATERIAL_ID]],DIM_MATERIAL[MATERIAL_ID],DIM_MATERIAL[UOM_AFTER_PROCESS])</f>
        <v>BALE</v>
      </c>
      <c r="E2003">
        <v>66</v>
      </c>
    </row>
    <row r="2004" spans="1:5" x14ac:dyDescent="0.2">
      <c r="A2004" s="3">
        <v>45891</v>
      </c>
      <c r="B2004" t="s">
        <v>1</v>
      </c>
      <c r="C2004">
        <v>1</v>
      </c>
      <c r="D2004" t="str">
        <f>_xlfn.XLOOKUP(RW_DT_PRODUCTION[[#This Row],[MATERIAL_ID]],DIM_MATERIAL[MATERIAL_ID],DIM_MATERIAL[UOM_AFTER_PROCESS])</f>
        <v>BALE</v>
      </c>
      <c r="E2004">
        <v>63</v>
      </c>
    </row>
    <row r="2005" spans="1:5" x14ac:dyDescent="0.2">
      <c r="A2005" s="3">
        <v>45891</v>
      </c>
      <c r="B2005" t="s">
        <v>1</v>
      </c>
      <c r="C2005">
        <v>1</v>
      </c>
      <c r="D2005" t="str">
        <f>_xlfn.XLOOKUP(RW_DT_PRODUCTION[[#This Row],[MATERIAL_ID]],DIM_MATERIAL[MATERIAL_ID],DIM_MATERIAL[UOM_AFTER_PROCESS])</f>
        <v>BALE</v>
      </c>
      <c r="E2005">
        <v>76</v>
      </c>
    </row>
    <row r="2006" spans="1:5" x14ac:dyDescent="0.2">
      <c r="A2006" s="3">
        <v>45891</v>
      </c>
      <c r="B2006" t="s">
        <v>1</v>
      </c>
      <c r="C2006">
        <v>1</v>
      </c>
      <c r="D2006" t="str">
        <f>_xlfn.XLOOKUP(RW_DT_PRODUCTION[[#This Row],[MATERIAL_ID]],DIM_MATERIAL[MATERIAL_ID],DIM_MATERIAL[UOM_AFTER_PROCESS])</f>
        <v>BALE</v>
      </c>
      <c r="E2006">
        <v>80</v>
      </c>
    </row>
    <row r="2007" spans="1:5" x14ac:dyDescent="0.2">
      <c r="A2007" s="3">
        <v>45891</v>
      </c>
      <c r="B2007" t="s">
        <v>1</v>
      </c>
      <c r="C2007">
        <v>1</v>
      </c>
      <c r="D2007" t="str">
        <f>_xlfn.XLOOKUP(RW_DT_PRODUCTION[[#This Row],[MATERIAL_ID]],DIM_MATERIAL[MATERIAL_ID],DIM_MATERIAL[UOM_AFTER_PROCESS])</f>
        <v>BALE</v>
      </c>
      <c r="E2007">
        <v>71</v>
      </c>
    </row>
    <row r="2008" spans="1:5" x14ac:dyDescent="0.2">
      <c r="A2008" s="3">
        <v>45891</v>
      </c>
      <c r="B2008" t="s">
        <v>1</v>
      </c>
      <c r="C2008">
        <v>1</v>
      </c>
      <c r="D2008" t="str">
        <f>_xlfn.XLOOKUP(RW_DT_PRODUCTION[[#This Row],[MATERIAL_ID]],DIM_MATERIAL[MATERIAL_ID],DIM_MATERIAL[UOM_AFTER_PROCESS])</f>
        <v>BALE</v>
      </c>
      <c r="E2008">
        <v>75</v>
      </c>
    </row>
    <row r="2009" spans="1:5" x14ac:dyDescent="0.2">
      <c r="A2009" s="3">
        <v>45891</v>
      </c>
      <c r="B2009" t="s">
        <v>1</v>
      </c>
      <c r="C2009">
        <v>1</v>
      </c>
      <c r="D2009" t="str">
        <f>_xlfn.XLOOKUP(RW_DT_PRODUCTION[[#This Row],[MATERIAL_ID]],DIM_MATERIAL[MATERIAL_ID],DIM_MATERIAL[UOM_AFTER_PROCESS])</f>
        <v>BALE</v>
      </c>
      <c r="E2009">
        <v>68</v>
      </c>
    </row>
    <row r="2010" spans="1:5" x14ac:dyDescent="0.2">
      <c r="A2010" s="3">
        <v>45891</v>
      </c>
      <c r="B2010" t="s">
        <v>1</v>
      </c>
      <c r="C2010">
        <v>1</v>
      </c>
      <c r="D2010" t="str">
        <f>_xlfn.XLOOKUP(RW_DT_PRODUCTION[[#This Row],[MATERIAL_ID]],DIM_MATERIAL[MATERIAL_ID],DIM_MATERIAL[UOM_AFTER_PROCESS])</f>
        <v>BALE</v>
      </c>
      <c r="E2010">
        <v>76</v>
      </c>
    </row>
    <row r="2011" spans="1:5" x14ac:dyDescent="0.2">
      <c r="A2011" s="3">
        <v>45892</v>
      </c>
      <c r="B2011" t="s">
        <v>1</v>
      </c>
      <c r="C2011">
        <v>1</v>
      </c>
      <c r="D2011" t="str">
        <f>_xlfn.XLOOKUP(RW_DT_PRODUCTION[[#This Row],[MATERIAL_ID]],DIM_MATERIAL[MATERIAL_ID],DIM_MATERIAL[UOM_AFTER_PROCESS])</f>
        <v>BALE</v>
      </c>
      <c r="E2011">
        <v>62</v>
      </c>
    </row>
    <row r="2012" spans="1:5" x14ac:dyDescent="0.2">
      <c r="A2012" s="3">
        <v>45894</v>
      </c>
      <c r="B2012" t="s">
        <v>1</v>
      </c>
      <c r="C2012">
        <v>1</v>
      </c>
      <c r="D2012" t="str">
        <f>_xlfn.XLOOKUP(RW_DT_PRODUCTION[[#This Row],[MATERIAL_ID]],DIM_MATERIAL[MATERIAL_ID],DIM_MATERIAL[UOM_AFTER_PROCESS])</f>
        <v>BALE</v>
      </c>
      <c r="E2012">
        <v>67</v>
      </c>
    </row>
    <row r="2013" spans="1:5" x14ac:dyDescent="0.2">
      <c r="A2013" s="3">
        <v>45894</v>
      </c>
      <c r="B2013" t="s">
        <v>1</v>
      </c>
      <c r="C2013">
        <v>1</v>
      </c>
      <c r="D2013" t="str">
        <f>_xlfn.XLOOKUP(RW_DT_PRODUCTION[[#This Row],[MATERIAL_ID]],DIM_MATERIAL[MATERIAL_ID],DIM_MATERIAL[UOM_AFTER_PROCESS])</f>
        <v>BALE</v>
      </c>
      <c r="E2013">
        <v>72</v>
      </c>
    </row>
    <row r="2014" spans="1:5" x14ac:dyDescent="0.2">
      <c r="A2014" s="3">
        <v>45894</v>
      </c>
      <c r="B2014" t="s">
        <v>1</v>
      </c>
      <c r="C2014">
        <v>1</v>
      </c>
      <c r="D2014" t="str">
        <f>_xlfn.XLOOKUP(RW_DT_PRODUCTION[[#This Row],[MATERIAL_ID]],DIM_MATERIAL[MATERIAL_ID],DIM_MATERIAL[UOM_AFTER_PROCESS])</f>
        <v>BALE</v>
      </c>
      <c r="E2014">
        <v>83</v>
      </c>
    </row>
    <row r="2015" spans="1:5" x14ac:dyDescent="0.2">
      <c r="A2015" s="3">
        <v>45894</v>
      </c>
      <c r="B2015" t="s">
        <v>1</v>
      </c>
      <c r="C2015">
        <v>1</v>
      </c>
      <c r="D2015" t="str">
        <f>_xlfn.XLOOKUP(RW_DT_PRODUCTION[[#This Row],[MATERIAL_ID]],DIM_MATERIAL[MATERIAL_ID],DIM_MATERIAL[UOM_AFTER_PROCESS])</f>
        <v>BALE</v>
      </c>
      <c r="E2015">
        <v>71</v>
      </c>
    </row>
    <row r="2016" spans="1:5" x14ac:dyDescent="0.2">
      <c r="A2016" s="3">
        <v>45894</v>
      </c>
      <c r="B2016" t="s">
        <v>1</v>
      </c>
      <c r="C2016">
        <v>1</v>
      </c>
      <c r="D2016" t="str">
        <f>_xlfn.XLOOKUP(RW_DT_PRODUCTION[[#This Row],[MATERIAL_ID]],DIM_MATERIAL[MATERIAL_ID],DIM_MATERIAL[UOM_AFTER_PROCESS])</f>
        <v>BALE</v>
      </c>
      <c r="E2016">
        <v>71</v>
      </c>
    </row>
    <row r="2017" spans="1:5" x14ac:dyDescent="0.2">
      <c r="A2017" s="3">
        <v>45894</v>
      </c>
      <c r="B2017" t="s">
        <v>2</v>
      </c>
      <c r="C2017">
        <v>1</v>
      </c>
      <c r="D2017" t="str">
        <f>_xlfn.XLOOKUP(RW_DT_PRODUCTION[[#This Row],[MATERIAL_ID]],DIM_MATERIAL[MATERIAL_ID],DIM_MATERIAL[UOM_AFTER_PROCESS])</f>
        <v>BAG</v>
      </c>
      <c r="E2017">
        <v>22</v>
      </c>
    </row>
    <row r="2018" spans="1:5" x14ac:dyDescent="0.2">
      <c r="A2018" s="3">
        <v>45894</v>
      </c>
      <c r="B2018" t="s">
        <v>2</v>
      </c>
      <c r="C2018">
        <v>1</v>
      </c>
      <c r="D2018" t="str">
        <f>_xlfn.XLOOKUP(RW_DT_PRODUCTION[[#This Row],[MATERIAL_ID]],DIM_MATERIAL[MATERIAL_ID],DIM_MATERIAL[UOM_AFTER_PROCESS])</f>
        <v>BAG</v>
      </c>
      <c r="E2018">
        <v>22</v>
      </c>
    </row>
    <row r="2019" spans="1:5" x14ac:dyDescent="0.2">
      <c r="A2019" s="3">
        <v>45894</v>
      </c>
      <c r="B2019" t="s">
        <v>2</v>
      </c>
      <c r="C2019">
        <v>1</v>
      </c>
      <c r="D2019" t="str">
        <f>_xlfn.XLOOKUP(RW_DT_PRODUCTION[[#This Row],[MATERIAL_ID]],DIM_MATERIAL[MATERIAL_ID],DIM_MATERIAL[UOM_AFTER_PROCESS])</f>
        <v>BAG</v>
      </c>
      <c r="E2019">
        <v>22</v>
      </c>
    </row>
    <row r="2020" spans="1:5" x14ac:dyDescent="0.2">
      <c r="A2020" s="3">
        <v>45895</v>
      </c>
      <c r="B2020" t="s">
        <v>2</v>
      </c>
      <c r="C2020">
        <v>1</v>
      </c>
      <c r="D2020" t="str">
        <f>_xlfn.XLOOKUP(RW_DT_PRODUCTION[[#This Row],[MATERIAL_ID]],DIM_MATERIAL[MATERIAL_ID],DIM_MATERIAL[UOM_AFTER_PROCESS])</f>
        <v>BAG</v>
      </c>
      <c r="E2020">
        <v>22</v>
      </c>
    </row>
    <row r="2021" spans="1:5" x14ac:dyDescent="0.2">
      <c r="A2021" s="3">
        <v>45895</v>
      </c>
      <c r="B2021" t="s">
        <v>2</v>
      </c>
      <c r="C2021">
        <v>1</v>
      </c>
      <c r="D2021" t="str">
        <f>_xlfn.XLOOKUP(RW_DT_PRODUCTION[[#This Row],[MATERIAL_ID]],DIM_MATERIAL[MATERIAL_ID],DIM_MATERIAL[UOM_AFTER_PROCESS])</f>
        <v>BAG</v>
      </c>
      <c r="E2021">
        <v>22</v>
      </c>
    </row>
    <row r="2022" spans="1:5" x14ac:dyDescent="0.2">
      <c r="A2022" s="3">
        <v>45895</v>
      </c>
      <c r="B2022" t="s">
        <v>2</v>
      </c>
      <c r="C2022">
        <v>1</v>
      </c>
      <c r="D2022" t="str">
        <f>_xlfn.XLOOKUP(RW_DT_PRODUCTION[[#This Row],[MATERIAL_ID]],DIM_MATERIAL[MATERIAL_ID],DIM_MATERIAL[UOM_AFTER_PROCESS])</f>
        <v>BAG</v>
      </c>
      <c r="E2022">
        <v>22</v>
      </c>
    </row>
    <row r="2023" spans="1:5" x14ac:dyDescent="0.2">
      <c r="A2023" s="3">
        <v>45896</v>
      </c>
      <c r="B2023" t="s">
        <v>1</v>
      </c>
      <c r="C2023">
        <v>1</v>
      </c>
      <c r="D2023" t="str">
        <f>_xlfn.XLOOKUP(RW_DT_PRODUCTION[[#This Row],[MATERIAL_ID]],DIM_MATERIAL[MATERIAL_ID],DIM_MATERIAL[UOM_AFTER_PROCESS])</f>
        <v>BALE</v>
      </c>
      <c r="E2023">
        <v>85</v>
      </c>
    </row>
    <row r="2024" spans="1:5" x14ac:dyDescent="0.2">
      <c r="A2024" s="3">
        <v>45896</v>
      </c>
      <c r="B2024" t="s">
        <v>1</v>
      </c>
      <c r="C2024">
        <v>1</v>
      </c>
      <c r="D2024" t="str">
        <f>_xlfn.XLOOKUP(RW_DT_PRODUCTION[[#This Row],[MATERIAL_ID]],DIM_MATERIAL[MATERIAL_ID],DIM_MATERIAL[UOM_AFTER_PROCESS])</f>
        <v>BALE</v>
      </c>
      <c r="E2024">
        <v>68</v>
      </c>
    </row>
    <row r="2025" spans="1:5" x14ac:dyDescent="0.2">
      <c r="A2025" s="3">
        <v>45896</v>
      </c>
      <c r="B2025" t="s">
        <v>1</v>
      </c>
      <c r="C2025">
        <v>1</v>
      </c>
      <c r="D2025" t="str">
        <f>_xlfn.XLOOKUP(RW_DT_PRODUCTION[[#This Row],[MATERIAL_ID]],DIM_MATERIAL[MATERIAL_ID],DIM_MATERIAL[UOM_AFTER_PROCESS])</f>
        <v>BALE</v>
      </c>
      <c r="E2025">
        <v>85</v>
      </c>
    </row>
    <row r="2026" spans="1:5" x14ac:dyDescent="0.2">
      <c r="A2026" s="3">
        <v>45896</v>
      </c>
      <c r="B2026" t="s">
        <v>1</v>
      </c>
      <c r="C2026">
        <v>1</v>
      </c>
      <c r="D2026" t="str">
        <f>_xlfn.XLOOKUP(RW_DT_PRODUCTION[[#This Row],[MATERIAL_ID]],DIM_MATERIAL[MATERIAL_ID],DIM_MATERIAL[UOM_AFTER_PROCESS])</f>
        <v>BALE</v>
      </c>
      <c r="E2026">
        <v>87</v>
      </c>
    </row>
    <row r="2027" spans="1:5" x14ac:dyDescent="0.2">
      <c r="A2027" s="3">
        <v>45896</v>
      </c>
      <c r="B2027" t="s">
        <v>1</v>
      </c>
      <c r="C2027">
        <v>1</v>
      </c>
      <c r="D2027" t="str">
        <f>_xlfn.XLOOKUP(RW_DT_PRODUCTION[[#This Row],[MATERIAL_ID]],DIM_MATERIAL[MATERIAL_ID],DIM_MATERIAL[UOM_AFTER_PROCESS])</f>
        <v>BALE</v>
      </c>
      <c r="E2027">
        <v>69</v>
      </c>
    </row>
    <row r="2028" spans="1:5" x14ac:dyDescent="0.2">
      <c r="A2028" s="3">
        <v>45897</v>
      </c>
      <c r="B2028" t="s">
        <v>1</v>
      </c>
      <c r="C2028">
        <v>1</v>
      </c>
      <c r="D2028" t="str">
        <f>_xlfn.XLOOKUP(RW_DT_PRODUCTION[[#This Row],[MATERIAL_ID]],DIM_MATERIAL[MATERIAL_ID],DIM_MATERIAL[UOM_AFTER_PROCESS])</f>
        <v>BALE</v>
      </c>
      <c r="E2028">
        <v>61</v>
      </c>
    </row>
    <row r="2029" spans="1:5" x14ac:dyDescent="0.2">
      <c r="A2029" s="3">
        <v>45898</v>
      </c>
      <c r="B2029" t="s">
        <v>1</v>
      </c>
      <c r="C2029">
        <v>1</v>
      </c>
      <c r="D2029" t="str">
        <f>_xlfn.XLOOKUP(RW_DT_PRODUCTION[[#This Row],[MATERIAL_ID]],DIM_MATERIAL[MATERIAL_ID],DIM_MATERIAL[UOM_AFTER_PROCESS])</f>
        <v>BALE</v>
      </c>
      <c r="E2029">
        <v>72</v>
      </c>
    </row>
    <row r="2030" spans="1:5" x14ac:dyDescent="0.2">
      <c r="A2030" s="3">
        <v>45899</v>
      </c>
      <c r="B2030" t="s">
        <v>1</v>
      </c>
      <c r="C2030">
        <v>1</v>
      </c>
      <c r="D2030" t="str">
        <f>_xlfn.XLOOKUP(RW_DT_PRODUCTION[[#This Row],[MATERIAL_ID]],DIM_MATERIAL[MATERIAL_ID],DIM_MATERIAL[UOM_AFTER_PROCESS])</f>
        <v>BALE</v>
      </c>
      <c r="E2030">
        <v>62</v>
      </c>
    </row>
    <row r="2031" spans="1:5" x14ac:dyDescent="0.2">
      <c r="A2031" s="3">
        <v>45902</v>
      </c>
      <c r="B2031" t="s">
        <v>1</v>
      </c>
      <c r="C2031">
        <v>1</v>
      </c>
      <c r="D2031" t="str">
        <f>_xlfn.XLOOKUP(RW_DT_PRODUCTION[[#This Row],[MATERIAL_ID]],DIM_MATERIAL[MATERIAL_ID],DIM_MATERIAL[UOM_AFTER_PROCESS])</f>
        <v>BALE</v>
      </c>
      <c r="E2031">
        <v>86</v>
      </c>
    </row>
    <row r="2032" spans="1:5" x14ac:dyDescent="0.2">
      <c r="A2032" s="3">
        <v>45902</v>
      </c>
      <c r="B2032" t="s">
        <v>1</v>
      </c>
      <c r="C2032">
        <v>1</v>
      </c>
      <c r="D2032" t="str">
        <f>_xlfn.XLOOKUP(RW_DT_PRODUCTION[[#This Row],[MATERIAL_ID]],DIM_MATERIAL[MATERIAL_ID],DIM_MATERIAL[UOM_AFTER_PROCESS])</f>
        <v>BALE</v>
      </c>
      <c r="E2032">
        <v>62</v>
      </c>
    </row>
    <row r="2033" spans="1:5" x14ac:dyDescent="0.2">
      <c r="A2033" s="3">
        <v>45902</v>
      </c>
      <c r="B2033" t="s">
        <v>1</v>
      </c>
      <c r="C2033">
        <v>1</v>
      </c>
      <c r="D2033" t="str">
        <f>_xlfn.XLOOKUP(RW_DT_PRODUCTION[[#This Row],[MATERIAL_ID]],DIM_MATERIAL[MATERIAL_ID],DIM_MATERIAL[UOM_AFTER_PROCESS])</f>
        <v>BALE</v>
      </c>
      <c r="E2033">
        <v>79</v>
      </c>
    </row>
    <row r="2034" spans="1:5" x14ac:dyDescent="0.2">
      <c r="A2034" s="3">
        <v>45902</v>
      </c>
      <c r="B2034" t="s">
        <v>1</v>
      </c>
      <c r="C2034">
        <v>1</v>
      </c>
      <c r="D2034" t="str">
        <f>_xlfn.XLOOKUP(RW_DT_PRODUCTION[[#This Row],[MATERIAL_ID]],DIM_MATERIAL[MATERIAL_ID],DIM_MATERIAL[UOM_AFTER_PROCESS])</f>
        <v>BALE</v>
      </c>
      <c r="E2034">
        <v>88</v>
      </c>
    </row>
    <row r="2035" spans="1:5" x14ac:dyDescent="0.2">
      <c r="A2035" s="3">
        <v>45902</v>
      </c>
      <c r="B2035" t="s">
        <v>1</v>
      </c>
      <c r="C2035">
        <v>1</v>
      </c>
      <c r="D2035" t="str">
        <f>_xlfn.XLOOKUP(RW_DT_PRODUCTION[[#This Row],[MATERIAL_ID]],DIM_MATERIAL[MATERIAL_ID],DIM_MATERIAL[UOM_AFTER_PROCESS])</f>
        <v>BALE</v>
      </c>
      <c r="E2035">
        <v>63</v>
      </c>
    </row>
    <row r="2036" spans="1:5" x14ac:dyDescent="0.2">
      <c r="A2036" s="3">
        <v>45902</v>
      </c>
      <c r="B2036" t="s">
        <v>1</v>
      </c>
      <c r="C2036">
        <v>1</v>
      </c>
      <c r="D2036" t="str">
        <f>_xlfn.XLOOKUP(RW_DT_PRODUCTION[[#This Row],[MATERIAL_ID]],DIM_MATERIAL[MATERIAL_ID],DIM_MATERIAL[UOM_AFTER_PROCESS])</f>
        <v>BALE</v>
      </c>
      <c r="E2036">
        <v>79</v>
      </c>
    </row>
    <row r="2037" spans="1:5" x14ac:dyDescent="0.2">
      <c r="A2037" s="3">
        <v>45902</v>
      </c>
      <c r="B2037" t="s">
        <v>1</v>
      </c>
      <c r="C2037">
        <v>1</v>
      </c>
      <c r="D2037" t="str">
        <f>_xlfn.XLOOKUP(RW_DT_PRODUCTION[[#This Row],[MATERIAL_ID]],DIM_MATERIAL[MATERIAL_ID],DIM_MATERIAL[UOM_AFTER_PROCESS])</f>
        <v>BALE</v>
      </c>
      <c r="E2037">
        <v>78</v>
      </c>
    </row>
    <row r="2038" spans="1:5" x14ac:dyDescent="0.2">
      <c r="A2038" s="3">
        <v>45903</v>
      </c>
      <c r="B2038" t="s">
        <v>1</v>
      </c>
      <c r="C2038">
        <v>1</v>
      </c>
      <c r="D2038" t="str">
        <f>_xlfn.XLOOKUP(RW_DT_PRODUCTION[[#This Row],[MATERIAL_ID]],DIM_MATERIAL[MATERIAL_ID],DIM_MATERIAL[UOM_AFTER_PROCESS])</f>
        <v>BALE</v>
      </c>
      <c r="E2038">
        <v>77</v>
      </c>
    </row>
    <row r="2039" spans="1:5" x14ac:dyDescent="0.2">
      <c r="A2039" s="3">
        <v>45903</v>
      </c>
      <c r="B2039" t="s">
        <v>1</v>
      </c>
      <c r="C2039">
        <v>1</v>
      </c>
      <c r="D2039" t="str">
        <f>_xlfn.XLOOKUP(RW_DT_PRODUCTION[[#This Row],[MATERIAL_ID]],DIM_MATERIAL[MATERIAL_ID],DIM_MATERIAL[UOM_AFTER_PROCESS])</f>
        <v>BALE</v>
      </c>
      <c r="E2039">
        <v>71</v>
      </c>
    </row>
    <row r="2040" spans="1:5" x14ac:dyDescent="0.2">
      <c r="A2040" s="3">
        <v>45903</v>
      </c>
      <c r="B2040" t="s">
        <v>1</v>
      </c>
      <c r="C2040">
        <v>1</v>
      </c>
      <c r="D2040" t="str">
        <f>_xlfn.XLOOKUP(RW_DT_PRODUCTION[[#This Row],[MATERIAL_ID]],DIM_MATERIAL[MATERIAL_ID],DIM_MATERIAL[UOM_AFTER_PROCESS])</f>
        <v>BALE</v>
      </c>
      <c r="E2040">
        <v>80</v>
      </c>
    </row>
    <row r="2041" spans="1:5" x14ac:dyDescent="0.2">
      <c r="A2041" s="3">
        <v>45903</v>
      </c>
      <c r="B2041" t="s">
        <v>1</v>
      </c>
      <c r="C2041">
        <v>1</v>
      </c>
      <c r="D2041" t="str">
        <f>_xlfn.XLOOKUP(RW_DT_PRODUCTION[[#This Row],[MATERIAL_ID]],DIM_MATERIAL[MATERIAL_ID],DIM_MATERIAL[UOM_AFTER_PROCESS])</f>
        <v>BALE</v>
      </c>
      <c r="E2041">
        <v>74</v>
      </c>
    </row>
    <row r="2042" spans="1:5" x14ac:dyDescent="0.2">
      <c r="A2042" s="3">
        <v>45903</v>
      </c>
      <c r="B2042" t="s">
        <v>1</v>
      </c>
      <c r="C2042">
        <v>1</v>
      </c>
      <c r="D2042" t="str">
        <f>_xlfn.XLOOKUP(RW_DT_PRODUCTION[[#This Row],[MATERIAL_ID]],DIM_MATERIAL[MATERIAL_ID],DIM_MATERIAL[UOM_AFTER_PROCESS])</f>
        <v>BALE</v>
      </c>
      <c r="E2042">
        <v>74</v>
      </c>
    </row>
    <row r="2043" spans="1:5" x14ac:dyDescent="0.2">
      <c r="A2043" s="3">
        <v>45903</v>
      </c>
      <c r="B2043" t="s">
        <v>1</v>
      </c>
      <c r="C2043">
        <v>1</v>
      </c>
      <c r="D2043" t="str">
        <f>_xlfn.XLOOKUP(RW_DT_PRODUCTION[[#This Row],[MATERIAL_ID]],DIM_MATERIAL[MATERIAL_ID],DIM_MATERIAL[UOM_AFTER_PROCESS])</f>
        <v>BALE</v>
      </c>
      <c r="E2043">
        <v>72</v>
      </c>
    </row>
    <row r="2044" spans="1:5" x14ac:dyDescent="0.2">
      <c r="A2044" s="3">
        <v>45903</v>
      </c>
      <c r="B2044" t="s">
        <v>1</v>
      </c>
      <c r="C2044">
        <v>1</v>
      </c>
      <c r="D2044" t="str">
        <f>_xlfn.XLOOKUP(RW_DT_PRODUCTION[[#This Row],[MATERIAL_ID]],DIM_MATERIAL[MATERIAL_ID],DIM_MATERIAL[UOM_AFTER_PROCESS])</f>
        <v>BALE</v>
      </c>
      <c r="E2044">
        <v>70</v>
      </c>
    </row>
    <row r="2045" spans="1:5" x14ac:dyDescent="0.2">
      <c r="A2045" s="3">
        <v>45903</v>
      </c>
      <c r="B2045" t="s">
        <v>1</v>
      </c>
      <c r="C2045">
        <v>1</v>
      </c>
      <c r="D2045" t="str">
        <f>_xlfn.XLOOKUP(RW_DT_PRODUCTION[[#This Row],[MATERIAL_ID]],DIM_MATERIAL[MATERIAL_ID],DIM_MATERIAL[UOM_AFTER_PROCESS])</f>
        <v>BALE</v>
      </c>
      <c r="E2045">
        <v>82</v>
      </c>
    </row>
    <row r="2046" spans="1:5" x14ac:dyDescent="0.2">
      <c r="A2046" s="3">
        <v>45903</v>
      </c>
      <c r="B2046" t="s">
        <v>2</v>
      </c>
      <c r="C2046">
        <v>1</v>
      </c>
      <c r="D2046" t="str">
        <f>_xlfn.XLOOKUP(RW_DT_PRODUCTION[[#This Row],[MATERIAL_ID]],DIM_MATERIAL[MATERIAL_ID],DIM_MATERIAL[UOM_AFTER_PROCESS])</f>
        <v>BAG</v>
      </c>
      <c r="E2046">
        <v>22</v>
      </c>
    </row>
    <row r="2047" spans="1:5" x14ac:dyDescent="0.2">
      <c r="A2047" s="3">
        <v>45903</v>
      </c>
      <c r="B2047" t="s">
        <v>2</v>
      </c>
      <c r="C2047">
        <v>1</v>
      </c>
      <c r="D2047" t="str">
        <f>_xlfn.XLOOKUP(RW_DT_PRODUCTION[[#This Row],[MATERIAL_ID]],DIM_MATERIAL[MATERIAL_ID],DIM_MATERIAL[UOM_AFTER_PROCESS])</f>
        <v>BAG</v>
      </c>
      <c r="E2047">
        <v>22</v>
      </c>
    </row>
    <row r="2048" spans="1:5" x14ac:dyDescent="0.2">
      <c r="A2048" s="3">
        <v>45903</v>
      </c>
      <c r="B2048" t="s">
        <v>2</v>
      </c>
      <c r="C2048">
        <v>1</v>
      </c>
      <c r="D2048" t="str">
        <f>_xlfn.XLOOKUP(RW_DT_PRODUCTION[[#This Row],[MATERIAL_ID]],DIM_MATERIAL[MATERIAL_ID],DIM_MATERIAL[UOM_AFTER_PROCESS])</f>
        <v>BAG</v>
      </c>
      <c r="E2048">
        <v>22</v>
      </c>
    </row>
    <row r="2049" spans="1:5" x14ac:dyDescent="0.2">
      <c r="A2049" s="3">
        <v>45903</v>
      </c>
      <c r="B2049" t="s">
        <v>2</v>
      </c>
      <c r="C2049">
        <v>1</v>
      </c>
      <c r="D2049" t="str">
        <f>_xlfn.XLOOKUP(RW_DT_PRODUCTION[[#This Row],[MATERIAL_ID]],DIM_MATERIAL[MATERIAL_ID],DIM_MATERIAL[UOM_AFTER_PROCESS])</f>
        <v>BAG</v>
      </c>
      <c r="E2049">
        <v>22</v>
      </c>
    </row>
    <row r="2050" spans="1:5" x14ac:dyDescent="0.2">
      <c r="A2050" s="3">
        <v>45903</v>
      </c>
      <c r="B2050" t="s">
        <v>2</v>
      </c>
      <c r="C2050">
        <v>1</v>
      </c>
      <c r="D2050" t="str">
        <f>_xlfn.XLOOKUP(RW_DT_PRODUCTION[[#This Row],[MATERIAL_ID]],DIM_MATERIAL[MATERIAL_ID],DIM_MATERIAL[UOM_AFTER_PROCESS])</f>
        <v>BAG</v>
      </c>
      <c r="E2050">
        <v>22</v>
      </c>
    </row>
    <row r="2051" spans="1:5" x14ac:dyDescent="0.2">
      <c r="A2051" s="3">
        <v>45903</v>
      </c>
      <c r="B2051" t="s">
        <v>2</v>
      </c>
      <c r="C2051">
        <v>1</v>
      </c>
      <c r="D2051" t="str">
        <f>_xlfn.XLOOKUP(RW_DT_PRODUCTION[[#This Row],[MATERIAL_ID]],DIM_MATERIAL[MATERIAL_ID],DIM_MATERIAL[UOM_AFTER_PROCESS])</f>
        <v>BAG</v>
      </c>
      <c r="E2051">
        <v>22</v>
      </c>
    </row>
    <row r="2052" spans="1:5" x14ac:dyDescent="0.2">
      <c r="A2052" s="3">
        <v>45903</v>
      </c>
      <c r="B2052" t="s">
        <v>2</v>
      </c>
      <c r="C2052">
        <v>1</v>
      </c>
      <c r="D2052" t="str">
        <f>_xlfn.XLOOKUP(RW_DT_PRODUCTION[[#This Row],[MATERIAL_ID]],DIM_MATERIAL[MATERIAL_ID],DIM_MATERIAL[UOM_AFTER_PROCESS])</f>
        <v>BAG</v>
      </c>
      <c r="E2052">
        <v>22</v>
      </c>
    </row>
    <row r="2053" spans="1:5" x14ac:dyDescent="0.2">
      <c r="A2053" s="3">
        <v>45904</v>
      </c>
      <c r="B2053" t="s">
        <v>1</v>
      </c>
      <c r="C2053">
        <v>1</v>
      </c>
      <c r="D2053" t="str">
        <f>_xlfn.XLOOKUP(RW_DT_PRODUCTION[[#This Row],[MATERIAL_ID]],DIM_MATERIAL[MATERIAL_ID],DIM_MATERIAL[UOM_AFTER_PROCESS])</f>
        <v>BALE</v>
      </c>
      <c r="E2053">
        <v>73</v>
      </c>
    </row>
    <row r="2054" spans="1:5" x14ac:dyDescent="0.2">
      <c r="A2054" s="3">
        <v>45904</v>
      </c>
      <c r="B2054" t="s">
        <v>1</v>
      </c>
      <c r="C2054">
        <v>1</v>
      </c>
      <c r="D2054" t="str">
        <f>_xlfn.XLOOKUP(RW_DT_PRODUCTION[[#This Row],[MATERIAL_ID]],DIM_MATERIAL[MATERIAL_ID],DIM_MATERIAL[UOM_AFTER_PROCESS])</f>
        <v>BALE</v>
      </c>
      <c r="E2054">
        <v>82</v>
      </c>
    </row>
    <row r="2055" spans="1:5" x14ac:dyDescent="0.2">
      <c r="A2055" s="3">
        <v>45904</v>
      </c>
      <c r="B2055" t="s">
        <v>1</v>
      </c>
      <c r="C2055">
        <v>1</v>
      </c>
      <c r="D2055" t="str">
        <f>_xlfn.XLOOKUP(RW_DT_PRODUCTION[[#This Row],[MATERIAL_ID]],DIM_MATERIAL[MATERIAL_ID],DIM_MATERIAL[UOM_AFTER_PROCESS])</f>
        <v>BALE</v>
      </c>
      <c r="E2055">
        <v>79</v>
      </c>
    </row>
    <row r="2056" spans="1:5" x14ac:dyDescent="0.2">
      <c r="A2056" s="3">
        <v>45904</v>
      </c>
      <c r="B2056" t="s">
        <v>1</v>
      </c>
      <c r="C2056">
        <v>1</v>
      </c>
      <c r="D2056" t="str">
        <f>_xlfn.XLOOKUP(RW_DT_PRODUCTION[[#This Row],[MATERIAL_ID]],DIM_MATERIAL[MATERIAL_ID],DIM_MATERIAL[UOM_AFTER_PROCESS])</f>
        <v>BALE</v>
      </c>
      <c r="E2056">
        <v>83</v>
      </c>
    </row>
    <row r="2057" spans="1:5" x14ac:dyDescent="0.2">
      <c r="A2057" s="3">
        <v>45904</v>
      </c>
      <c r="B2057" t="s">
        <v>1</v>
      </c>
      <c r="C2057">
        <v>1</v>
      </c>
      <c r="D2057" t="str">
        <f>_xlfn.XLOOKUP(RW_DT_PRODUCTION[[#This Row],[MATERIAL_ID]],DIM_MATERIAL[MATERIAL_ID],DIM_MATERIAL[UOM_AFTER_PROCESS])</f>
        <v>BALE</v>
      </c>
      <c r="E2057">
        <v>70</v>
      </c>
    </row>
    <row r="2058" spans="1:5" x14ac:dyDescent="0.2">
      <c r="A2058" s="3">
        <v>45904</v>
      </c>
      <c r="B2058" t="s">
        <v>1</v>
      </c>
      <c r="C2058">
        <v>1</v>
      </c>
      <c r="D2058" t="str">
        <f>_xlfn.XLOOKUP(RW_DT_PRODUCTION[[#This Row],[MATERIAL_ID]],DIM_MATERIAL[MATERIAL_ID],DIM_MATERIAL[UOM_AFTER_PROCESS])</f>
        <v>BALE</v>
      </c>
      <c r="E2058">
        <v>89</v>
      </c>
    </row>
    <row r="2059" spans="1:5" x14ac:dyDescent="0.2">
      <c r="A2059" s="3">
        <v>45904</v>
      </c>
      <c r="B2059" t="s">
        <v>1</v>
      </c>
      <c r="C2059">
        <v>1</v>
      </c>
      <c r="D2059" t="str">
        <f>_xlfn.XLOOKUP(RW_DT_PRODUCTION[[#This Row],[MATERIAL_ID]],DIM_MATERIAL[MATERIAL_ID],DIM_MATERIAL[UOM_AFTER_PROCESS])</f>
        <v>BALE</v>
      </c>
      <c r="E2059">
        <v>77</v>
      </c>
    </row>
    <row r="2060" spans="1:5" x14ac:dyDescent="0.2">
      <c r="A2060" s="3">
        <v>45905</v>
      </c>
      <c r="B2060" t="s">
        <v>1</v>
      </c>
      <c r="C2060">
        <v>1</v>
      </c>
      <c r="D2060" t="str">
        <f>_xlfn.XLOOKUP(RW_DT_PRODUCTION[[#This Row],[MATERIAL_ID]],DIM_MATERIAL[MATERIAL_ID],DIM_MATERIAL[UOM_AFTER_PROCESS])</f>
        <v>BALE</v>
      </c>
      <c r="E2060">
        <v>72</v>
      </c>
    </row>
    <row r="2061" spans="1:5" x14ac:dyDescent="0.2">
      <c r="A2061" s="3">
        <v>45905</v>
      </c>
      <c r="B2061" t="s">
        <v>1</v>
      </c>
      <c r="C2061">
        <v>1</v>
      </c>
      <c r="D2061" t="str">
        <f>_xlfn.XLOOKUP(RW_DT_PRODUCTION[[#This Row],[MATERIAL_ID]],DIM_MATERIAL[MATERIAL_ID],DIM_MATERIAL[UOM_AFTER_PROCESS])</f>
        <v>BALE</v>
      </c>
      <c r="E2061">
        <v>76</v>
      </c>
    </row>
    <row r="2062" spans="1:5" x14ac:dyDescent="0.2">
      <c r="A2062" s="3">
        <v>45905</v>
      </c>
      <c r="B2062" t="s">
        <v>1</v>
      </c>
      <c r="C2062">
        <v>1</v>
      </c>
      <c r="D2062" t="str">
        <f>_xlfn.XLOOKUP(RW_DT_PRODUCTION[[#This Row],[MATERIAL_ID]],DIM_MATERIAL[MATERIAL_ID],DIM_MATERIAL[UOM_AFTER_PROCESS])</f>
        <v>BALE</v>
      </c>
      <c r="E2062">
        <v>80</v>
      </c>
    </row>
    <row r="2063" spans="1:5" x14ac:dyDescent="0.2">
      <c r="A2063" s="3">
        <v>45905</v>
      </c>
      <c r="B2063" t="s">
        <v>1</v>
      </c>
      <c r="C2063">
        <v>1</v>
      </c>
      <c r="D2063" t="str">
        <f>_xlfn.XLOOKUP(RW_DT_PRODUCTION[[#This Row],[MATERIAL_ID]],DIM_MATERIAL[MATERIAL_ID],DIM_MATERIAL[UOM_AFTER_PROCESS])</f>
        <v>BALE</v>
      </c>
      <c r="E2063">
        <v>86</v>
      </c>
    </row>
    <row r="2064" spans="1:5" x14ac:dyDescent="0.2">
      <c r="A2064" s="3">
        <v>45905</v>
      </c>
      <c r="B2064" t="s">
        <v>1</v>
      </c>
      <c r="C2064">
        <v>1</v>
      </c>
      <c r="D2064" t="str">
        <f>_xlfn.XLOOKUP(RW_DT_PRODUCTION[[#This Row],[MATERIAL_ID]],DIM_MATERIAL[MATERIAL_ID],DIM_MATERIAL[UOM_AFTER_PROCESS])</f>
        <v>BALE</v>
      </c>
      <c r="E2064">
        <v>88</v>
      </c>
    </row>
    <row r="2065" spans="1:5" x14ac:dyDescent="0.2">
      <c r="A2065" s="3">
        <v>45905</v>
      </c>
      <c r="B2065" t="s">
        <v>1</v>
      </c>
      <c r="C2065">
        <v>1</v>
      </c>
      <c r="D2065" t="str">
        <f>_xlfn.XLOOKUP(RW_DT_PRODUCTION[[#This Row],[MATERIAL_ID]],DIM_MATERIAL[MATERIAL_ID],DIM_MATERIAL[UOM_AFTER_PROCESS])</f>
        <v>BALE</v>
      </c>
      <c r="E2065">
        <v>71</v>
      </c>
    </row>
    <row r="2066" spans="1:5" x14ac:dyDescent="0.2">
      <c r="A2066" s="3">
        <v>45905</v>
      </c>
      <c r="B2066" t="s">
        <v>1</v>
      </c>
      <c r="C2066">
        <v>1</v>
      </c>
      <c r="D2066" t="str">
        <f>_xlfn.XLOOKUP(RW_DT_PRODUCTION[[#This Row],[MATERIAL_ID]],DIM_MATERIAL[MATERIAL_ID],DIM_MATERIAL[UOM_AFTER_PROCESS])</f>
        <v>BALE</v>
      </c>
      <c r="E2066">
        <v>86</v>
      </c>
    </row>
    <row r="2067" spans="1:5" x14ac:dyDescent="0.2">
      <c r="A2067" s="3">
        <v>45906</v>
      </c>
      <c r="B2067" t="s">
        <v>1</v>
      </c>
      <c r="C2067">
        <v>1</v>
      </c>
      <c r="D2067" t="str">
        <f>_xlfn.XLOOKUP(RW_DT_PRODUCTION[[#This Row],[MATERIAL_ID]],DIM_MATERIAL[MATERIAL_ID],DIM_MATERIAL[UOM_AFTER_PROCESS])</f>
        <v>BALE</v>
      </c>
      <c r="E2067">
        <v>67</v>
      </c>
    </row>
    <row r="2068" spans="1:5" x14ac:dyDescent="0.2">
      <c r="A2068" s="3">
        <v>45906</v>
      </c>
      <c r="B2068" t="s">
        <v>1</v>
      </c>
      <c r="C2068">
        <v>1</v>
      </c>
      <c r="D2068" t="str">
        <f>_xlfn.XLOOKUP(RW_DT_PRODUCTION[[#This Row],[MATERIAL_ID]],DIM_MATERIAL[MATERIAL_ID],DIM_MATERIAL[UOM_AFTER_PROCESS])</f>
        <v>BALE</v>
      </c>
      <c r="E2068">
        <v>61</v>
      </c>
    </row>
    <row r="2069" spans="1:5" x14ac:dyDescent="0.2">
      <c r="A2069" s="3">
        <v>45906</v>
      </c>
      <c r="B2069" t="s">
        <v>1</v>
      </c>
      <c r="C2069">
        <v>1</v>
      </c>
      <c r="D2069" t="str">
        <f>_xlfn.XLOOKUP(RW_DT_PRODUCTION[[#This Row],[MATERIAL_ID]],DIM_MATERIAL[MATERIAL_ID],DIM_MATERIAL[UOM_AFTER_PROCESS])</f>
        <v>BALE</v>
      </c>
      <c r="E2069">
        <v>82</v>
      </c>
    </row>
    <row r="2070" spans="1:5" x14ac:dyDescent="0.2">
      <c r="A2070" s="3">
        <v>45906</v>
      </c>
      <c r="B2070" t="s">
        <v>1</v>
      </c>
      <c r="C2070">
        <v>1</v>
      </c>
      <c r="D2070" t="str">
        <f>_xlfn.XLOOKUP(RW_DT_PRODUCTION[[#This Row],[MATERIAL_ID]],DIM_MATERIAL[MATERIAL_ID],DIM_MATERIAL[UOM_AFTER_PROCESS])</f>
        <v>BALE</v>
      </c>
      <c r="E2070">
        <v>74</v>
      </c>
    </row>
    <row r="2071" spans="1:5" x14ac:dyDescent="0.2">
      <c r="A2071" s="3">
        <v>45906</v>
      </c>
      <c r="B2071" t="s">
        <v>1</v>
      </c>
      <c r="C2071">
        <v>1</v>
      </c>
      <c r="D2071" t="str">
        <f>_xlfn.XLOOKUP(RW_DT_PRODUCTION[[#This Row],[MATERIAL_ID]],DIM_MATERIAL[MATERIAL_ID],DIM_MATERIAL[UOM_AFTER_PROCESS])</f>
        <v>BALE</v>
      </c>
      <c r="E2071">
        <v>85</v>
      </c>
    </row>
    <row r="2072" spans="1:5" x14ac:dyDescent="0.2">
      <c r="A2072" s="3">
        <v>45906</v>
      </c>
      <c r="B2072" t="s">
        <v>1</v>
      </c>
      <c r="C2072">
        <v>1</v>
      </c>
      <c r="D2072" t="str">
        <f>_xlfn.XLOOKUP(RW_DT_PRODUCTION[[#This Row],[MATERIAL_ID]],DIM_MATERIAL[MATERIAL_ID],DIM_MATERIAL[UOM_AFTER_PROCESS])</f>
        <v>BALE</v>
      </c>
      <c r="E2072">
        <v>78</v>
      </c>
    </row>
    <row r="2073" spans="1:5" x14ac:dyDescent="0.2">
      <c r="A2073" s="3">
        <v>45906</v>
      </c>
      <c r="B2073" t="s">
        <v>2</v>
      </c>
      <c r="C2073">
        <v>1</v>
      </c>
      <c r="D2073" t="str">
        <f>_xlfn.XLOOKUP(RW_DT_PRODUCTION[[#This Row],[MATERIAL_ID]],DIM_MATERIAL[MATERIAL_ID],DIM_MATERIAL[UOM_AFTER_PROCESS])</f>
        <v>BAG</v>
      </c>
      <c r="E2073">
        <v>22</v>
      </c>
    </row>
    <row r="2074" spans="1:5" x14ac:dyDescent="0.2">
      <c r="A2074" s="3">
        <v>45906</v>
      </c>
      <c r="B2074" t="s">
        <v>2</v>
      </c>
      <c r="C2074">
        <v>1</v>
      </c>
      <c r="D2074" t="str">
        <f>_xlfn.XLOOKUP(RW_DT_PRODUCTION[[#This Row],[MATERIAL_ID]],DIM_MATERIAL[MATERIAL_ID],DIM_MATERIAL[UOM_AFTER_PROCESS])</f>
        <v>BAG</v>
      </c>
      <c r="E2074">
        <v>22</v>
      </c>
    </row>
    <row r="2075" spans="1:5" x14ac:dyDescent="0.2">
      <c r="A2075" s="3">
        <v>45908</v>
      </c>
      <c r="B2075" t="s">
        <v>1</v>
      </c>
      <c r="C2075">
        <v>1</v>
      </c>
      <c r="D2075" t="str">
        <f>_xlfn.XLOOKUP(RW_DT_PRODUCTION[[#This Row],[MATERIAL_ID]],DIM_MATERIAL[MATERIAL_ID],DIM_MATERIAL[UOM_AFTER_PROCESS])</f>
        <v>BALE</v>
      </c>
      <c r="E2075">
        <v>62</v>
      </c>
    </row>
    <row r="2076" spans="1:5" x14ac:dyDescent="0.2">
      <c r="A2076" s="3">
        <v>45908</v>
      </c>
      <c r="B2076" t="s">
        <v>1</v>
      </c>
      <c r="C2076">
        <v>1</v>
      </c>
      <c r="D2076" t="str">
        <f>_xlfn.XLOOKUP(RW_DT_PRODUCTION[[#This Row],[MATERIAL_ID]],DIM_MATERIAL[MATERIAL_ID],DIM_MATERIAL[UOM_AFTER_PROCESS])</f>
        <v>BALE</v>
      </c>
      <c r="E2076">
        <v>64</v>
      </c>
    </row>
    <row r="2077" spans="1:5" x14ac:dyDescent="0.2">
      <c r="A2077" s="3">
        <v>45908</v>
      </c>
      <c r="B2077" t="s">
        <v>1</v>
      </c>
      <c r="C2077">
        <v>1</v>
      </c>
      <c r="D2077" t="str">
        <f>_xlfn.XLOOKUP(RW_DT_PRODUCTION[[#This Row],[MATERIAL_ID]],DIM_MATERIAL[MATERIAL_ID],DIM_MATERIAL[UOM_AFTER_PROCESS])</f>
        <v>BALE</v>
      </c>
      <c r="E2077">
        <v>80</v>
      </c>
    </row>
    <row r="2078" spans="1:5" x14ac:dyDescent="0.2">
      <c r="A2078" s="3">
        <v>45908</v>
      </c>
      <c r="B2078" t="s">
        <v>2</v>
      </c>
      <c r="C2078">
        <v>1</v>
      </c>
      <c r="D2078" t="str">
        <f>_xlfn.XLOOKUP(RW_DT_PRODUCTION[[#This Row],[MATERIAL_ID]],DIM_MATERIAL[MATERIAL_ID],DIM_MATERIAL[UOM_AFTER_PROCESS])</f>
        <v>BAG</v>
      </c>
      <c r="E2078">
        <v>22</v>
      </c>
    </row>
    <row r="2079" spans="1:5" x14ac:dyDescent="0.2">
      <c r="A2079" s="3">
        <v>45910</v>
      </c>
      <c r="B2079" t="s">
        <v>1</v>
      </c>
      <c r="C2079">
        <v>1</v>
      </c>
      <c r="D2079" t="str">
        <f>_xlfn.XLOOKUP(RW_DT_PRODUCTION[[#This Row],[MATERIAL_ID]],DIM_MATERIAL[MATERIAL_ID],DIM_MATERIAL[UOM_AFTER_PROCESS])</f>
        <v>BALE</v>
      </c>
      <c r="E2079">
        <v>68</v>
      </c>
    </row>
    <row r="2080" spans="1:5" x14ac:dyDescent="0.2">
      <c r="A2080" s="3">
        <v>45910</v>
      </c>
      <c r="B2080" t="s">
        <v>2</v>
      </c>
      <c r="C2080">
        <v>1</v>
      </c>
      <c r="D2080" t="str">
        <f>_xlfn.XLOOKUP(RW_DT_PRODUCTION[[#This Row],[MATERIAL_ID]],DIM_MATERIAL[MATERIAL_ID],DIM_MATERIAL[UOM_AFTER_PROCESS])</f>
        <v>BAG</v>
      </c>
      <c r="E2080">
        <v>22</v>
      </c>
    </row>
    <row r="2081" spans="1:5" x14ac:dyDescent="0.2">
      <c r="A2081" s="3">
        <v>45910</v>
      </c>
      <c r="B2081" t="s">
        <v>2</v>
      </c>
      <c r="C2081">
        <v>1</v>
      </c>
      <c r="D2081" t="str">
        <f>_xlfn.XLOOKUP(RW_DT_PRODUCTION[[#This Row],[MATERIAL_ID]],DIM_MATERIAL[MATERIAL_ID],DIM_MATERIAL[UOM_AFTER_PROCESS])</f>
        <v>BAG</v>
      </c>
      <c r="E2081">
        <v>22</v>
      </c>
    </row>
    <row r="2082" spans="1:5" x14ac:dyDescent="0.2">
      <c r="A2082" s="3">
        <v>45910</v>
      </c>
      <c r="B2082" t="s">
        <v>2</v>
      </c>
      <c r="C2082">
        <v>1</v>
      </c>
      <c r="D2082" t="str">
        <f>_xlfn.XLOOKUP(RW_DT_PRODUCTION[[#This Row],[MATERIAL_ID]],DIM_MATERIAL[MATERIAL_ID],DIM_MATERIAL[UOM_AFTER_PROCESS])</f>
        <v>BAG</v>
      </c>
      <c r="E2082">
        <v>22</v>
      </c>
    </row>
    <row r="2083" spans="1:5" x14ac:dyDescent="0.2">
      <c r="A2083" s="3">
        <v>45910</v>
      </c>
      <c r="B2083" t="s">
        <v>2</v>
      </c>
      <c r="C2083">
        <v>1</v>
      </c>
      <c r="D2083" t="str">
        <f>_xlfn.XLOOKUP(RW_DT_PRODUCTION[[#This Row],[MATERIAL_ID]],DIM_MATERIAL[MATERIAL_ID],DIM_MATERIAL[UOM_AFTER_PROCESS])</f>
        <v>BAG</v>
      </c>
      <c r="E2083">
        <v>22</v>
      </c>
    </row>
    <row r="2084" spans="1:5" x14ac:dyDescent="0.2">
      <c r="A2084" s="3">
        <v>45910</v>
      </c>
      <c r="B2084" t="s">
        <v>2</v>
      </c>
      <c r="C2084">
        <v>1</v>
      </c>
      <c r="D2084" t="str">
        <f>_xlfn.XLOOKUP(RW_DT_PRODUCTION[[#This Row],[MATERIAL_ID]],DIM_MATERIAL[MATERIAL_ID],DIM_MATERIAL[UOM_AFTER_PROCESS])</f>
        <v>BAG</v>
      </c>
      <c r="E2084">
        <v>22</v>
      </c>
    </row>
    <row r="2085" spans="1:5" x14ac:dyDescent="0.2">
      <c r="A2085" s="3">
        <v>45910</v>
      </c>
      <c r="B2085" t="s">
        <v>2</v>
      </c>
      <c r="C2085">
        <v>1</v>
      </c>
      <c r="D2085" t="str">
        <f>_xlfn.XLOOKUP(RW_DT_PRODUCTION[[#This Row],[MATERIAL_ID]],DIM_MATERIAL[MATERIAL_ID],DIM_MATERIAL[UOM_AFTER_PROCESS])</f>
        <v>BAG</v>
      </c>
      <c r="E2085">
        <v>22</v>
      </c>
    </row>
    <row r="2086" spans="1:5" x14ac:dyDescent="0.2">
      <c r="A2086" s="3">
        <v>45910</v>
      </c>
      <c r="B2086" t="s">
        <v>2</v>
      </c>
      <c r="C2086">
        <v>1</v>
      </c>
      <c r="D2086" t="str">
        <f>_xlfn.XLOOKUP(RW_DT_PRODUCTION[[#This Row],[MATERIAL_ID]],DIM_MATERIAL[MATERIAL_ID],DIM_MATERIAL[UOM_AFTER_PROCESS])</f>
        <v>BAG</v>
      </c>
      <c r="E2086">
        <v>22</v>
      </c>
    </row>
    <row r="2087" spans="1:5" x14ac:dyDescent="0.2">
      <c r="A2087" s="3">
        <v>45910</v>
      </c>
      <c r="B2087" t="s">
        <v>2</v>
      </c>
      <c r="C2087">
        <v>1</v>
      </c>
      <c r="D2087" t="str">
        <f>_xlfn.XLOOKUP(RW_DT_PRODUCTION[[#This Row],[MATERIAL_ID]],DIM_MATERIAL[MATERIAL_ID],DIM_MATERIAL[UOM_AFTER_PROCESS])</f>
        <v>BAG</v>
      </c>
      <c r="E2087">
        <v>22</v>
      </c>
    </row>
    <row r="2088" spans="1:5" x14ac:dyDescent="0.2">
      <c r="A2088" s="3">
        <v>45910</v>
      </c>
      <c r="B2088" t="s">
        <v>2</v>
      </c>
      <c r="C2088">
        <v>1</v>
      </c>
      <c r="D2088" t="str">
        <f>_xlfn.XLOOKUP(RW_DT_PRODUCTION[[#This Row],[MATERIAL_ID]],DIM_MATERIAL[MATERIAL_ID],DIM_MATERIAL[UOM_AFTER_PROCESS])</f>
        <v>BAG</v>
      </c>
      <c r="E2088">
        <v>22</v>
      </c>
    </row>
    <row r="2089" spans="1:5" x14ac:dyDescent="0.2">
      <c r="A2089" s="3">
        <v>45910</v>
      </c>
      <c r="B2089" t="s">
        <v>2</v>
      </c>
      <c r="C2089">
        <v>1</v>
      </c>
      <c r="D2089" t="str">
        <f>_xlfn.XLOOKUP(RW_DT_PRODUCTION[[#This Row],[MATERIAL_ID]],DIM_MATERIAL[MATERIAL_ID],DIM_MATERIAL[UOM_AFTER_PROCESS])</f>
        <v>BAG</v>
      </c>
      <c r="E2089">
        <v>22</v>
      </c>
    </row>
    <row r="2090" spans="1:5" x14ac:dyDescent="0.2">
      <c r="A2090" s="3">
        <v>45911</v>
      </c>
      <c r="B2090" t="s">
        <v>1</v>
      </c>
      <c r="C2090">
        <v>1</v>
      </c>
      <c r="D2090" t="str">
        <f>_xlfn.XLOOKUP(RW_DT_PRODUCTION[[#This Row],[MATERIAL_ID]],DIM_MATERIAL[MATERIAL_ID],DIM_MATERIAL[UOM_AFTER_PROCESS])</f>
        <v>BALE</v>
      </c>
      <c r="E2090">
        <v>61</v>
      </c>
    </row>
    <row r="2091" spans="1:5" x14ac:dyDescent="0.2">
      <c r="A2091" s="3">
        <v>45912</v>
      </c>
      <c r="B2091" t="s">
        <v>1</v>
      </c>
      <c r="C2091">
        <v>1</v>
      </c>
      <c r="D2091" t="str">
        <f>_xlfn.XLOOKUP(RW_DT_PRODUCTION[[#This Row],[MATERIAL_ID]],DIM_MATERIAL[MATERIAL_ID],DIM_MATERIAL[UOM_AFTER_PROCESS])</f>
        <v>BALE</v>
      </c>
      <c r="E2091">
        <v>61</v>
      </c>
    </row>
    <row r="2092" spans="1:5" x14ac:dyDescent="0.2">
      <c r="A2092" s="3">
        <v>45912</v>
      </c>
      <c r="B2092" t="s">
        <v>1</v>
      </c>
      <c r="C2092">
        <v>1</v>
      </c>
      <c r="D2092" t="str">
        <f>_xlfn.XLOOKUP(RW_DT_PRODUCTION[[#This Row],[MATERIAL_ID]],DIM_MATERIAL[MATERIAL_ID],DIM_MATERIAL[UOM_AFTER_PROCESS])</f>
        <v>BALE</v>
      </c>
      <c r="E2092">
        <v>69</v>
      </c>
    </row>
    <row r="2093" spans="1:5" x14ac:dyDescent="0.2">
      <c r="A2093" s="3">
        <v>45912</v>
      </c>
      <c r="B2093" t="s">
        <v>1</v>
      </c>
      <c r="C2093">
        <v>1</v>
      </c>
      <c r="D2093" t="str">
        <f>_xlfn.XLOOKUP(RW_DT_PRODUCTION[[#This Row],[MATERIAL_ID]],DIM_MATERIAL[MATERIAL_ID],DIM_MATERIAL[UOM_AFTER_PROCESS])</f>
        <v>BALE</v>
      </c>
      <c r="E2093">
        <v>85</v>
      </c>
    </row>
    <row r="2094" spans="1:5" x14ac:dyDescent="0.2">
      <c r="A2094" s="3">
        <v>45912</v>
      </c>
      <c r="B2094" t="s">
        <v>1</v>
      </c>
      <c r="C2094">
        <v>1</v>
      </c>
      <c r="D2094" t="str">
        <f>_xlfn.XLOOKUP(RW_DT_PRODUCTION[[#This Row],[MATERIAL_ID]],DIM_MATERIAL[MATERIAL_ID],DIM_MATERIAL[UOM_AFTER_PROCESS])</f>
        <v>BALE</v>
      </c>
      <c r="E2094">
        <v>61</v>
      </c>
    </row>
    <row r="2095" spans="1:5" x14ac:dyDescent="0.2">
      <c r="A2095" s="3">
        <v>45912</v>
      </c>
      <c r="B2095" t="s">
        <v>1</v>
      </c>
      <c r="C2095">
        <v>1</v>
      </c>
      <c r="D2095" t="str">
        <f>_xlfn.XLOOKUP(RW_DT_PRODUCTION[[#This Row],[MATERIAL_ID]],DIM_MATERIAL[MATERIAL_ID],DIM_MATERIAL[UOM_AFTER_PROCESS])</f>
        <v>BALE</v>
      </c>
      <c r="E2095">
        <v>73</v>
      </c>
    </row>
    <row r="2096" spans="1:5" x14ac:dyDescent="0.2">
      <c r="A2096" s="3">
        <v>45912</v>
      </c>
      <c r="B2096" t="s">
        <v>1</v>
      </c>
      <c r="C2096">
        <v>1</v>
      </c>
      <c r="D2096" t="str">
        <f>_xlfn.XLOOKUP(RW_DT_PRODUCTION[[#This Row],[MATERIAL_ID]],DIM_MATERIAL[MATERIAL_ID],DIM_MATERIAL[UOM_AFTER_PROCESS])</f>
        <v>BALE</v>
      </c>
      <c r="E2096">
        <v>85</v>
      </c>
    </row>
    <row r="2097" spans="1:5" x14ac:dyDescent="0.2">
      <c r="A2097" s="3">
        <v>45913</v>
      </c>
      <c r="B2097" t="s">
        <v>1</v>
      </c>
      <c r="C2097">
        <v>1</v>
      </c>
      <c r="D2097" t="str">
        <f>_xlfn.XLOOKUP(RW_DT_PRODUCTION[[#This Row],[MATERIAL_ID]],DIM_MATERIAL[MATERIAL_ID],DIM_MATERIAL[UOM_AFTER_PROCESS])</f>
        <v>BALE</v>
      </c>
      <c r="E2097">
        <v>87</v>
      </c>
    </row>
    <row r="2098" spans="1:5" x14ac:dyDescent="0.2">
      <c r="A2098" s="3">
        <v>45913</v>
      </c>
      <c r="B2098" t="s">
        <v>1</v>
      </c>
      <c r="C2098">
        <v>1</v>
      </c>
      <c r="D2098" t="str">
        <f>_xlfn.XLOOKUP(RW_DT_PRODUCTION[[#This Row],[MATERIAL_ID]],DIM_MATERIAL[MATERIAL_ID],DIM_MATERIAL[UOM_AFTER_PROCESS])</f>
        <v>BALE</v>
      </c>
      <c r="E2098">
        <v>65</v>
      </c>
    </row>
    <row r="2099" spans="1:5" x14ac:dyDescent="0.2">
      <c r="A2099" s="3">
        <v>45913</v>
      </c>
      <c r="B2099" t="s">
        <v>1</v>
      </c>
      <c r="C2099">
        <v>1</v>
      </c>
      <c r="D2099" t="str">
        <f>_xlfn.XLOOKUP(RW_DT_PRODUCTION[[#This Row],[MATERIAL_ID]],DIM_MATERIAL[MATERIAL_ID],DIM_MATERIAL[UOM_AFTER_PROCESS])</f>
        <v>BALE</v>
      </c>
      <c r="E2099">
        <v>88</v>
      </c>
    </row>
    <row r="2100" spans="1:5" x14ac:dyDescent="0.2">
      <c r="A2100" s="3">
        <v>45913</v>
      </c>
      <c r="B2100" t="s">
        <v>1</v>
      </c>
      <c r="C2100">
        <v>1</v>
      </c>
      <c r="D2100" t="str">
        <f>_xlfn.XLOOKUP(RW_DT_PRODUCTION[[#This Row],[MATERIAL_ID]],DIM_MATERIAL[MATERIAL_ID],DIM_MATERIAL[UOM_AFTER_PROCESS])</f>
        <v>BALE</v>
      </c>
      <c r="E2100">
        <v>74</v>
      </c>
    </row>
    <row r="2101" spans="1:5" x14ac:dyDescent="0.2">
      <c r="A2101" s="3">
        <v>45913</v>
      </c>
      <c r="B2101" t="s">
        <v>1</v>
      </c>
      <c r="C2101">
        <v>1</v>
      </c>
      <c r="D2101" t="str">
        <f>_xlfn.XLOOKUP(RW_DT_PRODUCTION[[#This Row],[MATERIAL_ID]],DIM_MATERIAL[MATERIAL_ID],DIM_MATERIAL[UOM_AFTER_PROCESS])</f>
        <v>BALE</v>
      </c>
      <c r="E2101">
        <v>77</v>
      </c>
    </row>
    <row r="2102" spans="1:5" x14ac:dyDescent="0.2">
      <c r="A2102" s="3">
        <v>45916</v>
      </c>
      <c r="B2102" t="s">
        <v>1</v>
      </c>
      <c r="C2102">
        <v>1</v>
      </c>
      <c r="D2102" t="str">
        <f>_xlfn.XLOOKUP(RW_DT_PRODUCTION[[#This Row],[MATERIAL_ID]],DIM_MATERIAL[MATERIAL_ID],DIM_MATERIAL[UOM_AFTER_PROCESS])</f>
        <v>BALE</v>
      </c>
      <c r="E2102">
        <v>70</v>
      </c>
    </row>
    <row r="2103" spans="1:5" x14ac:dyDescent="0.2">
      <c r="A2103" s="3">
        <v>45916</v>
      </c>
      <c r="B2103" t="s">
        <v>1</v>
      </c>
      <c r="C2103">
        <v>1</v>
      </c>
      <c r="D2103" t="str">
        <f>_xlfn.XLOOKUP(RW_DT_PRODUCTION[[#This Row],[MATERIAL_ID]],DIM_MATERIAL[MATERIAL_ID],DIM_MATERIAL[UOM_AFTER_PROCESS])</f>
        <v>BALE</v>
      </c>
      <c r="E2103">
        <v>69</v>
      </c>
    </row>
    <row r="2104" spans="1:5" x14ac:dyDescent="0.2">
      <c r="A2104" s="3">
        <v>45916</v>
      </c>
      <c r="B2104" t="s">
        <v>1</v>
      </c>
      <c r="C2104">
        <v>1</v>
      </c>
      <c r="D2104" t="str">
        <f>_xlfn.XLOOKUP(RW_DT_PRODUCTION[[#This Row],[MATERIAL_ID]],DIM_MATERIAL[MATERIAL_ID],DIM_MATERIAL[UOM_AFTER_PROCESS])</f>
        <v>BALE</v>
      </c>
      <c r="E2104">
        <v>67</v>
      </c>
    </row>
    <row r="2105" spans="1:5" x14ac:dyDescent="0.2">
      <c r="A2105" s="3">
        <v>45916</v>
      </c>
      <c r="B2105" t="s">
        <v>1</v>
      </c>
      <c r="C2105">
        <v>1</v>
      </c>
      <c r="D2105" t="str">
        <f>_xlfn.XLOOKUP(RW_DT_PRODUCTION[[#This Row],[MATERIAL_ID]],DIM_MATERIAL[MATERIAL_ID],DIM_MATERIAL[UOM_AFTER_PROCESS])</f>
        <v>BALE</v>
      </c>
      <c r="E2105">
        <v>89</v>
      </c>
    </row>
    <row r="2106" spans="1:5" x14ac:dyDescent="0.2">
      <c r="A2106" s="3">
        <v>45916</v>
      </c>
      <c r="B2106" t="s">
        <v>1</v>
      </c>
      <c r="C2106">
        <v>1</v>
      </c>
      <c r="D2106" t="str">
        <f>_xlfn.XLOOKUP(RW_DT_PRODUCTION[[#This Row],[MATERIAL_ID]],DIM_MATERIAL[MATERIAL_ID],DIM_MATERIAL[UOM_AFTER_PROCESS])</f>
        <v>BALE</v>
      </c>
      <c r="E2106">
        <v>89</v>
      </c>
    </row>
    <row r="2107" spans="1:5" x14ac:dyDescent="0.2">
      <c r="A2107" s="3">
        <v>45916</v>
      </c>
      <c r="B2107" t="s">
        <v>1</v>
      </c>
      <c r="C2107">
        <v>1</v>
      </c>
      <c r="D2107" t="str">
        <f>_xlfn.XLOOKUP(RW_DT_PRODUCTION[[#This Row],[MATERIAL_ID]],DIM_MATERIAL[MATERIAL_ID],DIM_MATERIAL[UOM_AFTER_PROCESS])</f>
        <v>BALE</v>
      </c>
      <c r="E2107">
        <v>71</v>
      </c>
    </row>
    <row r="2108" spans="1:5" x14ac:dyDescent="0.2">
      <c r="A2108" s="3">
        <v>45917</v>
      </c>
      <c r="B2108" t="s">
        <v>1</v>
      </c>
      <c r="C2108">
        <v>1</v>
      </c>
      <c r="D2108" t="str">
        <f>_xlfn.XLOOKUP(RW_DT_PRODUCTION[[#This Row],[MATERIAL_ID]],DIM_MATERIAL[MATERIAL_ID],DIM_MATERIAL[UOM_AFTER_PROCESS])</f>
        <v>BALE</v>
      </c>
      <c r="E2108">
        <v>85</v>
      </c>
    </row>
    <row r="2109" spans="1:5" x14ac:dyDescent="0.2">
      <c r="A2109" s="3">
        <v>45917</v>
      </c>
      <c r="B2109" t="s">
        <v>1</v>
      </c>
      <c r="C2109">
        <v>1</v>
      </c>
      <c r="D2109" t="str">
        <f>_xlfn.XLOOKUP(RW_DT_PRODUCTION[[#This Row],[MATERIAL_ID]],DIM_MATERIAL[MATERIAL_ID],DIM_MATERIAL[UOM_AFTER_PROCESS])</f>
        <v>BALE</v>
      </c>
      <c r="E2109">
        <v>77</v>
      </c>
    </row>
    <row r="2110" spans="1:5" x14ac:dyDescent="0.2">
      <c r="A2110" s="3">
        <v>45917</v>
      </c>
      <c r="B2110" t="s">
        <v>1</v>
      </c>
      <c r="C2110">
        <v>1</v>
      </c>
      <c r="D2110" t="str">
        <f>_xlfn.XLOOKUP(RW_DT_PRODUCTION[[#This Row],[MATERIAL_ID]],DIM_MATERIAL[MATERIAL_ID],DIM_MATERIAL[UOM_AFTER_PROCESS])</f>
        <v>BALE</v>
      </c>
      <c r="E2110">
        <v>61</v>
      </c>
    </row>
    <row r="2111" spans="1:5" x14ac:dyDescent="0.2">
      <c r="A2111" s="3">
        <v>45917</v>
      </c>
      <c r="B2111" t="s">
        <v>1</v>
      </c>
      <c r="C2111">
        <v>1</v>
      </c>
      <c r="D2111" t="str">
        <f>_xlfn.XLOOKUP(RW_DT_PRODUCTION[[#This Row],[MATERIAL_ID]],DIM_MATERIAL[MATERIAL_ID],DIM_MATERIAL[UOM_AFTER_PROCESS])</f>
        <v>BALE</v>
      </c>
      <c r="E2111">
        <v>88</v>
      </c>
    </row>
    <row r="2112" spans="1:5" x14ac:dyDescent="0.2">
      <c r="A2112" s="3">
        <v>45917</v>
      </c>
      <c r="B2112" t="s">
        <v>1</v>
      </c>
      <c r="C2112">
        <v>1</v>
      </c>
      <c r="D2112" t="str">
        <f>_xlfn.XLOOKUP(RW_DT_PRODUCTION[[#This Row],[MATERIAL_ID]],DIM_MATERIAL[MATERIAL_ID],DIM_MATERIAL[UOM_AFTER_PROCESS])</f>
        <v>BALE</v>
      </c>
      <c r="E2112">
        <v>60</v>
      </c>
    </row>
    <row r="2113" spans="1:5" x14ac:dyDescent="0.2">
      <c r="A2113" s="3">
        <v>45918</v>
      </c>
      <c r="B2113" t="s">
        <v>1</v>
      </c>
      <c r="C2113">
        <v>1</v>
      </c>
      <c r="D2113" t="str">
        <f>_xlfn.XLOOKUP(RW_DT_PRODUCTION[[#This Row],[MATERIAL_ID]],DIM_MATERIAL[MATERIAL_ID],DIM_MATERIAL[UOM_AFTER_PROCESS])</f>
        <v>BALE</v>
      </c>
      <c r="E2113">
        <v>88</v>
      </c>
    </row>
    <row r="2114" spans="1:5" x14ac:dyDescent="0.2">
      <c r="A2114" s="3">
        <v>45918</v>
      </c>
      <c r="B2114" t="s">
        <v>1</v>
      </c>
      <c r="C2114">
        <v>1</v>
      </c>
      <c r="D2114" t="str">
        <f>_xlfn.XLOOKUP(RW_DT_PRODUCTION[[#This Row],[MATERIAL_ID]],DIM_MATERIAL[MATERIAL_ID],DIM_MATERIAL[UOM_AFTER_PROCESS])</f>
        <v>BALE</v>
      </c>
      <c r="E2114">
        <v>83</v>
      </c>
    </row>
    <row r="2115" spans="1:5" x14ac:dyDescent="0.2">
      <c r="A2115" s="3">
        <v>45918</v>
      </c>
      <c r="B2115" t="s">
        <v>1</v>
      </c>
      <c r="C2115">
        <v>1</v>
      </c>
      <c r="D2115" t="str">
        <f>_xlfn.XLOOKUP(RW_DT_PRODUCTION[[#This Row],[MATERIAL_ID]],DIM_MATERIAL[MATERIAL_ID],DIM_MATERIAL[UOM_AFTER_PROCESS])</f>
        <v>BALE</v>
      </c>
      <c r="E2115">
        <v>84</v>
      </c>
    </row>
    <row r="2116" spans="1:5" x14ac:dyDescent="0.2">
      <c r="A2116" s="3">
        <v>45918</v>
      </c>
      <c r="B2116" t="s">
        <v>2</v>
      </c>
      <c r="C2116">
        <v>1</v>
      </c>
      <c r="D2116" t="str">
        <f>_xlfn.XLOOKUP(RW_DT_PRODUCTION[[#This Row],[MATERIAL_ID]],DIM_MATERIAL[MATERIAL_ID],DIM_MATERIAL[UOM_AFTER_PROCESS])</f>
        <v>BAG</v>
      </c>
      <c r="E2116">
        <v>22</v>
      </c>
    </row>
    <row r="2117" spans="1:5" x14ac:dyDescent="0.2">
      <c r="A2117" s="3">
        <v>45918</v>
      </c>
      <c r="B2117" t="s">
        <v>2</v>
      </c>
      <c r="C2117">
        <v>1</v>
      </c>
      <c r="D2117" t="str">
        <f>_xlfn.XLOOKUP(RW_DT_PRODUCTION[[#This Row],[MATERIAL_ID]],DIM_MATERIAL[MATERIAL_ID],DIM_MATERIAL[UOM_AFTER_PROCESS])</f>
        <v>BAG</v>
      </c>
      <c r="E2117">
        <v>22</v>
      </c>
    </row>
    <row r="2118" spans="1:5" x14ac:dyDescent="0.2">
      <c r="A2118" s="3">
        <v>45918</v>
      </c>
      <c r="B2118" t="s">
        <v>2</v>
      </c>
      <c r="C2118">
        <v>1</v>
      </c>
      <c r="D2118" t="str">
        <f>_xlfn.XLOOKUP(RW_DT_PRODUCTION[[#This Row],[MATERIAL_ID]],DIM_MATERIAL[MATERIAL_ID],DIM_MATERIAL[UOM_AFTER_PROCESS])</f>
        <v>BAG</v>
      </c>
      <c r="E2118">
        <v>22</v>
      </c>
    </row>
    <row r="2119" spans="1:5" x14ac:dyDescent="0.2">
      <c r="A2119" s="3">
        <v>45920</v>
      </c>
      <c r="B2119" t="s">
        <v>1</v>
      </c>
      <c r="C2119">
        <v>1</v>
      </c>
      <c r="D2119" t="str">
        <f>_xlfn.XLOOKUP(RW_DT_PRODUCTION[[#This Row],[MATERIAL_ID]],DIM_MATERIAL[MATERIAL_ID],DIM_MATERIAL[UOM_AFTER_PROCESS])</f>
        <v>BALE</v>
      </c>
      <c r="E2119">
        <v>67</v>
      </c>
    </row>
    <row r="2120" spans="1:5" x14ac:dyDescent="0.2">
      <c r="A2120" s="3">
        <v>45920</v>
      </c>
      <c r="B2120" t="s">
        <v>1</v>
      </c>
      <c r="C2120">
        <v>1</v>
      </c>
      <c r="D2120" t="str">
        <f>_xlfn.XLOOKUP(RW_DT_PRODUCTION[[#This Row],[MATERIAL_ID]],DIM_MATERIAL[MATERIAL_ID],DIM_MATERIAL[UOM_AFTER_PROCESS])</f>
        <v>BALE</v>
      </c>
      <c r="E2120">
        <v>72</v>
      </c>
    </row>
    <row r="2121" spans="1:5" x14ac:dyDescent="0.2">
      <c r="A2121" s="3">
        <v>45920</v>
      </c>
      <c r="B2121" t="s">
        <v>1</v>
      </c>
      <c r="C2121">
        <v>1</v>
      </c>
      <c r="D2121" t="str">
        <f>_xlfn.XLOOKUP(RW_DT_PRODUCTION[[#This Row],[MATERIAL_ID]],DIM_MATERIAL[MATERIAL_ID],DIM_MATERIAL[UOM_AFTER_PROCESS])</f>
        <v>BALE</v>
      </c>
      <c r="E2121">
        <v>89</v>
      </c>
    </row>
    <row r="2122" spans="1:5" x14ac:dyDescent="0.2">
      <c r="A2122" s="3">
        <v>45920</v>
      </c>
      <c r="B2122" t="s">
        <v>1</v>
      </c>
      <c r="C2122">
        <v>1</v>
      </c>
      <c r="D2122" t="str">
        <f>_xlfn.XLOOKUP(RW_DT_PRODUCTION[[#This Row],[MATERIAL_ID]],DIM_MATERIAL[MATERIAL_ID],DIM_MATERIAL[UOM_AFTER_PROCESS])</f>
        <v>BALE</v>
      </c>
      <c r="E2122">
        <v>80</v>
      </c>
    </row>
    <row r="2123" spans="1:5" x14ac:dyDescent="0.2">
      <c r="A2123" s="3">
        <v>45920</v>
      </c>
      <c r="B2123" t="s">
        <v>1</v>
      </c>
      <c r="C2123">
        <v>1</v>
      </c>
      <c r="D2123" t="str">
        <f>_xlfn.XLOOKUP(RW_DT_PRODUCTION[[#This Row],[MATERIAL_ID]],DIM_MATERIAL[MATERIAL_ID],DIM_MATERIAL[UOM_AFTER_PROCESS])</f>
        <v>BALE</v>
      </c>
      <c r="E2123">
        <v>83</v>
      </c>
    </row>
    <row r="2124" spans="1:5" x14ac:dyDescent="0.2">
      <c r="A2124" s="3">
        <v>45920</v>
      </c>
      <c r="B2124" t="s">
        <v>1</v>
      </c>
      <c r="C2124">
        <v>1</v>
      </c>
      <c r="D2124" t="str">
        <f>_xlfn.XLOOKUP(RW_DT_PRODUCTION[[#This Row],[MATERIAL_ID]],DIM_MATERIAL[MATERIAL_ID],DIM_MATERIAL[UOM_AFTER_PROCESS])</f>
        <v>BALE</v>
      </c>
      <c r="E2124">
        <v>83</v>
      </c>
    </row>
    <row r="2125" spans="1:5" x14ac:dyDescent="0.2">
      <c r="A2125" s="3">
        <v>45920</v>
      </c>
      <c r="B2125" t="s">
        <v>2</v>
      </c>
      <c r="C2125">
        <v>1</v>
      </c>
      <c r="D2125" t="str">
        <f>_xlfn.XLOOKUP(RW_DT_PRODUCTION[[#This Row],[MATERIAL_ID]],DIM_MATERIAL[MATERIAL_ID],DIM_MATERIAL[UOM_AFTER_PROCESS])</f>
        <v>BAG</v>
      </c>
      <c r="E2125">
        <v>22</v>
      </c>
    </row>
    <row r="2126" spans="1:5" x14ac:dyDescent="0.2">
      <c r="A2126" s="3">
        <v>45920</v>
      </c>
      <c r="B2126" t="s">
        <v>2</v>
      </c>
      <c r="C2126">
        <v>1</v>
      </c>
      <c r="D2126" t="str">
        <f>_xlfn.XLOOKUP(RW_DT_PRODUCTION[[#This Row],[MATERIAL_ID]],DIM_MATERIAL[MATERIAL_ID],DIM_MATERIAL[UOM_AFTER_PROCESS])</f>
        <v>BAG</v>
      </c>
      <c r="E2126">
        <v>22</v>
      </c>
    </row>
    <row r="2127" spans="1:5" x14ac:dyDescent="0.2">
      <c r="A2127" s="3">
        <v>45922</v>
      </c>
      <c r="B2127" t="s">
        <v>1</v>
      </c>
      <c r="C2127">
        <v>1</v>
      </c>
      <c r="D2127" t="str">
        <f>_xlfn.XLOOKUP(RW_DT_PRODUCTION[[#This Row],[MATERIAL_ID]],DIM_MATERIAL[MATERIAL_ID],DIM_MATERIAL[UOM_AFTER_PROCESS])</f>
        <v>BALE</v>
      </c>
      <c r="E2127">
        <v>88</v>
      </c>
    </row>
    <row r="2128" spans="1:5" x14ac:dyDescent="0.2">
      <c r="A2128" s="3">
        <v>45922</v>
      </c>
      <c r="B2128" t="s">
        <v>1</v>
      </c>
      <c r="C2128">
        <v>1</v>
      </c>
      <c r="D2128" t="str">
        <f>_xlfn.XLOOKUP(RW_DT_PRODUCTION[[#This Row],[MATERIAL_ID]],DIM_MATERIAL[MATERIAL_ID],DIM_MATERIAL[UOM_AFTER_PROCESS])</f>
        <v>BALE</v>
      </c>
      <c r="E2128">
        <v>76</v>
      </c>
    </row>
    <row r="2129" spans="1:5" x14ac:dyDescent="0.2">
      <c r="A2129" s="3">
        <v>45922</v>
      </c>
      <c r="B2129" t="s">
        <v>1</v>
      </c>
      <c r="C2129">
        <v>1</v>
      </c>
      <c r="D2129" t="str">
        <f>_xlfn.XLOOKUP(RW_DT_PRODUCTION[[#This Row],[MATERIAL_ID]],DIM_MATERIAL[MATERIAL_ID],DIM_MATERIAL[UOM_AFTER_PROCESS])</f>
        <v>BALE</v>
      </c>
      <c r="E2129">
        <v>84</v>
      </c>
    </row>
    <row r="2130" spans="1:5" x14ac:dyDescent="0.2">
      <c r="A2130" s="3">
        <v>45923</v>
      </c>
      <c r="B2130" t="s">
        <v>1</v>
      </c>
      <c r="C2130">
        <v>1</v>
      </c>
      <c r="D2130" t="str">
        <f>_xlfn.XLOOKUP(RW_DT_PRODUCTION[[#This Row],[MATERIAL_ID]],DIM_MATERIAL[MATERIAL_ID],DIM_MATERIAL[UOM_AFTER_PROCESS])</f>
        <v>BALE</v>
      </c>
      <c r="E2130">
        <v>62</v>
      </c>
    </row>
    <row r="2131" spans="1:5" x14ac:dyDescent="0.2">
      <c r="A2131" s="3">
        <v>45923</v>
      </c>
      <c r="B2131" t="s">
        <v>1</v>
      </c>
      <c r="C2131">
        <v>1</v>
      </c>
      <c r="D2131" t="str">
        <f>_xlfn.XLOOKUP(RW_DT_PRODUCTION[[#This Row],[MATERIAL_ID]],DIM_MATERIAL[MATERIAL_ID],DIM_MATERIAL[UOM_AFTER_PROCESS])</f>
        <v>BALE</v>
      </c>
      <c r="E2131">
        <v>79</v>
      </c>
    </row>
    <row r="2132" spans="1:5" x14ac:dyDescent="0.2">
      <c r="A2132" s="3">
        <v>45923</v>
      </c>
      <c r="B2132" t="s">
        <v>1</v>
      </c>
      <c r="C2132">
        <v>1</v>
      </c>
      <c r="D2132" t="str">
        <f>_xlfn.XLOOKUP(RW_DT_PRODUCTION[[#This Row],[MATERIAL_ID]],DIM_MATERIAL[MATERIAL_ID],DIM_MATERIAL[UOM_AFTER_PROCESS])</f>
        <v>BALE</v>
      </c>
      <c r="E2132">
        <v>80</v>
      </c>
    </row>
    <row r="2133" spans="1:5" x14ac:dyDescent="0.2">
      <c r="A2133" s="3">
        <v>45923</v>
      </c>
      <c r="B2133" t="s">
        <v>1</v>
      </c>
      <c r="C2133">
        <v>1</v>
      </c>
      <c r="D2133" t="str">
        <f>_xlfn.XLOOKUP(RW_DT_PRODUCTION[[#This Row],[MATERIAL_ID]],DIM_MATERIAL[MATERIAL_ID],DIM_MATERIAL[UOM_AFTER_PROCESS])</f>
        <v>BALE</v>
      </c>
      <c r="E2133">
        <v>66</v>
      </c>
    </row>
    <row r="2134" spans="1:5" x14ac:dyDescent="0.2">
      <c r="A2134" s="3">
        <v>45923</v>
      </c>
      <c r="B2134" t="s">
        <v>2</v>
      </c>
      <c r="C2134">
        <v>1</v>
      </c>
      <c r="D2134" t="str">
        <f>_xlfn.XLOOKUP(RW_DT_PRODUCTION[[#This Row],[MATERIAL_ID]],DIM_MATERIAL[MATERIAL_ID],DIM_MATERIAL[UOM_AFTER_PROCESS])</f>
        <v>BAG</v>
      </c>
      <c r="E2134">
        <v>22</v>
      </c>
    </row>
    <row r="2135" spans="1:5" x14ac:dyDescent="0.2">
      <c r="A2135" s="3">
        <v>45923</v>
      </c>
      <c r="B2135" t="s">
        <v>2</v>
      </c>
      <c r="C2135">
        <v>1</v>
      </c>
      <c r="D2135" t="str">
        <f>_xlfn.XLOOKUP(RW_DT_PRODUCTION[[#This Row],[MATERIAL_ID]],DIM_MATERIAL[MATERIAL_ID],DIM_MATERIAL[UOM_AFTER_PROCESS])</f>
        <v>BAG</v>
      </c>
      <c r="E2135">
        <v>22</v>
      </c>
    </row>
    <row r="2136" spans="1:5" x14ac:dyDescent="0.2">
      <c r="A2136" s="3">
        <v>45923</v>
      </c>
      <c r="B2136" t="s">
        <v>2</v>
      </c>
      <c r="C2136">
        <v>1</v>
      </c>
      <c r="D2136" t="str">
        <f>_xlfn.XLOOKUP(RW_DT_PRODUCTION[[#This Row],[MATERIAL_ID]],DIM_MATERIAL[MATERIAL_ID],DIM_MATERIAL[UOM_AFTER_PROCESS])</f>
        <v>BAG</v>
      </c>
      <c r="E2136">
        <v>22</v>
      </c>
    </row>
    <row r="2137" spans="1:5" x14ac:dyDescent="0.2">
      <c r="A2137" s="3">
        <v>45924</v>
      </c>
      <c r="B2137" t="s">
        <v>1</v>
      </c>
      <c r="C2137">
        <v>1</v>
      </c>
      <c r="D2137" t="str">
        <f>_xlfn.XLOOKUP(RW_DT_PRODUCTION[[#This Row],[MATERIAL_ID]],DIM_MATERIAL[MATERIAL_ID],DIM_MATERIAL[UOM_AFTER_PROCESS])</f>
        <v>BALE</v>
      </c>
      <c r="E2137">
        <v>81</v>
      </c>
    </row>
    <row r="2138" spans="1:5" x14ac:dyDescent="0.2">
      <c r="A2138" s="3">
        <v>45925</v>
      </c>
      <c r="B2138" t="s">
        <v>1</v>
      </c>
      <c r="C2138">
        <v>1</v>
      </c>
      <c r="D2138" t="str">
        <f>_xlfn.XLOOKUP(RW_DT_PRODUCTION[[#This Row],[MATERIAL_ID]],DIM_MATERIAL[MATERIAL_ID],DIM_MATERIAL[UOM_AFTER_PROCESS])</f>
        <v>BALE</v>
      </c>
      <c r="E2138">
        <v>84</v>
      </c>
    </row>
    <row r="2139" spans="1:5" x14ac:dyDescent="0.2">
      <c r="A2139" s="3">
        <v>45925</v>
      </c>
      <c r="B2139" t="s">
        <v>1</v>
      </c>
      <c r="C2139">
        <v>1</v>
      </c>
      <c r="D2139" t="str">
        <f>_xlfn.XLOOKUP(RW_DT_PRODUCTION[[#This Row],[MATERIAL_ID]],DIM_MATERIAL[MATERIAL_ID],DIM_MATERIAL[UOM_AFTER_PROCESS])</f>
        <v>BALE</v>
      </c>
      <c r="E2139">
        <v>67</v>
      </c>
    </row>
    <row r="2140" spans="1:5" x14ac:dyDescent="0.2">
      <c r="A2140" s="3">
        <v>45925</v>
      </c>
      <c r="B2140" t="s">
        <v>1</v>
      </c>
      <c r="C2140">
        <v>1</v>
      </c>
      <c r="D2140" t="str">
        <f>_xlfn.XLOOKUP(RW_DT_PRODUCTION[[#This Row],[MATERIAL_ID]],DIM_MATERIAL[MATERIAL_ID],DIM_MATERIAL[UOM_AFTER_PROCESS])</f>
        <v>BALE</v>
      </c>
      <c r="E2140">
        <v>77</v>
      </c>
    </row>
    <row r="2141" spans="1:5" x14ac:dyDescent="0.2">
      <c r="A2141" s="3">
        <v>45925</v>
      </c>
      <c r="B2141" t="s">
        <v>1</v>
      </c>
      <c r="C2141">
        <v>1</v>
      </c>
      <c r="D2141" t="str">
        <f>_xlfn.XLOOKUP(RW_DT_PRODUCTION[[#This Row],[MATERIAL_ID]],DIM_MATERIAL[MATERIAL_ID],DIM_MATERIAL[UOM_AFTER_PROCESS])</f>
        <v>BALE</v>
      </c>
      <c r="E2141">
        <v>82</v>
      </c>
    </row>
    <row r="2142" spans="1:5" x14ac:dyDescent="0.2">
      <c r="A2142" s="3">
        <v>45926</v>
      </c>
      <c r="B2142" t="s">
        <v>1</v>
      </c>
      <c r="C2142">
        <v>1</v>
      </c>
      <c r="D2142" t="str">
        <f>_xlfn.XLOOKUP(RW_DT_PRODUCTION[[#This Row],[MATERIAL_ID]],DIM_MATERIAL[MATERIAL_ID],DIM_MATERIAL[UOM_AFTER_PROCESS])</f>
        <v>BALE</v>
      </c>
      <c r="E2142">
        <v>60</v>
      </c>
    </row>
    <row r="2143" spans="1:5" x14ac:dyDescent="0.2">
      <c r="A2143" s="3">
        <v>45926</v>
      </c>
      <c r="B2143" t="s">
        <v>1</v>
      </c>
      <c r="C2143">
        <v>1</v>
      </c>
      <c r="D2143" t="str">
        <f>_xlfn.XLOOKUP(RW_DT_PRODUCTION[[#This Row],[MATERIAL_ID]],DIM_MATERIAL[MATERIAL_ID],DIM_MATERIAL[UOM_AFTER_PROCESS])</f>
        <v>BALE</v>
      </c>
      <c r="E2143">
        <v>77</v>
      </c>
    </row>
    <row r="2144" spans="1:5" x14ac:dyDescent="0.2">
      <c r="A2144" s="3">
        <v>45926</v>
      </c>
      <c r="B2144" t="s">
        <v>1</v>
      </c>
      <c r="C2144">
        <v>1</v>
      </c>
      <c r="D2144" t="str">
        <f>_xlfn.XLOOKUP(RW_DT_PRODUCTION[[#This Row],[MATERIAL_ID]],DIM_MATERIAL[MATERIAL_ID],DIM_MATERIAL[UOM_AFTER_PROCESS])</f>
        <v>BALE</v>
      </c>
      <c r="E2144">
        <v>81</v>
      </c>
    </row>
    <row r="2145" spans="1:5" x14ac:dyDescent="0.2">
      <c r="A2145" s="3">
        <v>45932</v>
      </c>
      <c r="B2145" t="s">
        <v>1</v>
      </c>
      <c r="C2145">
        <v>1</v>
      </c>
      <c r="D2145" t="str">
        <f>_xlfn.XLOOKUP(RW_DT_PRODUCTION[[#This Row],[MATERIAL_ID]],DIM_MATERIAL[MATERIAL_ID],DIM_MATERIAL[UOM_AFTER_PROCESS])</f>
        <v>BALE</v>
      </c>
      <c r="E2145">
        <v>67</v>
      </c>
    </row>
    <row r="2146" spans="1:5" x14ac:dyDescent="0.2">
      <c r="A2146" s="3">
        <v>45932</v>
      </c>
      <c r="B2146" t="s">
        <v>1</v>
      </c>
      <c r="C2146">
        <v>1</v>
      </c>
      <c r="D2146" t="str">
        <f>_xlfn.XLOOKUP(RW_DT_PRODUCTION[[#This Row],[MATERIAL_ID]],DIM_MATERIAL[MATERIAL_ID],DIM_MATERIAL[UOM_AFTER_PROCESS])</f>
        <v>BALE</v>
      </c>
      <c r="E2146">
        <v>87</v>
      </c>
    </row>
    <row r="2147" spans="1:5" x14ac:dyDescent="0.2">
      <c r="A2147" s="3">
        <v>45932</v>
      </c>
      <c r="B2147" t="s">
        <v>1</v>
      </c>
      <c r="C2147">
        <v>1</v>
      </c>
      <c r="D2147" t="str">
        <f>_xlfn.XLOOKUP(RW_DT_PRODUCTION[[#This Row],[MATERIAL_ID]],DIM_MATERIAL[MATERIAL_ID],DIM_MATERIAL[UOM_AFTER_PROCESS])</f>
        <v>BALE</v>
      </c>
      <c r="E2147">
        <v>88</v>
      </c>
    </row>
    <row r="2148" spans="1:5" x14ac:dyDescent="0.2">
      <c r="A2148" s="3">
        <v>45932</v>
      </c>
      <c r="B2148" t="s">
        <v>1</v>
      </c>
      <c r="C2148">
        <v>1</v>
      </c>
      <c r="D2148" t="str">
        <f>_xlfn.XLOOKUP(RW_DT_PRODUCTION[[#This Row],[MATERIAL_ID]],DIM_MATERIAL[MATERIAL_ID],DIM_MATERIAL[UOM_AFTER_PROCESS])</f>
        <v>BALE</v>
      </c>
      <c r="E2148">
        <v>64</v>
      </c>
    </row>
    <row r="2149" spans="1:5" x14ac:dyDescent="0.2">
      <c r="A2149" s="3">
        <v>45933</v>
      </c>
      <c r="B2149" t="s">
        <v>1</v>
      </c>
      <c r="C2149">
        <v>1</v>
      </c>
      <c r="D2149" t="str">
        <f>_xlfn.XLOOKUP(RW_DT_PRODUCTION[[#This Row],[MATERIAL_ID]],DIM_MATERIAL[MATERIAL_ID],DIM_MATERIAL[UOM_AFTER_PROCESS])</f>
        <v>BALE</v>
      </c>
      <c r="E2149">
        <v>71</v>
      </c>
    </row>
    <row r="2150" spans="1:5" x14ac:dyDescent="0.2">
      <c r="A2150" s="3">
        <v>45936</v>
      </c>
      <c r="B2150" t="s">
        <v>1</v>
      </c>
      <c r="C2150">
        <v>1</v>
      </c>
      <c r="D2150" t="str">
        <f>_xlfn.XLOOKUP(RW_DT_PRODUCTION[[#This Row],[MATERIAL_ID]],DIM_MATERIAL[MATERIAL_ID],DIM_MATERIAL[UOM_AFTER_PROCESS])</f>
        <v>BALE</v>
      </c>
      <c r="E2150">
        <v>89</v>
      </c>
    </row>
    <row r="2151" spans="1:5" x14ac:dyDescent="0.2">
      <c r="A2151" s="3">
        <v>45936</v>
      </c>
      <c r="B2151" t="s">
        <v>1</v>
      </c>
      <c r="C2151">
        <v>1</v>
      </c>
      <c r="D2151" t="str">
        <f>_xlfn.XLOOKUP(RW_DT_PRODUCTION[[#This Row],[MATERIAL_ID]],DIM_MATERIAL[MATERIAL_ID],DIM_MATERIAL[UOM_AFTER_PROCESS])</f>
        <v>BALE</v>
      </c>
      <c r="E2151">
        <v>61</v>
      </c>
    </row>
    <row r="2152" spans="1:5" x14ac:dyDescent="0.2">
      <c r="A2152" s="3">
        <v>45936</v>
      </c>
      <c r="B2152" t="s">
        <v>1</v>
      </c>
      <c r="C2152">
        <v>1</v>
      </c>
      <c r="D2152" t="str">
        <f>_xlfn.XLOOKUP(RW_DT_PRODUCTION[[#This Row],[MATERIAL_ID]],DIM_MATERIAL[MATERIAL_ID],DIM_MATERIAL[UOM_AFTER_PROCESS])</f>
        <v>BALE</v>
      </c>
      <c r="E2152">
        <v>86</v>
      </c>
    </row>
    <row r="2153" spans="1:5" x14ac:dyDescent="0.2">
      <c r="A2153" s="3">
        <v>45936</v>
      </c>
      <c r="B2153" t="s">
        <v>1</v>
      </c>
      <c r="C2153">
        <v>1</v>
      </c>
      <c r="D2153" t="str">
        <f>_xlfn.XLOOKUP(RW_DT_PRODUCTION[[#This Row],[MATERIAL_ID]],DIM_MATERIAL[MATERIAL_ID],DIM_MATERIAL[UOM_AFTER_PROCESS])</f>
        <v>BALE</v>
      </c>
      <c r="E2153">
        <v>70</v>
      </c>
    </row>
    <row r="2154" spans="1:5" x14ac:dyDescent="0.2">
      <c r="A2154" s="3">
        <v>45936</v>
      </c>
      <c r="B2154" t="s">
        <v>1</v>
      </c>
      <c r="C2154">
        <v>1</v>
      </c>
      <c r="D2154" t="str">
        <f>_xlfn.XLOOKUP(RW_DT_PRODUCTION[[#This Row],[MATERIAL_ID]],DIM_MATERIAL[MATERIAL_ID],DIM_MATERIAL[UOM_AFTER_PROCESS])</f>
        <v>BALE</v>
      </c>
      <c r="E2154">
        <v>77</v>
      </c>
    </row>
    <row r="2155" spans="1:5" x14ac:dyDescent="0.2">
      <c r="A2155" s="3">
        <v>45936</v>
      </c>
      <c r="B2155" t="s">
        <v>1</v>
      </c>
      <c r="C2155">
        <v>1</v>
      </c>
      <c r="D2155" t="str">
        <f>_xlfn.XLOOKUP(RW_DT_PRODUCTION[[#This Row],[MATERIAL_ID]],DIM_MATERIAL[MATERIAL_ID],DIM_MATERIAL[UOM_AFTER_PROCESS])</f>
        <v>BALE</v>
      </c>
      <c r="E2155">
        <v>83</v>
      </c>
    </row>
    <row r="2156" spans="1:5" x14ac:dyDescent="0.2">
      <c r="A2156" s="3">
        <v>45936</v>
      </c>
      <c r="B2156" t="s">
        <v>2</v>
      </c>
      <c r="C2156">
        <v>1</v>
      </c>
      <c r="D2156" t="str">
        <f>_xlfn.XLOOKUP(RW_DT_PRODUCTION[[#This Row],[MATERIAL_ID]],DIM_MATERIAL[MATERIAL_ID],DIM_MATERIAL[UOM_AFTER_PROCESS])</f>
        <v>BAG</v>
      </c>
      <c r="E2156">
        <v>22</v>
      </c>
    </row>
    <row r="2157" spans="1:5" x14ac:dyDescent="0.2">
      <c r="A2157" s="3">
        <v>45936</v>
      </c>
      <c r="B2157" t="s">
        <v>2</v>
      </c>
      <c r="C2157">
        <v>1</v>
      </c>
      <c r="D2157" t="str">
        <f>_xlfn.XLOOKUP(RW_DT_PRODUCTION[[#This Row],[MATERIAL_ID]],DIM_MATERIAL[MATERIAL_ID],DIM_MATERIAL[UOM_AFTER_PROCESS])</f>
        <v>BAG</v>
      </c>
      <c r="E2157">
        <v>22</v>
      </c>
    </row>
    <row r="2158" spans="1:5" x14ac:dyDescent="0.2">
      <c r="A2158" s="3">
        <v>45937</v>
      </c>
      <c r="B2158" t="s">
        <v>1</v>
      </c>
      <c r="C2158">
        <v>1</v>
      </c>
      <c r="D2158" t="str">
        <f>_xlfn.XLOOKUP(RW_DT_PRODUCTION[[#This Row],[MATERIAL_ID]],DIM_MATERIAL[MATERIAL_ID],DIM_MATERIAL[UOM_AFTER_PROCESS])</f>
        <v>BALE</v>
      </c>
      <c r="E2158">
        <v>70</v>
      </c>
    </row>
    <row r="2159" spans="1:5" x14ac:dyDescent="0.2">
      <c r="A2159" s="3">
        <v>45937</v>
      </c>
      <c r="B2159" t="s">
        <v>1</v>
      </c>
      <c r="C2159">
        <v>1</v>
      </c>
      <c r="D2159" t="str">
        <f>_xlfn.XLOOKUP(RW_DT_PRODUCTION[[#This Row],[MATERIAL_ID]],DIM_MATERIAL[MATERIAL_ID],DIM_MATERIAL[UOM_AFTER_PROCESS])</f>
        <v>BALE</v>
      </c>
      <c r="E2159">
        <v>85</v>
      </c>
    </row>
    <row r="2160" spans="1:5" x14ac:dyDescent="0.2">
      <c r="A2160" s="3">
        <v>45937</v>
      </c>
      <c r="B2160" t="s">
        <v>1</v>
      </c>
      <c r="C2160">
        <v>1</v>
      </c>
      <c r="D2160" t="str">
        <f>_xlfn.XLOOKUP(RW_DT_PRODUCTION[[#This Row],[MATERIAL_ID]],DIM_MATERIAL[MATERIAL_ID],DIM_MATERIAL[UOM_AFTER_PROCESS])</f>
        <v>BALE</v>
      </c>
      <c r="E2160">
        <v>64</v>
      </c>
    </row>
    <row r="2161" spans="1:5" x14ac:dyDescent="0.2">
      <c r="A2161" s="3">
        <v>45937</v>
      </c>
      <c r="B2161" t="s">
        <v>1</v>
      </c>
      <c r="C2161">
        <v>1</v>
      </c>
      <c r="D2161" t="str">
        <f>_xlfn.XLOOKUP(RW_DT_PRODUCTION[[#This Row],[MATERIAL_ID]],DIM_MATERIAL[MATERIAL_ID],DIM_MATERIAL[UOM_AFTER_PROCESS])</f>
        <v>BALE</v>
      </c>
      <c r="E2161">
        <v>66</v>
      </c>
    </row>
    <row r="2162" spans="1:5" x14ac:dyDescent="0.2">
      <c r="A2162" s="3">
        <v>45937</v>
      </c>
      <c r="B2162" t="s">
        <v>1</v>
      </c>
      <c r="C2162">
        <v>1</v>
      </c>
      <c r="D2162" t="str">
        <f>_xlfn.XLOOKUP(RW_DT_PRODUCTION[[#This Row],[MATERIAL_ID]],DIM_MATERIAL[MATERIAL_ID],DIM_MATERIAL[UOM_AFTER_PROCESS])</f>
        <v>BALE</v>
      </c>
      <c r="E2162">
        <v>77</v>
      </c>
    </row>
    <row r="2163" spans="1:5" x14ac:dyDescent="0.2">
      <c r="A2163" s="3">
        <v>45938</v>
      </c>
      <c r="B2163" t="s">
        <v>1</v>
      </c>
      <c r="C2163">
        <v>1</v>
      </c>
      <c r="D2163" t="str">
        <f>_xlfn.XLOOKUP(RW_DT_PRODUCTION[[#This Row],[MATERIAL_ID]],DIM_MATERIAL[MATERIAL_ID],DIM_MATERIAL[UOM_AFTER_PROCESS])</f>
        <v>BALE</v>
      </c>
      <c r="E2163">
        <v>73</v>
      </c>
    </row>
    <row r="2164" spans="1:5" x14ac:dyDescent="0.2">
      <c r="A2164" s="3">
        <v>45938</v>
      </c>
      <c r="B2164" t="s">
        <v>1</v>
      </c>
      <c r="C2164">
        <v>1</v>
      </c>
      <c r="D2164" t="str">
        <f>_xlfn.XLOOKUP(RW_DT_PRODUCTION[[#This Row],[MATERIAL_ID]],DIM_MATERIAL[MATERIAL_ID],DIM_MATERIAL[UOM_AFTER_PROCESS])</f>
        <v>BALE</v>
      </c>
      <c r="E2164">
        <v>81</v>
      </c>
    </row>
    <row r="2165" spans="1:5" x14ac:dyDescent="0.2">
      <c r="A2165" s="3">
        <v>45938</v>
      </c>
      <c r="B2165" t="s">
        <v>1</v>
      </c>
      <c r="C2165">
        <v>1</v>
      </c>
      <c r="D2165" t="str">
        <f>_xlfn.XLOOKUP(RW_DT_PRODUCTION[[#This Row],[MATERIAL_ID]],DIM_MATERIAL[MATERIAL_ID],DIM_MATERIAL[UOM_AFTER_PROCESS])</f>
        <v>BALE</v>
      </c>
      <c r="E2165">
        <v>85</v>
      </c>
    </row>
    <row r="2166" spans="1:5" x14ac:dyDescent="0.2">
      <c r="A2166" s="3">
        <v>45938</v>
      </c>
      <c r="B2166" t="s">
        <v>1</v>
      </c>
      <c r="C2166">
        <v>1</v>
      </c>
      <c r="D2166" t="str">
        <f>_xlfn.XLOOKUP(RW_DT_PRODUCTION[[#This Row],[MATERIAL_ID]],DIM_MATERIAL[MATERIAL_ID],DIM_MATERIAL[UOM_AFTER_PROCESS])</f>
        <v>BALE</v>
      </c>
      <c r="E2166">
        <v>70</v>
      </c>
    </row>
    <row r="2167" spans="1:5" x14ac:dyDescent="0.2">
      <c r="A2167" s="3">
        <v>45938</v>
      </c>
      <c r="B2167" t="s">
        <v>2</v>
      </c>
      <c r="C2167">
        <v>1</v>
      </c>
      <c r="D2167" t="str">
        <f>_xlfn.XLOOKUP(RW_DT_PRODUCTION[[#This Row],[MATERIAL_ID]],DIM_MATERIAL[MATERIAL_ID],DIM_MATERIAL[UOM_AFTER_PROCESS])</f>
        <v>BAG</v>
      </c>
      <c r="E2167">
        <v>22</v>
      </c>
    </row>
    <row r="2168" spans="1:5" x14ac:dyDescent="0.2">
      <c r="A2168" s="3">
        <v>45938</v>
      </c>
      <c r="B2168" t="s">
        <v>2</v>
      </c>
      <c r="C2168">
        <v>1</v>
      </c>
      <c r="D2168" t="str">
        <f>_xlfn.XLOOKUP(RW_DT_PRODUCTION[[#This Row],[MATERIAL_ID]],DIM_MATERIAL[MATERIAL_ID],DIM_MATERIAL[UOM_AFTER_PROCESS])</f>
        <v>BAG</v>
      </c>
      <c r="E2168">
        <v>22</v>
      </c>
    </row>
    <row r="2169" spans="1:5" x14ac:dyDescent="0.2">
      <c r="A2169" s="3">
        <v>45938</v>
      </c>
      <c r="B2169" t="s">
        <v>2</v>
      </c>
      <c r="C2169">
        <v>1</v>
      </c>
      <c r="D2169" t="str">
        <f>_xlfn.XLOOKUP(RW_DT_PRODUCTION[[#This Row],[MATERIAL_ID]],DIM_MATERIAL[MATERIAL_ID],DIM_MATERIAL[UOM_AFTER_PROCESS])</f>
        <v>BAG</v>
      </c>
      <c r="E2169">
        <v>22</v>
      </c>
    </row>
    <row r="2170" spans="1:5" x14ac:dyDescent="0.2">
      <c r="A2170" s="3">
        <v>45938</v>
      </c>
      <c r="B2170" t="s">
        <v>2</v>
      </c>
      <c r="C2170">
        <v>1</v>
      </c>
      <c r="D2170" t="str">
        <f>_xlfn.XLOOKUP(RW_DT_PRODUCTION[[#This Row],[MATERIAL_ID]],DIM_MATERIAL[MATERIAL_ID],DIM_MATERIAL[UOM_AFTER_PROCESS])</f>
        <v>BAG</v>
      </c>
      <c r="E2170">
        <v>22</v>
      </c>
    </row>
    <row r="2171" spans="1:5" x14ac:dyDescent="0.2">
      <c r="A2171" s="3">
        <v>45939</v>
      </c>
      <c r="B2171" t="s">
        <v>1</v>
      </c>
      <c r="C2171">
        <v>1</v>
      </c>
      <c r="D2171" t="str">
        <f>_xlfn.XLOOKUP(RW_DT_PRODUCTION[[#This Row],[MATERIAL_ID]],DIM_MATERIAL[MATERIAL_ID],DIM_MATERIAL[UOM_AFTER_PROCESS])</f>
        <v>BALE</v>
      </c>
      <c r="E2171">
        <v>85</v>
      </c>
    </row>
    <row r="2172" spans="1:5" x14ac:dyDescent="0.2">
      <c r="A2172" s="3">
        <v>45939</v>
      </c>
      <c r="B2172" t="s">
        <v>1</v>
      </c>
      <c r="C2172">
        <v>1</v>
      </c>
      <c r="D2172" t="str">
        <f>_xlfn.XLOOKUP(RW_DT_PRODUCTION[[#This Row],[MATERIAL_ID]],DIM_MATERIAL[MATERIAL_ID],DIM_MATERIAL[UOM_AFTER_PROCESS])</f>
        <v>BALE</v>
      </c>
      <c r="E2172">
        <v>74</v>
      </c>
    </row>
    <row r="2173" spans="1:5" x14ac:dyDescent="0.2">
      <c r="A2173" s="3">
        <v>45939</v>
      </c>
      <c r="B2173" t="s">
        <v>1</v>
      </c>
      <c r="C2173">
        <v>1</v>
      </c>
      <c r="D2173" t="str">
        <f>_xlfn.XLOOKUP(RW_DT_PRODUCTION[[#This Row],[MATERIAL_ID]],DIM_MATERIAL[MATERIAL_ID],DIM_MATERIAL[UOM_AFTER_PROCESS])</f>
        <v>BALE</v>
      </c>
      <c r="E2173">
        <v>83</v>
      </c>
    </row>
    <row r="2174" spans="1:5" x14ac:dyDescent="0.2">
      <c r="A2174" s="3">
        <v>45939</v>
      </c>
      <c r="B2174" t="s">
        <v>1</v>
      </c>
      <c r="C2174">
        <v>1</v>
      </c>
      <c r="D2174" t="str">
        <f>_xlfn.XLOOKUP(RW_DT_PRODUCTION[[#This Row],[MATERIAL_ID]],DIM_MATERIAL[MATERIAL_ID],DIM_MATERIAL[UOM_AFTER_PROCESS])</f>
        <v>BALE</v>
      </c>
      <c r="E2174">
        <v>74</v>
      </c>
    </row>
    <row r="2175" spans="1:5" x14ac:dyDescent="0.2">
      <c r="A2175" s="3">
        <v>45939</v>
      </c>
      <c r="B2175" t="s">
        <v>1</v>
      </c>
      <c r="C2175">
        <v>1</v>
      </c>
      <c r="D2175" t="str">
        <f>_xlfn.XLOOKUP(RW_DT_PRODUCTION[[#This Row],[MATERIAL_ID]],DIM_MATERIAL[MATERIAL_ID],DIM_MATERIAL[UOM_AFTER_PROCESS])</f>
        <v>BALE</v>
      </c>
      <c r="E2175">
        <v>71</v>
      </c>
    </row>
    <row r="2176" spans="1:5" x14ac:dyDescent="0.2">
      <c r="A2176" s="3">
        <v>45939</v>
      </c>
      <c r="B2176" t="s">
        <v>1</v>
      </c>
      <c r="C2176">
        <v>1</v>
      </c>
      <c r="D2176" t="str">
        <f>_xlfn.XLOOKUP(RW_DT_PRODUCTION[[#This Row],[MATERIAL_ID]],DIM_MATERIAL[MATERIAL_ID],DIM_MATERIAL[UOM_AFTER_PROCESS])</f>
        <v>BALE</v>
      </c>
      <c r="E2176">
        <v>78</v>
      </c>
    </row>
    <row r="2177" spans="1:5" x14ac:dyDescent="0.2">
      <c r="A2177" s="3">
        <v>45940</v>
      </c>
      <c r="B2177" t="s">
        <v>1</v>
      </c>
      <c r="C2177">
        <v>1</v>
      </c>
      <c r="D2177" t="str">
        <f>_xlfn.XLOOKUP(RW_DT_PRODUCTION[[#This Row],[MATERIAL_ID]],DIM_MATERIAL[MATERIAL_ID],DIM_MATERIAL[UOM_AFTER_PROCESS])</f>
        <v>BALE</v>
      </c>
      <c r="E2177">
        <v>85</v>
      </c>
    </row>
    <row r="2178" spans="1:5" x14ac:dyDescent="0.2">
      <c r="A2178" s="3">
        <v>45940</v>
      </c>
      <c r="B2178" t="s">
        <v>1</v>
      </c>
      <c r="C2178">
        <v>1</v>
      </c>
      <c r="D2178" t="str">
        <f>_xlfn.XLOOKUP(RW_DT_PRODUCTION[[#This Row],[MATERIAL_ID]],DIM_MATERIAL[MATERIAL_ID],DIM_MATERIAL[UOM_AFTER_PROCESS])</f>
        <v>BALE</v>
      </c>
      <c r="E2178">
        <v>84</v>
      </c>
    </row>
    <row r="2179" spans="1:5" x14ac:dyDescent="0.2">
      <c r="A2179" s="3">
        <v>45940</v>
      </c>
      <c r="B2179" t="s">
        <v>1</v>
      </c>
      <c r="C2179">
        <v>1</v>
      </c>
      <c r="D2179" t="str">
        <f>_xlfn.XLOOKUP(RW_DT_PRODUCTION[[#This Row],[MATERIAL_ID]],DIM_MATERIAL[MATERIAL_ID],DIM_MATERIAL[UOM_AFTER_PROCESS])</f>
        <v>BALE</v>
      </c>
      <c r="E2179">
        <v>83</v>
      </c>
    </row>
    <row r="2180" spans="1:5" x14ac:dyDescent="0.2">
      <c r="A2180" s="3">
        <v>45940</v>
      </c>
      <c r="B2180" t="s">
        <v>1</v>
      </c>
      <c r="C2180">
        <v>1</v>
      </c>
      <c r="D2180" t="str">
        <f>_xlfn.XLOOKUP(RW_DT_PRODUCTION[[#This Row],[MATERIAL_ID]],DIM_MATERIAL[MATERIAL_ID],DIM_MATERIAL[UOM_AFTER_PROCESS])</f>
        <v>BALE</v>
      </c>
      <c r="E2180">
        <v>65</v>
      </c>
    </row>
    <row r="2181" spans="1:5" x14ac:dyDescent="0.2">
      <c r="A2181" s="3">
        <v>45940</v>
      </c>
      <c r="B2181" t="s">
        <v>1</v>
      </c>
      <c r="C2181">
        <v>1</v>
      </c>
      <c r="D2181" t="str">
        <f>_xlfn.XLOOKUP(RW_DT_PRODUCTION[[#This Row],[MATERIAL_ID]],DIM_MATERIAL[MATERIAL_ID],DIM_MATERIAL[UOM_AFTER_PROCESS])</f>
        <v>BALE</v>
      </c>
      <c r="E2181">
        <v>64</v>
      </c>
    </row>
    <row r="2182" spans="1:5" x14ac:dyDescent="0.2">
      <c r="A2182" s="3">
        <v>45940</v>
      </c>
      <c r="B2182" t="s">
        <v>1</v>
      </c>
      <c r="C2182">
        <v>1</v>
      </c>
      <c r="D2182" t="str">
        <f>_xlfn.XLOOKUP(RW_DT_PRODUCTION[[#This Row],[MATERIAL_ID]],DIM_MATERIAL[MATERIAL_ID],DIM_MATERIAL[UOM_AFTER_PROCESS])</f>
        <v>BALE</v>
      </c>
      <c r="E2182">
        <v>83</v>
      </c>
    </row>
    <row r="2183" spans="1:5" x14ac:dyDescent="0.2">
      <c r="A2183" s="3">
        <v>45940</v>
      </c>
      <c r="B2183" t="s">
        <v>1</v>
      </c>
      <c r="C2183">
        <v>1</v>
      </c>
      <c r="D2183" t="str">
        <f>_xlfn.XLOOKUP(RW_DT_PRODUCTION[[#This Row],[MATERIAL_ID]],DIM_MATERIAL[MATERIAL_ID],DIM_MATERIAL[UOM_AFTER_PROCESS])</f>
        <v>BALE</v>
      </c>
      <c r="E2183">
        <v>64</v>
      </c>
    </row>
    <row r="2184" spans="1:5" x14ac:dyDescent="0.2">
      <c r="A2184" s="3">
        <v>45940</v>
      </c>
      <c r="B2184" t="s">
        <v>1</v>
      </c>
      <c r="C2184">
        <v>1</v>
      </c>
      <c r="D2184" t="str">
        <f>_xlfn.XLOOKUP(RW_DT_PRODUCTION[[#This Row],[MATERIAL_ID]],DIM_MATERIAL[MATERIAL_ID],DIM_MATERIAL[UOM_AFTER_PROCESS])</f>
        <v>BALE</v>
      </c>
      <c r="E2184">
        <v>74</v>
      </c>
    </row>
    <row r="2185" spans="1:5" x14ac:dyDescent="0.2">
      <c r="A2185" s="3">
        <v>45940</v>
      </c>
      <c r="B2185" t="s">
        <v>2</v>
      </c>
      <c r="C2185">
        <v>1</v>
      </c>
      <c r="D2185" t="str">
        <f>_xlfn.XLOOKUP(RW_DT_PRODUCTION[[#This Row],[MATERIAL_ID]],DIM_MATERIAL[MATERIAL_ID],DIM_MATERIAL[UOM_AFTER_PROCESS])</f>
        <v>BAG</v>
      </c>
      <c r="E2185">
        <v>22</v>
      </c>
    </row>
    <row r="2186" spans="1:5" x14ac:dyDescent="0.2">
      <c r="A2186" s="3">
        <v>45940</v>
      </c>
      <c r="B2186" t="s">
        <v>2</v>
      </c>
      <c r="C2186">
        <v>1</v>
      </c>
      <c r="D2186" t="str">
        <f>_xlfn.XLOOKUP(RW_DT_PRODUCTION[[#This Row],[MATERIAL_ID]],DIM_MATERIAL[MATERIAL_ID],DIM_MATERIAL[UOM_AFTER_PROCESS])</f>
        <v>BAG</v>
      </c>
      <c r="E2186">
        <v>22</v>
      </c>
    </row>
    <row r="2187" spans="1:5" x14ac:dyDescent="0.2">
      <c r="A2187" s="3">
        <v>45940</v>
      </c>
      <c r="B2187" t="s">
        <v>2</v>
      </c>
      <c r="C2187">
        <v>1</v>
      </c>
      <c r="D2187" t="str">
        <f>_xlfn.XLOOKUP(RW_DT_PRODUCTION[[#This Row],[MATERIAL_ID]],DIM_MATERIAL[MATERIAL_ID],DIM_MATERIAL[UOM_AFTER_PROCESS])</f>
        <v>BAG</v>
      </c>
      <c r="E2187">
        <v>22</v>
      </c>
    </row>
    <row r="2188" spans="1:5" x14ac:dyDescent="0.2">
      <c r="A2188" s="3">
        <v>45940</v>
      </c>
      <c r="B2188" t="s">
        <v>2</v>
      </c>
      <c r="C2188">
        <v>1</v>
      </c>
      <c r="D2188" t="str">
        <f>_xlfn.XLOOKUP(RW_DT_PRODUCTION[[#This Row],[MATERIAL_ID]],DIM_MATERIAL[MATERIAL_ID],DIM_MATERIAL[UOM_AFTER_PROCESS])</f>
        <v>BAG</v>
      </c>
      <c r="E2188">
        <v>22</v>
      </c>
    </row>
    <row r="2189" spans="1:5" x14ac:dyDescent="0.2">
      <c r="A2189" s="3">
        <v>45940</v>
      </c>
      <c r="B2189" t="s">
        <v>2</v>
      </c>
      <c r="C2189">
        <v>1</v>
      </c>
      <c r="D2189" t="str">
        <f>_xlfn.XLOOKUP(RW_DT_PRODUCTION[[#This Row],[MATERIAL_ID]],DIM_MATERIAL[MATERIAL_ID],DIM_MATERIAL[UOM_AFTER_PROCESS])</f>
        <v>BAG</v>
      </c>
      <c r="E2189">
        <v>22</v>
      </c>
    </row>
    <row r="2190" spans="1:5" x14ac:dyDescent="0.2">
      <c r="A2190" s="3">
        <v>45941</v>
      </c>
      <c r="B2190" t="s">
        <v>1</v>
      </c>
      <c r="C2190">
        <v>1</v>
      </c>
      <c r="D2190" t="str">
        <f>_xlfn.XLOOKUP(RW_DT_PRODUCTION[[#This Row],[MATERIAL_ID]],DIM_MATERIAL[MATERIAL_ID],DIM_MATERIAL[UOM_AFTER_PROCESS])</f>
        <v>BALE</v>
      </c>
      <c r="E2190">
        <v>72</v>
      </c>
    </row>
    <row r="2191" spans="1:5" x14ac:dyDescent="0.2">
      <c r="A2191" s="3">
        <v>45941</v>
      </c>
      <c r="B2191" t="s">
        <v>1</v>
      </c>
      <c r="C2191">
        <v>1</v>
      </c>
      <c r="D2191" t="str">
        <f>_xlfn.XLOOKUP(RW_DT_PRODUCTION[[#This Row],[MATERIAL_ID]],DIM_MATERIAL[MATERIAL_ID],DIM_MATERIAL[UOM_AFTER_PROCESS])</f>
        <v>BALE</v>
      </c>
      <c r="E2191">
        <v>73</v>
      </c>
    </row>
    <row r="2192" spans="1:5" x14ac:dyDescent="0.2">
      <c r="A2192" s="3">
        <v>45941</v>
      </c>
      <c r="B2192" t="s">
        <v>1</v>
      </c>
      <c r="C2192">
        <v>1</v>
      </c>
      <c r="D2192" t="str">
        <f>_xlfn.XLOOKUP(RW_DT_PRODUCTION[[#This Row],[MATERIAL_ID]],DIM_MATERIAL[MATERIAL_ID],DIM_MATERIAL[UOM_AFTER_PROCESS])</f>
        <v>BALE</v>
      </c>
      <c r="E2192">
        <v>72</v>
      </c>
    </row>
    <row r="2193" spans="1:5" x14ac:dyDescent="0.2">
      <c r="A2193" s="3">
        <v>45941</v>
      </c>
      <c r="B2193" t="s">
        <v>1</v>
      </c>
      <c r="C2193">
        <v>1</v>
      </c>
      <c r="D2193" t="str">
        <f>_xlfn.XLOOKUP(RW_DT_PRODUCTION[[#This Row],[MATERIAL_ID]],DIM_MATERIAL[MATERIAL_ID],DIM_MATERIAL[UOM_AFTER_PROCESS])</f>
        <v>BALE</v>
      </c>
      <c r="E2193">
        <v>89</v>
      </c>
    </row>
    <row r="2194" spans="1:5" x14ac:dyDescent="0.2">
      <c r="A2194" s="3">
        <v>45941</v>
      </c>
      <c r="B2194" t="s">
        <v>1</v>
      </c>
      <c r="C2194">
        <v>1</v>
      </c>
      <c r="D2194" t="str">
        <f>_xlfn.XLOOKUP(RW_DT_PRODUCTION[[#This Row],[MATERIAL_ID]],DIM_MATERIAL[MATERIAL_ID],DIM_MATERIAL[UOM_AFTER_PROCESS])</f>
        <v>BALE</v>
      </c>
      <c r="E2194">
        <v>73</v>
      </c>
    </row>
    <row r="2195" spans="1:5" x14ac:dyDescent="0.2">
      <c r="A2195" s="3">
        <v>45941</v>
      </c>
      <c r="B2195" t="s">
        <v>1</v>
      </c>
      <c r="C2195">
        <v>1</v>
      </c>
      <c r="D2195" t="str">
        <f>_xlfn.XLOOKUP(RW_DT_PRODUCTION[[#This Row],[MATERIAL_ID]],DIM_MATERIAL[MATERIAL_ID],DIM_MATERIAL[UOM_AFTER_PROCESS])</f>
        <v>BALE</v>
      </c>
      <c r="E2195">
        <v>68</v>
      </c>
    </row>
    <row r="2196" spans="1:5" x14ac:dyDescent="0.2">
      <c r="A2196" s="3">
        <v>45943</v>
      </c>
      <c r="B2196" t="s">
        <v>1</v>
      </c>
      <c r="C2196">
        <v>1</v>
      </c>
      <c r="D2196" t="str">
        <f>_xlfn.XLOOKUP(RW_DT_PRODUCTION[[#This Row],[MATERIAL_ID]],DIM_MATERIAL[MATERIAL_ID],DIM_MATERIAL[UOM_AFTER_PROCESS])</f>
        <v>BALE</v>
      </c>
      <c r="E2196">
        <v>80</v>
      </c>
    </row>
    <row r="2197" spans="1:5" x14ac:dyDescent="0.2">
      <c r="A2197" s="3">
        <v>45943</v>
      </c>
      <c r="B2197" t="s">
        <v>1</v>
      </c>
      <c r="C2197">
        <v>1</v>
      </c>
      <c r="D2197" t="str">
        <f>_xlfn.XLOOKUP(RW_DT_PRODUCTION[[#This Row],[MATERIAL_ID]],DIM_MATERIAL[MATERIAL_ID],DIM_MATERIAL[UOM_AFTER_PROCESS])</f>
        <v>BALE</v>
      </c>
      <c r="E2197">
        <v>81</v>
      </c>
    </row>
    <row r="2198" spans="1:5" x14ac:dyDescent="0.2">
      <c r="A2198" s="3">
        <v>45943</v>
      </c>
      <c r="B2198" t="s">
        <v>1</v>
      </c>
      <c r="C2198">
        <v>1</v>
      </c>
      <c r="D2198" t="str">
        <f>_xlfn.XLOOKUP(RW_DT_PRODUCTION[[#This Row],[MATERIAL_ID]],DIM_MATERIAL[MATERIAL_ID],DIM_MATERIAL[UOM_AFTER_PROCESS])</f>
        <v>BALE</v>
      </c>
      <c r="E2198">
        <v>68</v>
      </c>
    </row>
    <row r="2199" spans="1:5" x14ac:dyDescent="0.2">
      <c r="A2199" s="3">
        <v>45943</v>
      </c>
      <c r="B2199" t="s">
        <v>1</v>
      </c>
      <c r="C2199">
        <v>1</v>
      </c>
      <c r="D2199" t="str">
        <f>_xlfn.XLOOKUP(RW_DT_PRODUCTION[[#This Row],[MATERIAL_ID]],DIM_MATERIAL[MATERIAL_ID],DIM_MATERIAL[UOM_AFTER_PROCESS])</f>
        <v>BALE</v>
      </c>
      <c r="E2199">
        <v>60</v>
      </c>
    </row>
    <row r="2200" spans="1:5" x14ac:dyDescent="0.2">
      <c r="A2200" s="3">
        <v>45943</v>
      </c>
      <c r="B2200" t="s">
        <v>1</v>
      </c>
      <c r="C2200">
        <v>1</v>
      </c>
      <c r="D2200" t="str">
        <f>_xlfn.XLOOKUP(RW_DT_PRODUCTION[[#This Row],[MATERIAL_ID]],DIM_MATERIAL[MATERIAL_ID],DIM_MATERIAL[UOM_AFTER_PROCESS])</f>
        <v>BALE</v>
      </c>
      <c r="E2200">
        <v>82</v>
      </c>
    </row>
    <row r="2201" spans="1:5" x14ac:dyDescent="0.2">
      <c r="A2201" s="3">
        <v>45943</v>
      </c>
      <c r="B2201" t="s">
        <v>1</v>
      </c>
      <c r="C2201">
        <v>1</v>
      </c>
      <c r="D2201" t="str">
        <f>_xlfn.XLOOKUP(RW_DT_PRODUCTION[[#This Row],[MATERIAL_ID]],DIM_MATERIAL[MATERIAL_ID],DIM_MATERIAL[UOM_AFTER_PROCESS])</f>
        <v>BALE</v>
      </c>
      <c r="E2201">
        <v>71</v>
      </c>
    </row>
    <row r="2202" spans="1:5" x14ac:dyDescent="0.2">
      <c r="A2202" s="3">
        <v>45943</v>
      </c>
      <c r="B2202" t="s">
        <v>1</v>
      </c>
      <c r="C2202">
        <v>1</v>
      </c>
      <c r="D2202" t="str">
        <f>_xlfn.XLOOKUP(RW_DT_PRODUCTION[[#This Row],[MATERIAL_ID]],DIM_MATERIAL[MATERIAL_ID],DIM_MATERIAL[UOM_AFTER_PROCESS])</f>
        <v>BALE</v>
      </c>
      <c r="E2202">
        <v>87</v>
      </c>
    </row>
    <row r="2203" spans="1:5" x14ac:dyDescent="0.2">
      <c r="A2203" s="3">
        <v>45943</v>
      </c>
      <c r="B2203" t="s">
        <v>1</v>
      </c>
      <c r="C2203">
        <v>1</v>
      </c>
      <c r="D2203" t="str">
        <f>_xlfn.XLOOKUP(RW_DT_PRODUCTION[[#This Row],[MATERIAL_ID]],DIM_MATERIAL[MATERIAL_ID],DIM_MATERIAL[UOM_AFTER_PROCESS])</f>
        <v>BALE</v>
      </c>
      <c r="E2203">
        <v>82</v>
      </c>
    </row>
    <row r="2204" spans="1:5" x14ac:dyDescent="0.2">
      <c r="A2204" s="3">
        <v>45944</v>
      </c>
      <c r="B2204" t="s">
        <v>1</v>
      </c>
      <c r="C2204">
        <v>1</v>
      </c>
      <c r="D2204" t="str">
        <f>_xlfn.XLOOKUP(RW_DT_PRODUCTION[[#This Row],[MATERIAL_ID]],DIM_MATERIAL[MATERIAL_ID],DIM_MATERIAL[UOM_AFTER_PROCESS])</f>
        <v>BALE</v>
      </c>
      <c r="E2204">
        <v>86</v>
      </c>
    </row>
    <row r="2205" spans="1:5" x14ac:dyDescent="0.2">
      <c r="A2205" s="3">
        <v>45944</v>
      </c>
      <c r="B2205" t="s">
        <v>1</v>
      </c>
      <c r="C2205">
        <v>1</v>
      </c>
      <c r="D2205" t="str">
        <f>_xlfn.XLOOKUP(RW_DT_PRODUCTION[[#This Row],[MATERIAL_ID]],DIM_MATERIAL[MATERIAL_ID],DIM_MATERIAL[UOM_AFTER_PROCESS])</f>
        <v>BALE</v>
      </c>
      <c r="E2205">
        <v>83</v>
      </c>
    </row>
    <row r="2206" spans="1:5" x14ac:dyDescent="0.2">
      <c r="A2206" s="3">
        <v>45944</v>
      </c>
      <c r="B2206" t="s">
        <v>1</v>
      </c>
      <c r="C2206">
        <v>1</v>
      </c>
      <c r="D2206" t="str">
        <f>_xlfn.XLOOKUP(RW_DT_PRODUCTION[[#This Row],[MATERIAL_ID]],DIM_MATERIAL[MATERIAL_ID],DIM_MATERIAL[UOM_AFTER_PROCESS])</f>
        <v>BALE</v>
      </c>
      <c r="E2206">
        <v>80</v>
      </c>
    </row>
    <row r="2207" spans="1:5" x14ac:dyDescent="0.2">
      <c r="A2207" s="3">
        <v>45944</v>
      </c>
      <c r="B2207" t="s">
        <v>1</v>
      </c>
      <c r="C2207">
        <v>1</v>
      </c>
      <c r="D2207" t="str">
        <f>_xlfn.XLOOKUP(RW_DT_PRODUCTION[[#This Row],[MATERIAL_ID]],DIM_MATERIAL[MATERIAL_ID],DIM_MATERIAL[UOM_AFTER_PROCESS])</f>
        <v>BALE</v>
      </c>
      <c r="E2207">
        <v>60</v>
      </c>
    </row>
    <row r="2208" spans="1:5" x14ac:dyDescent="0.2">
      <c r="A2208" s="3">
        <v>45944</v>
      </c>
      <c r="B2208" t="s">
        <v>1</v>
      </c>
      <c r="C2208">
        <v>1</v>
      </c>
      <c r="D2208" t="str">
        <f>_xlfn.XLOOKUP(RW_DT_PRODUCTION[[#This Row],[MATERIAL_ID]],DIM_MATERIAL[MATERIAL_ID],DIM_MATERIAL[UOM_AFTER_PROCESS])</f>
        <v>BALE</v>
      </c>
      <c r="E2208">
        <v>65</v>
      </c>
    </row>
    <row r="2209" spans="1:5" x14ac:dyDescent="0.2">
      <c r="A2209" s="3">
        <v>45944</v>
      </c>
      <c r="B2209" t="s">
        <v>1</v>
      </c>
      <c r="C2209">
        <v>1</v>
      </c>
      <c r="D2209" t="str">
        <f>_xlfn.XLOOKUP(RW_DT_PRODUCTION[[#This Row],[MATERIAL_ID]],DIM_MATERIAL[MATERIAL_ID],DIM_MATERIAL[UOM_AFTER_PROCESS])</f>
        <v>BALE</v>
      </c>
      <c r="E2209">
        <v>77</v>
      </c>
    </row>
    <row r="2210" spans="1:5" x14ac:dyDescent="0.2">
      <c r="A2210" s="3">
        <v>45944</v>
      </c>
      <c r="B2210" t="s">
        <v>1</v>
      </c>
      <c r="C2210">
        <v>1</v>
      </c>
      <c r="D2210" t="str">
        <f>_xlfn.XLOOKUP(RW_DT_PRODUCTION[[#This Row],[MATERIAL_ID]],DIM_MATERIAL[MATERIAL_ID],DIM_MATERIAL[UOM_AFTER_PROCESS])</f>
        <v>BALE</v>
      </c>
      <c r="E2210">
        <v>72</v>
      </c>
    </row>
    <row r="2211" spans="1:5" x14ac:dyDescent="0.2">
      <c r="A2211" s="3">
        <v>45944</v>
      </c>
      <c r="B2211" t="s">
        <v>2</v>
      </c>
      <c r="C2211">
        <v>1</v>
      </c>
      <c r="D2211" t="str">
        <f>_xlfn.XLOOKUP(RW_DT_PRODUCTION[[#This Row],[MATERIAL_ID]],DIM_MATERIAL[MATERIAL_ID],DIM_MATERIAL[UOM_AFTER_PROCESS])</f>
        <v>BAG</v>
      </c>
      <c r="E2211">
        <v>22</v>
      </c>
    </row>
    <row r="2212" spans="1:5" x14ac:dyDescent="0.2">
      <c r="A2212" s="3">
        <v>45944</v>
      </c>
      <c r="B2212" t="s">
        <v>2</v>
      </c>
      <c r="C2212">
        <v>1</v>
      </c>
      <c r="D2212" t="str">
        <f>_xlfn.XLOOKUP(RW_DT_PRODUCTION[[#This Row],[MATERIAL_ID]],DIM_MATERIAL[MATERIAL_ID],DIM_MATERIAL[UOM_AFTER_PROCESS])</f>
        <v>BAG</v>
      </c>
      <c r="E2212">
        <v>22</v>
      </c>
    </row>
    <row r="2213" spans="1:5" x14ac:dyDescent="0.2">
      <c r="A2213" s="3">
        <v>45945</v>
      </c>
      <c r="B2213" t="s">
        <v>1</v>
      </c>
      <c r="C2213">
        <v>1</v>
      </c>
      <c r="D2213" t="str">
        <f>_xlfn.XLOOKUP(RW_DT_PRODUCTION[[#This Row],[MATERIAL_ID]],DIM_MATERIAL[MATERIAL_ID],DIM_MATERIAL[UOM_AFTER_PROCESS])</f>
        <v>BALE</v>
      </c>
      <c r="E2213">
        <v>81</v>
      </c>
    </row>
    <row r="2214" spans="1:5" x14ac:dyDescent="0.2">
      <c r="A2214" s="3">
        <v>45945</v>
      </c>
      <c r="B2214" t="s">
        <v>1</v>
      </c>
      <c r="C2214">
        <v>1</v>
      </c>
      <c r="D2214" t="str">
        <f>_xlfn.XLOOKUP(RW_DT_PRODUCTION[[#This Row],[MATERIAL_ID]],DIM_MATERIAL[MATERIAL_ID],DIM_MATERIAL[UOM_AFTER_PROCESS])</f>
        <v>BALE</v>
      </c>
      <c r="E2214">
        <v>86</v>
      </c>
    </row>
    <row r="2215" spans="1:5" x14ac:dyDescent="0.2">
      <c r="A2215" s="3">
        <v>45945</v>
      </c>
      <c r="B2215" t="s">
        <v>1</v>
      </c>
      <c r="C2215">
        <v>1</v>
      </c>
      <c r="D2215" t="str">
        <f>_xlfn.XLOOKUP(RW_DT_PRODUCTION[[#This Row],[MATERIAL_ID]],DIM_MATERIAL[MATERIAL_ID],DIM_MATERIAL[UOM_AFTER_PROCESS])</f>
        <v>BALE</v>
      </c>
      <c r="E2215">
        <v>81</v>
      </c>
    </row>
    <row r="2216" spans="1:5" x14ac:dyDescent="0.2">
      <c r="A2216" s="3">
        <v>45945</v>
      </c>
      <c r="B2216" t="s">
        <v>1</v>
      </c>
      <c r="C2216">
        <v>1</v>
      </c>
      <c r="D2216" t="str">
        <f>_xlfn.XLOOKUP(RW_DT_PRODUCTION[[#This Row],[MATERIAL_ID]],DIM_MATERIAL[MATERIAL_ID],DIM_MATERIAL[UOM_AFTER_PROCESS])</f>
        <v>BALE</v>
      </c>
      <c r="E2216">
        <v>82</v>
      </c>
    </row>
    <row r="2217" spans="1:5" x14ac:dyDescent="0.2">
      <c r="A2217" s="3">
        <v>45945</v>
      </c>
      <c r="B2217" t="s">
        <v>1</v>
      </c>
      <c r="C2217">
        <v>1</v>
      </c>
      <c r="D2217" t="str">
        <f>_xlfn.XLOOKUP(RW_DT_PRODUCTION[[#This Row],[MATERIAL_ID]],DIM_MATERIAL[MATERIAL_ID],DIM_MATERIAL[UOM_AFTER_PROCESS])</f>
        <v>BALE</v>
      </c>
      <c r="E2217">
        <v>60</v>
      </c>
    </row>
    <row r="2218" spans="1:5" x14ac:dyDescent="0.2">
      <c r="A2218" s="3">
        <v>45945</v>
      </c>
      <c r="B2218" t="s">
        <v>1</v>
      </c>
      <c r="C2218">
        <v>1</v>
      </c>
      <c r="D2218" t="str">
        <f>_xlfn.XLOOKUP(RW_DT_PRODUCTION[[#This Row],[MATERIAL_ID]],DIM_MATERIAL[MATERIAL_ID],DIM_MATERIAL[UOM_AFTER_PROCESS])</f>
        <v>BALE</v>
      </c>
      <c r="E2218">
        <v>65</v>
      </c>
    </row>
    <row r="2219" spans="1:5" x14ac:dyDescent="0.2">
      <c r="A2219" s="3">
        <v>45945</v>
      </c>
      <c r="B2219" t="s">
        <v>1</v>
      </c>
      <c r="C2219">
        <v>1</v>
      </c>
      <c r="D2219" t="str">
        <f>_xlfn.XLOOKUP(RW_DT_PRODUCTION[[#This Row],[MATERIAL_ID]],DIM_MATERIAL[MATERIAL_ID],DIM_MATERIAL[UOM_AFTER_PROCESS])</f>
        <v>BALE</v>
      </c>
      <c r="E2219">
        <v>73</v>
      </c>
    </row>
    <row r="2220" spans="1:5" x14ac:dyDescent="0.2">
      <c r="A2220" s="3">
        <v>45945</v>
      </c>
      <c r="B2220" t="s">
        <v>1</v>
      </c>
      <c r="C2220">
        <v>1</v>
      </c>
      <c r="D2220" t="str">
        <f>_xlfn.XLOOKUP(RW_DT_PRODUCTION[[#This Row],[MATERIAL_ID]],DIM_MATERIAL[MATERIAL_ID],DIM_MATERIAL[UOM_AFTER_PROCESS])</f>
        <v>BALE</v>
      </c>
      <c r="E2220">
        <v>85</v>
      </c>
    </row>
    <row r="2221" spans="1:5" x14ac:dyDescent="0.2">
      <c r="A2221" s="3">
        <v>45946</v>
      </c>
      <c r="B2221" t="s">
        <v>1</v>
      </c>
      <c r="C2221">
        <v>1</v>
      </c>
      <c r="D2221" t="str">
        <f>_xlfn.XLOOKUP(RW_DT_PRODUCTION[[#This Row],[MATERIAL_ID]],DIM_MATERIAL[MATERIAL_ID],DIM_MATERIAL[UOM_AFTER_PROCESS])</f>
        <v>BALE</v>
      </c>
      <c r="E2221">
        <v>76</v>
      </c>
    </row>
    <row r="2222" spans="1:5" x14ac:dyDescent="0.2">
      <c r="A2222" s="3">
        <v>45946</v>
      </c>
      <c r="B2222" t="s">
        <v>1</v>
      </c>
      <c r="C2222">
        <v>1</v>
      </c>
      <c r="D2222" t="str">
        <f>_xlfn.XLOOKUP(RW_DT_PRODUCTION[[#This Row],[MATERIAL_ID]],DIM_MATERIAL[MATERIAL_ID],DIM_MATERIAL[UOM_AFTER_PROCESS])</f>
        <v>BALE</v>
      </c>
      <c r="E2222">
        <v>71</v>
      </c>
    </row>
    <row r="2223" spans="1:5" x14ac:dyDescent="0.2">
      <c r="A2223" s="3">
        <v>45946</v>
      </c>
      <c r="B2223" t="s">
        <v>1</v>
      </c>
      <c r="C2223">
        <v>1</v>
      </c>
      <c r="D2223" t="str">
        <f>_xlfn.XLOOKUP(RW_DT_PRODUCTION[[#This Row],[MATERIAL_ID]],DIM_MATERIAL[MATERIAL_ID],DIM_MATERIAL[UOM_AFTER_PROCESS])</f>
        <v>BALE</v>
      </c>
      <c r="E2223">
        <v>66</v>
      </c>
    </row>
    <row r="2224" spans="1:5" x14ac:dyDescent="0.2">
      <c r="A2224" s="3">
        <v>45946</v>
      </c>
      <c r="B2224" t="s">
        <v>1</v>
      </c>
      <c r="C2224">
        <v>1</v>
      </c>
      <c r="D2224" t="str">
        <f>_xlfn.XLOOKUP(RW_DT_PRODUCTION[[#This Row],[MATERIAL_ID]],DIM_MATERIAL[MATERIAL_ID],DIM_MATERIAL[UOM_AFTER_PROCESS])</f>
        <v>BALE</v>
      </c>
      <c r="E2224">
        <v>87</v>
      </c>
    </row>
    <row r="2225" spans="1:5" x14ac:dyDescent="0.2">
      <c r="A2225" s="3">
        <v>45946</v>
      </c>
      <c r="B2225" t="s">
        <v>1</v>
      </c>
      <c r="C2225">
        <v>1</v>
      </c>
      <c r="D2225" t="str">
        <f>_xlfn.XLOOKUP(RW_DT_PRODUCTION[[#This Row],[MATERIAL_ID]],DIM_MATERIAL[MATERIAL_ID],DIM_MATERIAL[UOM_AFTER_PROCESS])</f>
        <v>BALE</v>
      </c>
      <c r="E2225">
        <v>70</v>
      </c>
    </row>
    <row r="2226" spans="1:5" x14ac:dyDescent="0.2">
      <c r="A2226" s="3">
        <v>45946</v>
      </c>
      <c r="B2226" t="s">
        <v>1</v>
      </c>
      <c r="C2226">
        <v>1</v>
      </c>
      <c r="D2226" t="str">
        <f>_xlfn.XLOOKUP(RW_DT_PRODUCTION[[#This Row],[MATERIAL_ID]],DIM_MATERIAL[MATERIAL_ID],DIM_MATERIAL[UOM_AFTER_PROCESS])</f>
        <v>BALE</v>
      </c>
      <c r="E2226">
        <v>66</v>
      </c>
    </row>
    <row r="2227" spans="1:5" x14ac:dyDescent="0.2">
      <c r="A2227" s="3">
        <v>45946</v>
      </c>
      <c r="B2227" t="s">
        <v>1</v>
      </c>
      <c r="C2227">
        <v>1</v>
      </c>
      <c r="D2227" t="str">
        <f>_xlfn.XLOOKUP(RW_DT_PRODUCTION[[#This Row],[MATERIAL_ID]],DIM_MATERIAL[MATERIAL_ID],DIM_MATERIAL[UOM_AFTER_PROCESS])</f>
        <v>BALE</v>
      </c>
      <c r="E2227">
        <v>89</v>
      </c>
    </row>
    <row r="2228" spans="1:5" x14ac:dyDescent="0.2">
      <c r="A2228" s="3">
        <v>45947</v>
      </c>
      <c r="B2228" t="s">
        <v>1</v>
      </c>
      <c r="C2228">
        <v>1</v>
      </c>
      <c r="D2228" t="str">
        <f>_xlfn.XLOOKUP(RW_DT_PRODUCTION[[#This Row],[MATERIAL_ID]],DIM_MATERIAL[MATERIAL_ID],DIM_MATERIAL[UOM_AFTER_PROCESS])</f>
        <v>BALE</v>
      </c>
      <c r="E2228">
        <v>78</v>
      </c>
    </row>
    <row r="2229" spans="1:5" x14ac:dyDescent="0.2">
      <c r="A2229" s="3">
        <v>45947</v>
      </c>
      <c r="B2229" t="s">
        <v>1</v>
      </c>
      <c r="C2229">
        <v>1</v>
      </c>
      <c r="D2229" t="str">
        <f>_xlfn.XLOOKUP(RW_DT_PRODUCTION[[#This Row],[MATERIAL_ID]],DIM_MATERIAL[MATERIAL_ID],DIM_MATERIAL[UOM_AFTER_PROCESS])</f>
        <v>BALE</v>
      </c>
      <c r="E2229">
        <v>81</v>
      </c>
    </row>
    <row r="2230" spans="1:5" x14ac:dyDescent="0.2">
      <c r="A2230" s="3">
        <v>45947</v>
      </c>
      <c r="B2230" t="s">
        <v>1</v>
      </c>
      <c r="C2230">
        <v>1</v>
      </c>
      <c r="D2230" t="str">
        <f>_xlfn.XLOOKUP(RW_DT_PRODUCTION[[#This Row],[MATERIAL_ID]],DIM_MATERIAL[MATERIAL_ID],DIM_MATERIAL[UOM_AFTER_PROCESS])</f>
        <v>BALE</v>
      </c>
      <c r="E2230">
        <v>69</v>
      </c>
    </row>
    <row r="2231" spans="1:5" x14ac:dyDescent="0.2">
      <c r="A2231" s="3">
        <v>45947</v>
      </c>
      <c r="B2231" t="s">
        <v>1</v>
      </c>
      <c r="C2231">
        <v>1</v>
      </c>
      <c r="D2231" t="str">
        <f>_xlfn.XLOOKUP(RW_DT_PRODUCTION[[#This Row],[MATERIAL_ID]],DIM_MATERIAL[MATERIAL_ID],DIM_MATERIAL[UOM_AFTER_PROCESS])</f>
        <v>BALE</v>
      </c>
      <c r="E2231">
        <v>85</v>
      </c>
    </row>
    <row r="2232" spans="1:5" x14ac:dyDescent="0.2">
      <c r="A2232" s="3">
        <v>45947</v>
      </c>
      <c r="B2232" t="s">
        <v>1</v>
      </c>
      <c r="C2232">
        <v>1</v>
      </c>
      <c r="D2232" t="str">
        <f>_xlfn.XLOOKUP(RW_DT_PRODUCTION[[#This Row],[MATERIAL_ID]],DIM_MATERIAL[MATERIAL_ID],DIM_MATERIAL[UOM_AFTER_PROCESS])</f>
        <v>BALE</v>
      </c>
      <c r="E2232">
        <v>66</v>
      </c>
    </row>
    <row r="2233" spans="1:5" x14ac:dyDescent="0.2">
      <c r="A2233" s="3">
        <v>45947</v>
      </c>
      <c r="B2233" t="s">
        <v>1</v>
      </c>
      <c r="C2233">
        <v>1</v>
      </c>
      <c r="D2233" t="str">
        <f>_xlfn.XLOOKUP(RW_DT_PRODUCTION[[#This Row],[MATERIAL_ID]],DIM_MATERIAL[MATERIAL_ID],DIM_MATERIAL[UOM_AFTER_PROCESS])</f>
        <v>BALE</v>
      </c>
      <c r="E2233">
        <v>75</v>
      </c>
    </row>
    <row r="2234" spans="1:5" x14ac:dyDescent="0.2">
      <c r="A2234" s="3">
        <v>45947</v>
      </c>
      <c r="B2234" t="s">
        <v>1</v>
      </c>
      <c r="C2234">
        <v>1</v>
      </c>
      <c r="D2234" t="str">
        <f>_xlfn.XLOOKUP(RW_DT_PRODUCTION[[#This Row],[MATERIAL_ID]],DIM_MATERIAL[MATERIAL_ID],DIM_MATERIAL[UOM_AFTER_PROCESS])</f>
        <v>BALE</v>
      </c>
      <c r="E2234">
        <v>63</v>
      </c>
    </row>
    <row r="2235" spans="1:5" x14ac:dyDescent="0.2">
      <c r="A2235" s="3">
        <v>45947</v>
      </c>
      <c r="B2235" t="s">
        <v>1</v>
      </c>
      <c r="C2235">
        <v>1</v>
      </c>
      <c r="D2235" t="str">
        <f>_xlfn.XLOOKUP(RW_DT_PRODUCTION[[#This Row],[MATERIAL_ID]],DIM_MATERIAL[MATERIAL_ID],DIM_MATERIAL[UOM_AFTER_PROCESS])</f>
        <v>BALE</v>
      </c>
      <c r="E2235">
        <v>82</v>
      </c>
    </row>
    <row r="2236" spans="1:5" x14ac:dyDescent="0.2">
      <c r="A2236" s="3">
        <v>45947</v>
      </c>
      <c r="B2236" t="s">
        <v>1</v>
      </c>
      <c r="C2236">
        <v>1</v>
      </c>
      <c r="D2236" t="str">
        <f>_xlfn.XLOOKUP(RW_DT_PRODUCTION[[#This Row],[MATERIAL_ID]],DIM_MATERIAL[MATERIAL_ID],DIM_MATERIAL[UOM_AFTER_PROCESS])</f>
        <v>BALE</v>
      </c>
      <c r="E2236">
        <v>77</v>
      </c>
    </row>
    <row r="2237" spans="1:5" x14ac:dyDescent="0.2">
      <c r="A2237" s="3">
        <v>45947</v>
      </c>
      <c r="B2237" t="s">
        <v>2</v>
      </c>
      <c r="C2237">
        <v>1</v>
      </c>
      <c r="D2237" t="str">
        <f>_xlfn.XLOOKUP(RW_DT_PRODUCTION[[#This Row],[MATERIAL_ID]],DIM_MATERIAL[MATERIAL_ID],DIM_MATERIAL[UOM_AFTER_PROCESS])</f>
        <v>BAG</v>
      </c>
      <c r="E2237">
        <v>22</v>
      </c>
    </row>
    <row r="2238" spans="1:5" x14ac:dyDescent="0.2">
      <c r="A2238" s="3">
        <v>45948</v>
      </c>
      <c r="B2238" t="s">
        <v>1</v>
      </c>
      <c r="C2238">
        <v>1</v>
      </c>
      <c r="D2238" t="str">
        <f>_xlfn.XLOOKUP(RW_DT_PRODUCTION[[#This Row],[MATERIAL_ID]],DIM_MATERIAL[MATERIAL_ID],DIM_MATERIAL[UOM_AFTER_PROCESS])</f>
        <v>BALE</v>
      </c>
      <c r="E2238">
        <v>74</v>
      </c>
    </row>
    <row r="2239" spans="1:5" x14ac:dyDescent="0.2">
      <c r="A2239" s="3">
        <v>45948</v>
      </c>
      <c r="B2239" t="s">
        <v>1</v>
      </c>
      <c r="C2239">
        <v>1</v>
      </c>
      <c r="D2239" t="str">
        <f>_xlfn.XLOOKUP(RW_DT_PRODUCTION[[#This Row],[MATERIAL_ID]],DIM_MATERIAL[MATERIAL_ID],DIM_MATERIAL[UOM_AFTER_PROCESS])</f>
        <v>BALE</v>
      </c>
      <c r="E2239">
        <v>87</v>
      </c>
    </row>
    <row r="2240" spans="1:5" x14ac:dyDescent="0.2">
      <c r="A2240" s="3">
        <v>45948</v>
      </c>
      <c r="B2240" t="s">
        <v>1</v>
      </c>
      <c r="C2240">
        <v>1</v>
      </c>
      <c r="D2240" t="str">
        <f>_xlfn.XLOOKUP(RW_DT_PRODUCTION[[#This Row],[MATERIAL_ID]],DIM_MATERIAL[MATERIAL_ID],DIM_MATERIAL[UOM_AFTER_PROCESS])</f>
        <v>BALE</v>
      </c>
      <c r="E2240">
        <v>87</v>
      </c>
    </row>
    <row r="2241" spans="1:5" x14ac:dyDescent="0.2">
      <c r="A2241" s="3">
        <v>45948</v>
      </c>
      <c r="B2241" t="s">
        <v>1</v>
      </c>
      <c r="C2241">
        <v>1</v>
      </c>
      <c r="D2241" t="str">
        <f>_xlfn.XLOOKUP(RW_DT_PRODUCTION[[#This Row],[MATERIAL_ID]],DIM_MATERIAL[MATERIAL_ID],DIM_MATERIAL[UOM_AFTER_PROCESS])</f>
        <v>BALE</v>
      </c>
      <c r="E2241">
        <v>77</v>
      </c>
    </row>
    <row r="2242" spans="1:5" x14ac:dyDescent="0.2">
      <c r="A2242" s="3">
        <v>45948</v>
      </c>
      <c r="B2242" t="s">
        <v>1</v>
      </c>
      <c r="C2242">
        <v>1</v>
      </c>
      <c r="D2242" t="str">
        <f>_xlfn.XLOOKUP(RW_DT_PRODUCTION[[#This Row],[MATERIAL_ID]],DIM_MATERIAL[MATERIAL_ID],DIM_MATERIAL[UOM_AFTER_PROCESS])</f>
        <v>BALE</v>
      </c>
      <c r="E2242">
        <v>86</v>
      </c>
    </row>
    <row r="2243" spans="1:5" x14ac:dyDescent="0.2">
      <c r="A2243" s="3">
        <v>45950</v>
      </c>
      <c r="B2243" t="s">
        <v>1</v>
      </c>
      <c r="C2243">
        <v>1</v>
      </c>
      <c r="D2243" t="str">
        <f>_xlfn.XLOOKUP(RW_DT_PRODUCTION[[#This Row],[MATERIAL_ID]],DIM_MATERIAL[MATERIAL_ID],DIM_MATERIAL[UOM_AFTER_PROCESS])</f>
        <v>BALE</v>
      </c>
      <c r="E2243">
        <v>70</v>
      </c>
    </row>
    <row r="2244" spans="1:5" x14ac:dyDescent="0.2">
      <c r="A2244" s="3">
        <v>45950</v>
      </c>
      <c r="B2244" t="s">
        <v>1</v>
      </c>
      <c r="C2244">
        <v>1</v>
      </c>
      <c r="D2244" t="str">
        <f>_xlfn.XLOOKUP(RW_DT_PRODUCTION[[#This Row],[MATERIAL_ID]],DIM_MATERIAL[MATERIAL_ID],DIM_MATERIAL[UOM_AFTER_PROCESS])</f>
        <v>BALE</v>
      </c>
      <c r="E2244">
        <v>65</v>
      </c>
    </row>
    <row r="2245" spans="1:5" x14ac:dyDescent="0.2">
      <c r="A2245" s="3">
        <v>45950</v>
      </c>
      <c r="B2245" t="s">
        <v>1</v>
      </c>
      <c r="C2245">
        <v>1</v>
      </c>
      <c r="D2245" t="str">
        <f>_xlfn.XLOOKUP(RW_DT_PRODUCTION[[#This Row],[MATERIAL_ID]],DIM_MATERIAL[MATERIAL_ID],DIM_MATERIAL[UOM_AFTER_PROCESS])</f>
        <v>BALE</v>
      </c>
      <c r="E2245">
        <v>71</v>
      </c>
    </row>
    <row r="2246" spans="1:5" x14ac:dyDescent="0.2">
      <c r="A2246" s="3">
        <v>45950</v>
      </c>
      <c r="B2246" t="s">
        <v>1</v>
      </c>
      <c r="C2246">
        <v>1</v>
      </c>
      <c r="D2246" t="str">
        <f>_xlfn.XLOOKUP(RW_DT_PRODUCTION[[#This Row],[MATERIAL_ID]],DIM_MATERIAL[MATERIAL_ID],DIM_MATERIAL[UOM_AFTER_PROCESS])</f>
        <v>BALE</v>
      </c>
      <c r="E2246">
        <v>83</v>
      </c>
    </row>
    <row r="2247" spans="1:5" x14ac:dyDescent="0.2">
      <c r="A2247" s="3">
        <v>45950</v>
      </c>
      <c r="B2247" t="s">
        <v>1</v>
      </c>
      <c r="C2247">
        <v>1</v>
      </c>
      <c r="D2247" t="str">
        <f>_xlfn.XLOOKUP(RW_DT_PRODUCTION[[#This Row],[MATERIAL_ID]],DIM_MATERIAL[MATERIAL_ID],DIM_MATERIAL[UOM_AFTER_PROCESS])</f>
        <v>BALE</v>
      </c>
      <c r="E2247">
        <v>85</v>
      </c>
    </row>
    <row r="2248" spans="1:5" x14ac:dyDescent="0.2">
      <c r="A2248" s="3">
        <v>45950</v>
      </c>
      <c r="B2248" t="s">
        <v>1</v>
      </c>
      <c r="C2248">
        <v>1</v>
      </c>
      <c r="D2248" t="str">
        <f>_xlfn.XLOOKUP(RW_DT_PRODUCTION[[#This Row],[MATERIAL_ID]],DIM_MATERIAL[MATERIAL_ID],DIM_MATERIAL[UOM_AFTER_PROCESS])</f>
        <v>BALE</v>
      </c>
      <c r="E2248">
        <v>79</v>
      </c>
    </row>
    <row r="2249" spans="1:5" x14ac:dyDescent="0.2">
      <c r="A2249" s="3">
        <v>45951</v>
      </c>
      <c r="B2249" t="s">
        <v>1</v>
      </c>
      <c r="C2249">
        <v>1</v>
      </c>
      <c r="D2249" t="str">
        <f>_xlfn.XLOOKUP(RW_DT_PRODUCTION[[#This Row],[MATERIAL_ID]],DIM_MATERIAL[MATERIAL_ID],DIM_MATERIAL[UOM_AFTER_PROCESS])</f>
        <v>BALE</v>
      </c>
      <c r="E2249">
        <v>69</v>
      </c>
    </row>
    <row r="2250" spans="1:5" x14ac:dyDescent="0.2">
      <c r="A2250" s="3">
        <v>45951</v>
      </c>
      <c r="B2250" t="s">
        <v>1</v>
      </c>
      <c r="C2250">
        <v>1</v>
      </c>
      <c r="D2250" t="str">
        <f>_xlfn.XLOOKUP(RW_DT_PRODUCTION[[#This Row],[MATERIAL_ID]],DIM_MATERIAL[MATERIAL_ID],DIM_MATERIAL[UOM_AFTER_PROCESS])</f>
        <v>BALE</v>
      </c>
      <c r="E2250">
        <v>63</v>
      </c>
    </row>
    <row r="2251" spans="1:5" x14ac:dyDescent="0.2">
      <c r="A2251" s="3">
        <v>45951</v>
      </c>
      <c r="B2251" t="s">
        <v>1</v>
      </c>
      <c r="C2251">
        <v>1</v>
      </c>
      <c r="D2251" t="str">
        <f>_xlfn.XLOOKUP(RW_DT_PRODUCTION[[#This Row],[MATERIAL_ID]],DIM_MATERIAL[MATERIAL_ID],DIM_MATERIAL[UOM_AFTER_PROCESS])</f>
        <v>BALE</v>
      </c>
      <c r="E2251">
        <v>64</v>
      </c>
    </row>
    <row r="2252" spans="1:5" x14ac:dyDescent="0.2">
      <c r="A2252" s="3">
        <v>45951</v>
      </c>
      <c r="B2252" t="s">
        <v>1</v>
      </c>
      <c r="C2252">
        <v>1</v>
      </c>
      <c r="D2252" t="str">
        <f>_xlfn.XLOOKUP(RW_DT_PRODUCTION[[#This Row],[MATERIAL_ID]],DIM_MATERIAL[MATERIAL_ID],DIM_MATERIAL[UOM_AFTER_PROCESS])</f>
        <v>BALE</v>
      </c>
      <c r="E2252">
        <v>63</v>
      </c>
    </row>
    <row r="2253" spans="1:5" x14ac:dyDescent="0.2">
      <c r="A2253" s="3">
        <v>45951</v>
      </c>
      <c r="B2253" t="s">
        <v>1</v>
      </c>
      <c r="C2253">
        <v>1</v>
      </c>
      <c r="D2253" t="str">
        <f>_xlfn.XLOOKUP(RW_DT_PRODUCTION[[#This Row],[MATERIAL_ID]],DIM_MATERIAL[MATERIAL_ID],DIM_MATERIAL[UOM_AFTER_PROCESS])</f>
        <v>BALE</v>
      </c>
      <c r="E2253">
        <v>60</v>
      </c>
    </row>
    <row r="2254" spans="1:5" x14ac:dyDescent="0.2">
      <c r="A2254" s="3">
        <v>45951</v>
      </c>
      <c r="B2254" t="s">
        <v>1</v>
      </c>
      <c r="C2254">
        <v>1</v>
      </c>
      <c r="D2254" t="str">
        <f>_xlfn.XLOOKUP(RW_DT_PRODUCTION[[#This Row],[MATERIAL_ID]],DIM_MATERIAL[MATERIAL_ID],DIM_MATERIAL[UOM_AFTER_PROCESS])</f>
        <v>BALE</v>
      </c>
      <c r="E2254">
        <v>75</v>
      </c>
    </row>
    <row r="2255" spans="1:5" x14ac:dyDescent="0.2">
      <c r="A2255" s="3">
        <v>45952</v>
      </c>
      <c r="B2255" t="s">
        <v>1</v>
      </c>
      <c r="C2255">
        <v>1</v>
      </c>
      <c r="D2255" t="str">
        <f>_xlfn.XLOOKUP(RW_DT_PRODUCTION[[#This Row],[MATERIAL_ID]],DIM_MATERIAL[MATERIAL_ID],DIM_MATERIAL[UOM_AFTER_PROCESS])</f>
        <v>BALE</v>
      </c>
      <c r="E2255">
        <v>63</v>
      </c>
    </row>
    <row r="2256" spans="1:5" x14ac:dyDescent="0.2">
      <c r="A2256" s="3">
        <v>45952</v>
      </c>
      <c r="B2256" t="s">
        <v>1</v>
      </c>
      <c r="C2256">
        <v>1</v>
      </c>
      <c r="D2256" t="str">
        <f>_xlfn.XLOOKUP(RW_DT_PRODUCTION[[#This Row],[MATERIAL_ID]],DIM_MATERIAL[MATERIAL_ID],DIM_MATERIAL[UOM_AFTER_PROCESS])</f>
        <v>BALE</v>
      </c>
      <c r="E2256">
        <v>71</v>
      </c>
    </row>
    <row r="2257" spans="1:5" x14ac:dyDescent="0.2">
      <c r="A2257" s="3">
        <v>45952</v>
      </c>
      <c r="B2257" t="s">
        <v>1</v>
      </c>
      <c r="C2257">
        <v>1</v>
      </c>
      <c r="D2257" t="str">
        <f>_xlfn.XLOOKUP(RW_DT_PRODUCTION[[#This Row],[MATERIAL_ID]],DIM_MATERIAL[MATERIAL_ID],DIM_MATERIAL[UOM_AFTER_PROCESS])</f>
        <v>BALE</v>
      </c>
      <c r="E2257">
        <v>63</v>
      </c>
    </row>
    <row r="2258" spans="1:5" x14ac:dyDescent="0.2">
      <c r="A2258" s="3">
        <v>45952</v>
      </c>
      <c r="B2258" t="s">
        <v>1</v>
      </c>
      <c r="C2258">
        <v>1</v>
      </c>
      <c r="D2258" t="str">
        <f>_xlfn.XLOOKUP(RW_DT_PRODUCTION[[#This Row],[MATERIAL_ID]],DIM_MATERIAL[MATERIAL_ID],DIM_MATERIAL[UOM_AFTER_PROCESS])</f>
        <v>BALE</v>
      </c>
      <c r="E2258">
        <v>62</v>
      </c>
    </row>
    <row r="2259" spans="1:5" x14ac:dyDescent="0.2">
      <c r="A2259" s="3">
        <v>45953</v>
      </c>
      <c r="B2259" t="s">
        <v>1</v>
      </c>
      <c r="C2259">
        <v>1</v>
      </c>
      <c r="D2259" t="str">
        <f>_xlfn.XLOOKUP(RW_DT_PRODUCTION[[#This Row],[MATERIAL_ID]],DIM_MATERIAL[MATERIAL_ID],DIM_MATERIAL[UOM_AFTER_PROCESS])</f>
        <v>BALE</v>
      </c>
      <c r="E2259">
        <v>71</v>
      </c>
    </row>
    <row r="2260" spans="1:5" x14ac:dyDescent="0.2">
      <c r="A2260" s="3">
        <v>45953</v>
      </c>
      <c r="B2260" t="s">
        <v>1</v>
      </c>
      <c r="C2260">
        <v>1</v>
      </c>
      <c r="D2260" t="str">
        <f>_xlfn.XLOOKUP(RW_DT_PRODUCTION[[#This Row],[MATERIAL_ID]],DIM_MATERIAL[MATERIAL_ID],DIM_MATERIAL[UOM_AFTER_PROCESS])</f>
        <v>BALE</v>
      </c>
      <c r="E2260">
        <v>71</v>
      </c>
    </row>
    <row r="2261" spans="1:5" x14ac:dyDescent="0.2">
      <c r="A2261" s="3">
        <v>45953</v>
      </c>
      <c r="B2261" t="s">
        <v>1</v>
      </c>
      <c r="C2261">
        <v>1</v>
      </c>
      <c r="D2261" t="str">
        <f>_xlfn.XLOOKUP(RW_DT_PRODUCTION[[#This Row],[MATERIAL_ID]],DIM_MATERIAL[MATERIAL_ID],DIM_MATERIAL[UOM_AFTER_PROCESS])</f>
        <v>BALE</v>
      </c>
      <c r="E2261">
        <v>71</v>
      </c>
    </row>
    <row r="2262" spans="1:5" x14ac:dyDescent="0.2">
      <c r="A2262" s="3">
        <v>45953</v>
      </c>
      <c r="B2262" t="s">
        <v>1</v>
      </c>
      <c r="C2262">
        <v>1</v>
      </c>
      <c r="D2262" t="str">
        <f>_xlfn.XLOOKUP(RW_DT_PRODUCTION[[#This Row],[MATERIAL_ID]],DIM_MATERIAL[MATERIAL_ID],DIM_MATERIAL[UOM_AFTER_PROCESS])</f>
        <v>BALE</v>
      </c>
      <c r="E2262">
        <v>66</v>
      </c>
    </row>
    <row r="2263" spans="1:5" x14ac:dyDescent="0.2">
      <c r="A2263" s="3">
        <v>45953</v>
      </c>
      <c r="B2263" t="s">
        <v>1</v>
      </c>
      <c r="C2263">
        <v>1</v>
      </c>
      <c r="D2263" t="str">
        <f>_xlfn.XLOOKUP(RW_DT_PRODUCTION[[#This Row],[MATERIAL_ID]],DIM_MATERIAL[MATERIAL_ID],DIM_MATERIAL[UOM_AFTER_PROCESS])</f>
        <v>BALE</v>
      </c>
      <c r="E2263">
        <v>67</v>
      </c>
    </row>
    <row r="2264" spans="1:5" x14ac:dyDescent="0.2">
      <c r="A2264" s="3">
        <v>45953</v>
      </c>
      <c r="B2264" t="s">
        <v>1</v>
      </c>
      <c r="C2264">
        <v>1</v>
      </c>
      <c r="D2264" t="str">
        <f>_xlfn.XLOOKUP(RW_DT_PRODUCTION[[#This Row],[MATERIAL_ID]],DIM_MATERIAL[MATERIAL_ID],DIM_MATERIAL[UOM_AFTER_PROCESS])</f>
        <v>BALE</v>
      </c>
      <c r="E2264">
        <v>68</v>
      </c>
    </row>
    <row r="2265" spans="1:5" x14ac:dyDescent="0.2">
      <c r="A2265" s="3">
        <v>45953</v>
      </c>
      <c r="B2265" t="s">
        <v>1</v>
      </c>
      <c r="C2265">
        <v>1</v>
      </c>
      <c r="D2265" t="str">
        <f>_xlfn.XLOOKUP(RW_DT_PRODUCTION[[#This Row],[MATERIAL_ID]],DIM_MATERIAL[MATERIAL_ID],DIM_MATERIAL[UOM_AFTER_PROCESS])</f>
        <v>BALE</v>
      </c>
      <c r="E2265">
        <v>63</v>
      </c>
    </row>
    <row r="2266" spans="1:5" x14ac:dyDescent="0.2">
      <c r="A2266" s="3">
        <v>45953</v>
      </c>
      <c r="B2266" t="s">
        <v>1</v>
      </c>
      <c r="C2266">
        <v>1</v>
      </c>
      <c r="D2266" t="str">
        <f>_xlfn.XLOOKUP(RW_DT_PRODUCTION[[#This Row],[MATERIAL_ID]],DIM_MATERIAL[MATERIAL_ID],DIM_MATERIAL[UOM_AFTER_PROCESS])</f>
        <v>BALE</v>
      </c>
      <c r="E2266">
        <v>63</v>
      </c>
    </row>
    <row r="2267" spans="1:5" x14ac:dyDescent="0.2">
      <c r="A2267" s="3">
        <v>45953</v>
      </c>
      <c r="B2267" t="s">
        <v>1</v>
      </c>
      <c r="C2267">
        <v>1</v>
      </c>
      <c r="D2267" t="str">
        <f>_xlfn.XLOOKUP(RW_DT_PRODUCTION[[#This Row],[MATERIAL_ID]],DIM_MATERIAL[MATERIAL_ID],DIM_MATERIAL[UOM_AFTER_PROCESS])</f>
        <v>BALE</v>
      </c>
      <c r="E2267">
        <v>70</v>
      </c>
    </row>
    <row r="2268" spans="1:5" x14ac:dyDescent="0.2">
      <c r="A2268" s="3">
        <v>45953</v>
      </c>
      <c r="B2268" t="s">
        <v>1</v>
      </c>
      <c r="C2268">
        <v>1</v>
      </c>
      <c r="D2268" t="str">
        <f>_xlfn.XLOOKUP(RW_DT_PRODUCTION[[#This Row],[MATERIAL_ID]],DIM_MATERIAL[MATERIAL_ID],DIM_MATERIAL[UOM_AFTER_PROCESS])</f>
        <v>BALE</v>
      </c>
      <c r="E2268">
        <v>66</v>
      </c>
    </row>
    <row r="2269" spans="1:5" x14ac:dyDescent="0.2">
      <c r="A2269" s="3">
        <v>45954</v>
      </c>
      <c r="B2269" t="s">
        <v>1</v>
      </c>
      <c r="C2269">
        <v>1</v>
      </c>
      <c r="D2269" t="str">
        <f>_xlfn.XLOOKUP(RW_DT_PRODUCTION[[#This Row],[MATERIAL_ID]],DIM_MATERIAL[MATERIAL_ID],DIM_MATERIAL[UOM_AFTER_PROCESS])</f>
        <v>BALE</v>
      </c>
      <c r="E2269">
        <v>86</v>
      </c>
    </row>
    <row r="2270" spans="1:5" x14ac:dyDescent="0.2">
      <c r="A2270" s="3">
        <v>45954</v>
      </c>
      <c r="B2270" t="s">
        <v>1</v>
      </c>
      <c r="C2270">
        <v>1</v>
      </c>
      <c r="D2270" t="str">
        <f>_xlfn.XLOOKUP(RW_DT_PRODUCTION[[#This Row],[MATERIAL_ID]],DIM_MATERIAL[MATERIAL_ID],DIM_MATERIAL[UOM_AFTER_PROCESS])</f>
        <v>BALE</v>
      </c>
      <c r="E2270">
        <v>67</v>
      </c>
    </row>
    <row r="2271" spans="1:5" x14ac:dyDescent="0.2">
      <c r="A2271" s="3">
        <v>45954</v>
      </c>
      <c r="B2271" t="s">
        <v>1</v>
      </c>
      <c r="C2271">
        <v>1</v>
      </c>
      <c r="D2271" t="str">
        <f>_xlfn.XLOOKUP(RW_DT_PRODUCTION[[#This Row],[MATERIAL_ID]],DIM_MATERIAL[MATERIAL_ID],DIM_MATERIAL[UOM_AFTER_PROCESS])</f>
        <v>BALE</v>
      </c>
      <c r="E2271">
        <v>60</v>
      </c>
    </row>
    <row r="2272" spans="1:5" x14ac:dyDescent="0.2">
      <c r="A2272" s="3">
        <v>45954</v>
      </c>
      <c r="B2272" t="s">
        <v>1</v>
      </c>
      <c r="C2272">
        <v>1</v>
      </c>
      <c r="D2272" t="str">
        <f>_xlfn.XLOOKUP(RW_DT_PRODUCTION[[#This Row],[MATERIAL_ID]],DIM_MATERIAL[MATERIAL_ID],DIM_MATERIAL[UOM_AFTER_PROCESS])</f>
        <v>BALE</v>
      </c>
      <c r="E2272">
        <v>79</v>
      </c>
    </row>
    <row r="2273" spans="1:5" x14ac:dyDescent="0.2">
      <c r="A2273" s="3">
        <v>45954</v>
      </c>
      <c r="B2273" t="s">
        <v>1</v>
      </c>
      <c r="C2273">
        <v>1</v>
      </c>
      <c r="D2273" t="str">
        <f>_xlfn.XLOOKUP(RW_DT_PRODUCTION[[#This Row],[MATERIAL_ID]],DIM_MATERIAL[MATERIAL_ID],DIM_MATERIAL[UOM_AFTER_PROCESS])</f>
        <v>BALE</v>
      </c>
      <c r="E2273">
        <v>64</v>
      </c>
    </row>
    <row r="2274" spans="1:5" x14ac:dyDescent="0.2">
      <c r="A2274" s="3">
        <v>45954</v>
      </c>
      <c r="B2274" t="s">
        <v>1</v>
      </c>
      <c r="C2274">
        <v>1</v>
      </c>
      <c r="D2274" t="str">
        <f>_xlfn.XLOOKUP(RW_DT_PRODUCTION[[#This Row],[MATERIAL_ID]],DIM_MATERIAL[MATERIAL_ID],DIM_MATERIAL[UOM_AFTER_PROCESS])</f>
        <v>BALE</v>
      </c>
      <c r="E2274">
        <v>71</v>
      </c>
    </row>
    <row r="2275" spans="1:5" x14ac:dyDescent="0.2">
      <c r="A2275" s="3">
        <v>45954</v>
      </c>
      <c r="B2275" t="s">
        <v>1</v>
      </c>
      <c r="C2275">
        <v>1</v>
      </c>
      <c r="D2275" t="str">
        <f>_xlfn.XLOOKUP(RW_DT_PRODUCTION[[#This Row],[MATERIAL_ID]],DIM_MATERIAL[MATERIAL_ID],DIM_MATERIAL[UOM_AFTER_PROCESS])</f>
        <v>BALE</v>
      </c>
      <c r="E2275">
        <v>71</v>
      </c>
    </row>
    <row r="2276" spans="1:5" x14ac:dyDescent="0.2">
      <c r="A2276" s="3">
        <v>45954</v>
      </c>
      <c r="B2276" t="s">
        <v>1</v>
      </c>
      <c r="C2276">
        <v>1</v>
      </c>
      <c r="D2276" t="str">
        <f>_xlfn.XLOOKUP(RW_DT_PRODUCTION[[#This Row],[MATERIAL_ID]],DIM_MATERIAL[MATERIAL_ID],DIM_MATERIAL[UOM_AFTER_PROCESS])</f>
        <v>BALE</v>
      </c>
      <c r="E2276">
        <v>81</v>
      </c>
    </row>
    <row r="2277" spans="1:5" x14ac:dyDescent="0.2">
      <c r="A2277" s="3">
        <v>45954</v>
      </c>
      <c r="B2277" t="s">
        <v>1</v>
      </c>
      <c r="C2277">
        <v>1</v>
      </c>
      <c r="D2277" t="str">
        <f>_xlfn.XLOOKUP(RW_DT_PRODUCTION[[#This Row],[MATERIAL_ID]],DIM_MATERIAL[MATERIAL_ID],DIM_MATERIAL[UOM_AFTER_PROCESS])</f>
        <v>BALE</v>
      </c>
      <c r="E2277">
        <v>71</v>
      </c>
    </row>
    <row r="2278" spans="1:5" x14ac:dyDescent="0.2">
      <c r="A2278" s="3">
        <v>45954</v>
      </c>
      <c r="B2278" t="s">
        <v>1</v>
      </c>
      <c r="C2278">
        <v>1</v>
      </c>
      <c r="D2278" t="str">
        <f>_xlfn.XLOOKUP(RW_DT_PRODUCTION[[#This Row],[MATERIAL_ID]],DIM_MATERIAL[MATERIAL_ID],DIM_MATERIAL[UOM_AFTER_PROCESS])</f>
        <v>BALE</v>
      </c>
      <c r="E2278">
        <v>72</v>
      </c>
    </row>
    <row r="2279" spans="1:5" x14ac:dyDescent="0.2">
      <c r="A2279" s="3">
        <v>45954</v>
      </c>
      <c r="B2279" t="s">
        <v>1</v>
      </c>
      <c r="C2279">
        <v>1</v>
      </c>
      <c r="D2279" t="str">
        <f>_xlfn.XLOOKUP(RW_DT_PRODUCTION[[#This Row],[MATERIAL_ID]],DIM_MATERIAL[MATERIAL_ID],DIM_MATERIAL[UOM_AFTER_PROCESS])</f>
        <v>BALE</v>
      </c>
      <c r="E2279">
        <v>70</v>
      </c>
    </row>
    <row r="2280" spans="1:5" x14ac:dyDescent="0.2">
      <c r="A2280" s="3">
        <v>45954</v>
      </c>
      <c r="B2280" t="s">
        <v>1</v>
      </c>
      <c r="C2280">
        <v>1</v>
      </c>
      <c r="D2280" t="str">
        <f>_xlfn.XLOOKUP(RW_DT_PRODUCTION[[#This Row],[MATERIAL_ID]],DIM_MATERIAL[MATERIAL_ID],DIM_MATERIAL[UOM_AFTER_PROCESS])</f>
        <v>BALE</v>
      </c>
      <c r="E2280">
        <v>61</v>
      </c>
    </row>
    <row r="2281" spans="1:5" x14ac:dyDescent="0.2">
      <c r="A2281" s="3">
        <v>45954</v>
      </c>
      <c r="B2281" t="s">
        <v>1</v>
      </c>
      <c r="C2281">
        <v>1</v>
      </c>
      <c r="D2281" t="str">
        <f>_xlfn.XLOOKUP(RW_DT_PRODUCTION[[#This Row],[MATERIAL_ID]],DIM_MATERIAL[MATERIAL_ID],DIM_MATERIAL[UOM_AFTER_PROCESS])</f>
        <v>BALE</v>
      </c>
      <c r="E2281">
        <v>69</v>
      </c>
    </row>
    <row r="2282" spans="1:5" x14ac:dyDescent="0.2">
      <c r="A2282" s="3">
        <v>45954</v>
      </c>
      <c r="B2282" t="s">
        <v>1</v>
      </c>
      <c r="C2282">
        <v>1</v>
      </c>
      <c r="D2282" t="str">
        <f>_xlfn.XLOOKUP(RW_DT_PRODUCTION[[#This Row],[MATERIAL_ID]],DIM_MATERIAL[MATERIAL_ID],DIM_MATERIAL[UOM_AFTER_PROCESS])</f>
        <v>BALE</v>
      </c>
      <c r="E2282">
        <v>85</v>
      </c>
    </row>
    <row r="2283" spans="1:5" x14ac:dyDescent="0.2">
      <c r="A2283" s="3">
        <v>45954</v>
      </c>
      <c r="B2283" t="s">
        <v>2</v>
      </c>
      <c r="C2283">
        <v>1</v>
      </c>
      <c r="D2283" t="str">
        <f>_xlfn.XLOOKUP(RW_DT_PRODUCTION[[#This Row],[MATERIAL_ID]],DIM_MATERIAL[MATERIAL_ID],DIM_MATERIAL[UOM_AFTER_PROCESS])</f>
        <v>BAG</v>
      </c>
      <c r="E2283">
        <v>22</v>
      </c>
    </row>
    <row r="2284" spans="1:5" x14ac:dyDescent="0.2">
      <c r="A2284" s="3">
        <v>45954</v>
      </c>
      <c r="B2284" t="s">
        <v>2</v>
      </c>
      <c r="C2284">
        <v>1</v>
      </c>
      <c r="D2284" t="str">
        <f>_xlfn.XLOOKUP(RW_DT_PRODUCTION[[#This Row],[MATERIAL_ID]],DIM_MATERIAL[MATERIAL_ID],DIM_MATERIAL[UOM_AFTER_PROCESS])</f>
        <v>BAG</v>
      </c>
      <c r="E2284">
        <v>22</v>
      </c>
    </row>
    <row r="2285" spans="1:5" x14ac:dyDescent="0.2">
      <c r="A2285" s="3">
        <v>45954</v>
      </c>
      <c r="B2285" t="s">
        <v>2</v>
      </c>
      <c r="C2285">
        <v>1</v>
      </c>
      <c r="D2285" t="str">
        <f>_xlfn.XLOOKUP(RW_DT_PRODUCTION[[#This Row],[MATERIAL_ID]],DIM_MATERIAL[MATERIAL_ID],DIM_MATERIAL[UOM_AFTER_PROCESS])</f>
        <v>BAG</v>
      </c>
      <c r="E2285">
        <v>22</v>
      </c>
    </row>
    <row r="2286" spans="1:5" x14ac:dyDescent="0.2">
      <c r="A2286" s="3">
        <v>45954</v>
      </c>
      <c r="B2286" t="s">
        <v>2</v>
      </c>
      <c r="C2286">
        <v>1</v>
      </c>
      <c r="D2286" t="str">
        <f>_xlfn.XLOOKUP(RW_DT_PRODUCTION[[#This Row],[MATERIAL_ID]],DIM_MATERIAL[MATERIAL_ID],DIM_MATERIAL[UOM_AFTER_PROCESS])</f>
        <v>BAG</v>
      </c>
      <c r="E2286">
        <v>22</v>
      </c>
    </row>
    <row r="2287" spans="1:5" x14ac:dyDescent="0.2">
      <c r="A2287" s="3">
        <v>45954</v>
      </c>
      <c r="B2287" t="s">
        <v>2</v>
      </c>
      <c r="C2287">
        <v>1</v>
      </c>
      <c r="D2287" t="str">
        <f>_xlfn.XLOOKUP(RW_DT_PRODUCTION[[#This Row],[MATERIAL_ID]],DIM_MATERIAL[MATERIAL_ID],DIM_MATERIAL[UOM_AFTER_PROCESS])</f>
        <v>BAG</v>
      </c>
      <c r="E2287">
        <v>22</v>
      </c>
    </row>
    <row r="2288" spans="1:5" x14ac:dyDescent="0.2">
      <c r="A2288" s="3">
        <v>45954</v>
      </c>
      <c r="B2288" t="s">
        <v>2</v>
      </c>
      <c r="C2288">
        <v>1</v>
      </c>
      <c r="D2288" t="str">
        <f>_xlfn.XLOOKUP(RW_DT_PRODUCTION[[#This Row],[MATERIAL_ID]],DIM_MATERIAL[MATERIAL_ID],DIM_MATERIAL[UOM_AFTER_PROCESS])</f>
        <v>BAG</v>
      </c>
      <c r="E2288">
        <v>22</v>
      </c>
    </row>
    <row r="2289" spans="1:5" x14ac:dyDescent="0.2">
      <c r="A2289" s="3">
        <v>45954</v>
      </c>
      <c r="B2289" t="s">
        <v>2</v>
      </c>
      <c r="C2289">
        <v>1</v>
      </c>
      <c r="D2289" t="str">
        <f>_xlfn.XLOOKUP(RW_DT_PRODUCTION[[#This Row],[MATERIAL_ID]],DIM_MATERIAL[MATERIAL_ID],DIM_MATERIAL[UOM_AFTER_PROCESS])</f>
        <v>BAG</v>
      </c>
      <c r="E2289">
        <v>22</v>
      </c>
    </row>
    <row r="2290" spans="1:5" x14ac:dyDescent="0.2">
      <c r="A2290" s="3">
        <v>45954</v>
      </c>
      <c r="B2290" t="s">
        <v>2</v>
      </c>
      <c r="C2290">
        <v>1</v>
      </c>
      <c r="D2290" t="str">
        <f>_xlfn.XLOOKUP(RW_DT_PRODUCTION[[#This Row],[MATERIAL_ID]],DIM_MATERIAL[MATERIAL_ID],DIM_MATERIAL[UOM_AFTER_PROCESS])</f>
        <v>BAG</v>
      </c>
      <c r="E2290">
        <v>22</v>
      </c>
    </row>
    <row r="2291" spans="1:5" x14ac:dyDescent="0.2">
      <c r="A2291" s="3">
        <v>45957</v>
      </c>
      <c r="B2291" t="s">
        <v>1</v>
      </c>
      <c r="C2291">
        <v>1</v>
      </c>
      <c r="D2291" t="str">
        <f>_xlfn.XLOOKUP(RW_DT_PRODUCTION[[#This Row],[MATERIAL_ID]],DIM_MATERIAL[MATERIAL_ID],DIM_MATERIAL[UOM_AFTER_PROCESS])</f>
        <v>BALE</v>
      </c>
      <c r="E2291">
        <v>63</v>
      </c>
    </row>
    <row r="2292" spans="1:5" x14ac:dyDescent="0.2">
      <c r="A2292" s="3">
        <v>45957</v>
      </c>
      <c r="B2292" t="s">
        <v>1</v>
      </c>
      <c r="C2292">
        <v>1</v>
      </c>
      <c r="D2292" t="str">
        <f>_xlfn.XLOOKUP(RW_DT_PRODUCTION[[#This Row],[MATERIAL_ID]],DIM_MATERIAL[MATERIAL_ID],DIM_MATERIAL[UOM_AFTER_PROCESS])</f>
        <v>BALE</v>
      </c>
      <c r="E2292">
        <v>76</v>
      </c>
    </row>
    <row r="2293" spans="1:5" x14ac:dyDescent="0.2">
      <c r="A2293" s="3">
        <v>45957</v>
      </c>
      <c r="B2293" t="s">
        <v>1</v>
      </c>
      <c r="C2293">
        <v>1</v>
      </c>
      <c r="D2293" t="str">
        <f>_xlfn.XLOOKUP(RW_DT_PRODUCTION[[#This Row],[MATERIAL_ID]],DIM_MATERIAL[MATERIAL_ID],DIM_MATERIAL[UOM_AFTER_PROCESS])</f>
        <v>BALE</v>
      </c>
      <c r="E2293">
        <v>76</v>
      </c>
    </row>
    <row r="2294" spans="1:5" x14ac:dyDescent="0.2">
      <c r="A2294" s="3">
        <v>45957</v>
      </c>
      <c r="B2294" t="s">
        <v>1</v>
      </c>
      <c r="C2294">
        <v>1</v>
      </c>
      <c r="D2294" t="str">
        <f>_xlfn.XLOOKUP(RW_DT_PRODUCTION[[#This Row],[MATERIAL_ID]],DIM_MATERIAL[MATERIAL_ID],DIM_MATERIAL[UOM_AFTER_PROCESS])</f>
        <v>BALE</v>
      </c>
      <c r="E2294">
        <v>70</v>
      </c>
    </row>
    <row r="2295" spans="1:5" x14ac:dyDescent="0.2">
      <c r="A2295" s="3">
        <v>45957</v>
      </c>
      <c r="B2295" t="s">
        <v>1</v>
      </c>
      <c r="C2295">
        <v>1</v>
      </c>
      <c r="D2295" t="str">
        <f>_xlfn.XLOOKUP(RW_DT_PRODUCTION[[#This Row],[MATERIAL_ID]],DIM_MATERIAL[MATERIAL_ID],DIM_MATERIAL[UOM_AFTER_PROCESS])</f>
        <v>BALE</v>
      </c>
      <c r="E2295">
        <v>73</v>
      </c>
    </row>
    <row r="2296" spans="1:5" x14ac:dyDescent="0.2">
      <c r="A2296" s="3">
        <v>45957</v>
      </c>
      <c r="B2296" t="s">
        <v>1</v>
      </c>
      <c r="C2296">
        <v>1</v>
      </c>
      <c r="D2296" t="str">
        <f>_xlfn.XLOOKUP(RW_DT_PRODUCTION[[#This Row],[MATERIAL_ID]],DIM_MATERIAL[MATERIAL_ID],DIM_MATERIAL[UOM_AFTER_PROCESS])</f>
        <v>BALE</v>
      </c>
      <c r="E2296">
        <v>87</v>
      </c>
    </row>
    <row r="2297" spans="1:5" x14ac:dyDescent="0.2">
      <c r="A2297" s="3">
        <v>45957</v>
      </c>
      <c r="B2297" t="s">
        <v>1</v>
      </c>
      <c r="C2297">
        <v>1</v>
      </c>
      <c r="D2297" t="str">
        <f>_xlfn.XLOOKUP(RW_DT_PRODUCTION[[#This Row],[MATERIAL_ID]],DIM_MATERIAL[MATERIAL_ID],DIM_MATERIAL[UOM_AFTER_PROCESS])</f>
        <v>BALE</v>
      </c>
      <c r="E2297">
        <v>73</v>
      </c>
    </row>
    <row r="2298" spans="1:5" x14ac:dyDescent="0.2">
      <c r="A2298" s="3">
        <v>45957</v>
      </c>
      <c r="B2298" t="s">
        <v>1</v>
      </c>
      <c r="C2298">
        <v>1</v>
      </c>
      <c r="D2298" t="str">
        <f>_xlfn.XLOOKUP(RW_DT_PRODUCTION[[#This Row],[MATERIAL_ID]],DIM_MATERIAL[MATERIAL_ID],DIM_MATERIAL[UOM_AFTER_PROCESS])</f>
        <v>BALE</v>
      </c>
      <c r="E2298">
        <v>70</v>
      </c>
    </row>
    <row r="2299" spans="1:5" x14ac:dyDescent="0.2">
      <c r="A2299" s="3">
        <v>45957</v>
      </c>
      <c r="B2299" t="s">
        <v>1</v>
      </c>
      <c r="C2299">
        <v>1</v>
      </c>
      <c r="D2299" t="str">
        <f>_xlfn.XLOOKUP(RW_DT_PRODUCTION[[#This Row],[MATERIAL_ID]],DIM_MATERIAL[MATERIAL_ID],DIM_MATERIAL[UOM_AFTER_PROCESS])</f>
        <v>BALE</v>
      </c>
      <c r="E2299">
        <v>61</v>
      </c>
    </row>
    <row r="2300" spans="1:5" x14ac:dyDescent="0.2">
      <c r="A2300" s="3">
        <v>45957</v>
      </c>
      <c r="B2300" t="s">
        <v>1</v>
      </c>
      <c r="C2300">
        <v>1</v>
      </c>
      <c r="D2300" t="str">
        <f>_xlfn.XLOOKUP(RW_DT_PRODUCTION[[#This Row],[MATERIAL_ID]],DIM_MATERIAL[MATERIAL_ID],DIM_MATERIAL[UOM_AFTER_PROCESS])</f>
        <v>BALE</v>
      </c>
      <c r="E2300">
        <v>65</v>
      </c>
    </row>
    <row r="2301" spans="1:5" x14ac:dyDescent="0.2">
      <c r="A2301" s="3">
        <v>45957</v>
      </c>
      <c r="B2301" t="s">
        <v>1</v>
      </c>
      <c r="C2301">
        <v>1</v>
      </c>
      <c r="D2301" t="str">
        <f>_xlfn.XLOOKUP(RW_DT_PRODUCTION[[#This Row],[MATERIAL_ID]],DIM_MATERIAL[MATERIAL_ID],DIM_MATERIAL[UOM_AFTER_PROCESS])</f>
        <v>BALE</v>
      </c>
      <c r="E2301">
        <v>71</v>
      </c>
    </row>
    <row r="2302" spans="1:5" x14ac:dyDescent="0.2">
      <c r="A2302" s="3">
        <v>45957</v>
      </c>
      <c r="B2302" t="s">
        <v>1</v>
      </c>
      <c r="C2302">
        <v>1</v>
      </c>
      <c r="D2302" t="str">
        <f>_xlfn.XLOOKUP(RW_DT_PRODUCTION[[#This Row],[MATERIAL_ID]],DIM_MATERIAL[MATERIAL_ID],DIM_MATERIAL[UOM_AFTER_PROCESS])</f>
        <v>BALE</v>
      </c>
      <c r="E2302">
        <v>83</v>
      </c>
    </row>
    <row r="2303" spans="1:5" x14ac:dyDescent="0.2">
      <c r="A2303" s="3">
        <v>45958</v>
      </c>
      <c r="B2303" t="s">
        <v>1</v>
      </c>
      <c r="C2303">
        <v>1</v>
      </c>
      <c r="D2303" t="str">
        <f>_xlfn.XLOOKUP(RW_DT_PRODUCTION[[#This Row],[MATERIAL_ID]],DIM_MATERIAL[MATERIAL_ID],DIM_MATERIAL[UOM_AFTER_PROCESS])</f>
        <v>BALE</v>
      </c>
      <c r="E2303">
        <v>87</v>
      </c>
    </row>
    <row r="2304" spans="1:5" x14ac:dyDescent="0.2">
      <c r="A2304" s="3">
        <v>45958</v>
      </c>
      <c r="B2304" t="s">
        <v>1</v>
      </c>
      <c r="C2304">
        <v>1</v>
      </c>
      <c r="D2304" t="str">
        <f>_xlfn.XLOOKUP(RW_DT_PRODUCTION[[#This Row],[MATERIAL_ID]],DIM_MATERIAL[MATERIAL_ID],DIM_MATERIAL[UOM_AFTER_PROCESS])</f>
        <v>BALE</v>
      </c>
      <c r="E2304">
        <v>63</v>
      </c>
    </row>
    <row r="2305" spans="1:5" x14ac:dyDescent="0.2">
      <c r="A2305" s="3">
        <v>45958</v>
      </c>
      <c r="B2305" t="s">
        <v>1</v>
      </c>
      <c r="C2305">
        <v>1</v>
      </c>
      <c r="D2305" t="str">
        <f>_xlfn.XLOOKUP(RW_DT_PRODUCTION[[#This Row],[MATERIAL_ID]],DIM_MATERIAL[MATERIAL_ID],DIM_MATERIAL[UOM_AFTER_PROCESS])</f>
        <v>BALE</v>
      </c>
      <c r="E2305">
        <v>81</v>
      </c>
    </row>
    <row r="2306" spans="1:5" x14ac:dyDescent="0.2">
      <c r="A2306" s="3">
        <v>45958</v>
      </c>
      <c r="B2306" t="s">
        <v>1</v>
      </c>
      <c r="C2306">
        <v>1</v>
      </c>
      <c r="D2306" t="str">
        <f>_xlfn.XLOOKUP(RW_DT_PRODUCTION[[#This Row],[MATERIAL_ID]],DIM_MATERIAL[MATERIAL_ID],DIM_MATERIAL[UOM_AFTER_PROCESS])</f>
        <v>BALE</v>
      </c>
      <c r="E2306">
        <v>63</v>
      </c>
    </row>
    <row r="2307" spans="1:5" x14ac:dyDescent="0.2">
      <c r="A2307" s="3">
        <v>45958</v>
      </c>
      <c r="B2307" t="s">
        <v>1</v>
      </c>
      <c r="C2307">
        <v>1</v>
      </c>
      <c r="D2307" t="str">
        <f>_xlfn.XLOOKUP(RW_DT_PRODUCTION[[#This Row],[MATERIAL_ID]],DIM_MATERIAL[MATERIAL_ID],DIM_MATERIAL[UOM_AFTER_PROCESS])</f>
        <v>BALE</v>
      </c>
      <c r="E2307">
        <v>67</v>
      </c>
    </row>
    <row r="2308" spans="1:5" x14ac:dyDescent="0.2">
      <c r="A2308" s="3">
        <v>45958</v>
      </c>
      <c r="B2308" t="s">
        <v>1</v>
      </c>
      <c r="C2308">
        <v>1</v>
      </c>
      <c r="D2308" t="str">
        <f>_xlfn.XLOOKUP(RW_DT_PRODUCTION[[#This Row],[MATERIAL_ID]],DIM_MATERIAL[MATERIAL_ID],DIM_MATERIAL[UOM_AFTER_PROCESS])</f>
        <v>BALE</v>
      </c>
      <c r="E2308">
        <v>69</v>
      </c>
    </row>
    <row r="2309" spans="1:5" x14ac:dyDescent="0.2">
      <c r="A2309" s="3">
        <v>45958</v>
      </c>
      <c r="B2309" t="s">
        <v>1</v>
      </c>
      <c r="C2309">
        <v>1</v>
      </c>
      <c r="D2309" t="str">
        <f>_xlfn.XLOOKUP(RW_DT_PRODUCTION[[#This Row],[MATERIAL_ID]],DIM_MATERIAL[MATERIAL_ID],DIM_MATERIAL[UOM_AFTER_PROCESS])</f>
        <v>BALE</v>
      </c>
      <c r="E2309">
        <v>63</v>
      </c>
    </row>
    <row r="2310" spans="1:5" x14ac:dyDescent="0.2">
      <c r="A2310" s="3">
        <v>45959</v>
      </c>
      <c r="B2310" t="s">
        <v>1</v>
      </c>
      <c r="C2310">
        <v>1</v>
      </c>
      <c r="D2310" t="str">
        <f>_xlfn.XLOOKUP(RW_DT_PRODUCTION[[#This Row],[MATERIAL_ID]],DIM_MATERIAL[MATERIAL_ID],DIM_MATERIAL[UOM_AFTER_PROCESS])</f>
        <v>BALE</v>
      </c>
      <c r="E2310">
        <v>77</v>
      </c>
    </row>
    <row r="2311" spans="1:5" x14ac:dyDescent="0.2">
      <c r="A2311" s="3">
        <v>45959</v>
      </c>
      <c r="B2311" t="s">
        <v>1</v>
      </c>
      <c r="C2311">
        <v>1</v>
      </c>
      <c r="D2311" t="str">
        <f>_xlfn.XLOOKUP(RW_DT_PRODUCTION[[#This Row],[MATERIAL_ID]],DIM_MATERIAL[MATERIAL_ID],DIM_MATERIAL[UOM_AFTER_PROCESS])</f>
        <v>BALE</v>
      </c>
      <c r="E2311">
        <v>67</v>
      </c>
    </row>
    <row r="2312" spans="1:5" x14ac:dyDescent="0.2">
      <c r="A2312" s="3">
        <v>45959</v>
      </c>
      <c r="B2312" t="s">
        <v>1</v>
      </c>
      <c r="C2312">
        <v>1</v>
      </c>
      <c r="D2312" t="str">
        <f>_xlfn.XLOOKUP(RW_DT_PRODUCTION[[#This Row],[MATERIAL_ID]],DIM_MATERIAL[MATERIAL_ID],DIM_MATERIAL[UOM_AFTER_PROCESS])</f>
        <v>BALE</v>
      </c>
      <c r="E2312">
        <v>68</v>
      </c>
    </row>
    <row r="2313" spans="1:5" x14ac:dyDescent="0.2">
      <c r="A2313" s="3">
        <v>45959</v>
      </c>
      <c r="B2313" t="s">
        <v>1</v>
      </c>
      <c r="C2313">
        <v>1</v>
      </c>
      <c r="D2313" t="str">
        <f>_xlfn.XLOOKUP(RW_DT_PRODUCTION[[#This Row],[MATERIAL_ID]],DIM_MATERIAL[MATERIAL_ID],DIM_MATERIAL[UOM_AFTER_PROCESS])</f>
        <v>BALE</v>
      </c>
      <c r="E2313">
        <v>72</v>
      </c>
    </row>
    <row r="2314" spans="1:5" x14ac:dyDescent="0.2">
      <c r="A2314" s="3">
        <v>45959</v>
      </c>
      <c r="B2314" t="s">
        <v>1</v>
      </c>
      <c r="C2314">
        <v>1</v>
      </c>
      <c r="D2314" t="str">
        <f>_xlfn.XLOOKUP(RW_DT_PRODUCTION[[#This Row],[MATERIAL_ID]],DIM_MATERIAL[MATERIAL_ID],DIM_MATERIAL[UOM_AFTER_PROCESS])</f>
        <v>BALE</v>
      </c>
      <c r="E2314">
        <v>76</v>
      </c>
    </row>
    <row r="2315" spans="1:5" x14ac:dyDescent="0.2">
      <c r="A2315" s="3">
        <v>45959</v>
      </c>
      <c r="B2315" t="s">
        <v>1</v>
      </c>
      <c r="C2315">
        <v>1</v>
      </c>
      <c r="D2315" t="str">
        <f>_xlfn.XLOOKUP(RW_DT_PRODUCTION[[#This Row],[MATERIAL_ID]],DIM_MATERIAL[MATERIAL_ID],DIM_MATERIAL[UOM_AFTER_PROCESS])</f>
        <v>BALE</v>
      </c>
      <c r="E2315">
        <v>81</v>
      </c>
    </row>
    <row r="2316" spans="1:5" x14ac:dyDescent="0.2">
      <c r="A2316" s="3">
        <v>45959</v>
      </c>
      <c r="B2316" t="s">
        <v>1</v>
      </c>
      <c r="C2316">
        <v>1</v>
      </c>
      <c r="D2316" t="str">
        <f>_xlfn.XLOOKUP(RW_DT_PRODUCTION[[#This Row],[MATERIAL_ID]],DIM_MATERIAL[MATERIAL_ID],DIM_MATERIAL[UOM_AFTER_PROCESS])</f>
        <v>BALE</v>
      </c>
      <c r="E2316">
        <v>78</v>
      </c>
    </row>
    <row r="2317" spans="1:5" x14ac:dyDescent="0.2">
      <c r="A2317" s="3">
        <v>45959</v>
      </c>
      <c r="B2317" t="s">
        <v>1</v>
      </c>
      <c r="C2317">
        <v>1</v>
      </c>
      <c r="D2317" t="str">
        <f>_xlfn.XLOOKUP(RW_DT_PRODUCTION[[#This Row],[MATERIAL_ID]],DIM_MATERIAL[MATERIAL_ID],DIM_MATERIAL[UOM_AFTER_PROCESS])</f>
        <v>BALE</v>
      </c>
      <c r="E2317">
        <v>87</v>
      </c>
    </row>
    <row r="2318" spans="1:5" x14ac:dyDescent="0.2">
      <c r="A2318" s="3">
        <v>45960</v>
      </c>
      <c r="B2318" t="s">
        <v>1</v>
      </c>
      <c r="C2318">
        <v>1</v>
      </c>
      <c r="D2318" t="str">
        <f>_xlfn.XLOOKUP(RW_DT_PRODUCTION[[#This Row],[MATERIAL_ID]],DIM_MATERIAL[MATERIAL_ID],DIM_MATERIAL[UOM_AFTER_PROCESS])</f>
        <v>BALE</v>
      </c>
      <c r="E2318">
        <v>73</v>
      </c>
    </row>
    <row r="2319" spans="1:5" x14ac:dyDescent="0.2">
      <c r="A2319" s="3">
        <v>45960</v>
      </c>
      <c r="B2319" t="s">
        <v>1</v>
      </c>
      <c r="C2319">
        <v>1</v>
      </c>
      <c r="D2319" t="str">
        <f>_xlfn.XLOOKUP(RW_DT_PRODUCTION[[#This Row],[MATERIAL_ID]],DIM_MATERIAL[MATERIAL_ID],DIM_MATERIAL[UOM_AFTER_PROCESS])</f>
        <v>BALE</v>
      </c>
      <c r="E2319">
        <v>87</v>
      </c>
    </row>
    <row r="2320" spans="1:5" x14ac:dyDescent="0.2">
      <c r="A2320" s="3">
        <v>45961</v>
      </c>
      <c r="B2320" t="s">
        <v>1</v>
      </c>
      <c r="C2320">
        <v>1</v>
      </c>
      <c r="D2320" t="str">
        <f>_xlfn.XLOOKUP(RW_DT_PRODUCTION[[#This Row],[MATERIAL_ID]],DIM_MATERIAL[MATERIAL_ID],DIM_MATERIAL[UOM_AFTER_PROCESS])</f>
        <v>BALE</v>
      </c>
      <c r="E2320">
        <v>86</v>
      </c>
    </row>
    <row r="2321" spans="1:5" x14ac:dyDescent="0.2">
      <c r="A2321" s="3">
        <v>45961</v>
      </c>
      <c r="B2321" t="s">
        <v>1</v>
      </c>
      <c r="C2321">
        <v>1</v>
      </c>
      <c r="D2321" t="str">
        <f>_xlfn.XLOOKUP(RW_DT_PRODUCTION[[#This Row],[MATERIAL_ID]],DIM_MATERIAL[MATERIAL_ID],DIM_MATERIAL[UOM_AFTER_PROCESS])</f>
        <v>BALE</v>
      </c>
      <c r="E2321">
        <v>73</v>
      </c>
    </row>
    <row r="2322" spans="1:5" x14ac:dyDescent="0.2">
      <c r="A2322" s="3">
        <v>45961</v>
      </c>
      <c r="B2322" t="s">
        <v>1</v>
      </c>
      <c r="C2322">
        <v>1</v>
      </c>
      <c r="D2322" t="str">
        <f>_xlfn.XLOOKUP(RW_DT_PRODUCTION[[#This Row],[MATERIAL_ID]],DIM_MATERIAL[MATERIAL_ID],DIM_MATERIAL[UOM_AFTER_PROCESS])</f>
        <v>BALE</v>
      </c>
      <c r="E2322">
        <v>81</v>
      </c>
    </row>
    <row r="2323" spans="1:5" x14ac:dyDescent="0.2">
      <c r="A2323" s="3">
        <v>45961</v>
      </c>
      <c r="B2323" t="s">
        <v>1</v>
      </c>
      <c r="C2323">
        <v>1</v>
      </c>
      <c r="D2323" t="str">
        <f>_xlfn.XLOOKUP(RW_DT_PRODUCTION[[#This Row],[MATERIAL_ID]],DIM_MATERIAL[MATERIAL_ID],DIM_MATERIAL[UOM_AFTER_PROCESS])</f>
        <v>BALE</v>
      </c>
      <c r="E2323">
        <v>64</v>
      </c>
    </row>
    <row r="2324" spans="1:5" x14ac:dyDescent="0.2">
      <c r="A2324" s="3">
        <v>45961</v>
      </c>
      <c r="B2324" t="s">
        <v>1</v>
      </c>
      <c r="C2324">
        <v>1</v>
      </c>
      <c r="D2324" t="str">
        <f>_xlfn.XLOOKUP(RW_DT_PRODUCTION[[#This Row],[MATERIAL_ID]],DIM_MATERIAL[MATERIAL_ID],DIM_MATERIAL[UOM_AFTER_PROCESS])</f>
        <v>BALE</v>
      </c>
      <c r="E2324">
        <v>62</v>
      </c>
    </row>
    <row r="2325" spans="1:5" x14ac:dyDescent="0.2">
      <c r="A2325" s="3">
        <v>45961</v>
      </c>
      <c r="B2325" t="s">
        <v>1</v>
      </c>
      <c r="C2325">
        <v>1</v>
      </c>
      <c r="D2325" t="str">
        <f>_xlfn.XLOOKUP(RW_DT_PRODUCTION[[#This Row],[MATERIAL_ID]],DIM_MATERIAL[MATERIAL_ID],DIM_MATERIAL[UOM_AFTER_PROCESS])</f>
        <v>BALE</v>
      </c>
      <c r="E2325">
        <v>76</v>
      </c>
    </row>
    <row r="2326" spans="1:5" x14ac:dyDescent="0.2">
      <c r="A2326" s="3">
        <v>45961</v>
      </c>
      <c r="B2326" t="s">
        <v>1</v>
      </c>
      <c r="C2326">
        <v>1</v>
      </c>
      <c r="D2326" t="str">
        <f>_xlfn.XLOOKUP(RW_DT_PRODUCTION[[#This Row],[MATERIAL_ID]],DIM_MATERIAL[MATERIAL_ID],DIM_MATERIAL[UOM_AFTER_PROCESS])</f>
        <v>BALE</v>
      </c>
      <c r="E2326">
        <v>68</v>
      </c>
    </row>
    <row r="2327" spans="1:5" x14ac:dyDescent="0.2">
      <c r="A2327" s="3">
        <v>45961</v>
      </c>
      <c r="B2327" t="s">
        <v>2</v>
      </c>
      <c r="C2327">
        <v>1</v>
      </c>
      <c r="D2327" t="str">
        <f>_xlfn.XLOOKUP(RW_DT_PRODUCTION[[#This Row],[MATERIAL_ID]],DIM_MATERIAL[MATERIAL_ID],DIM_MATERIAL[UOM_AFTER_PROCESS])</f>
        <v>BAG</v>
      </c>
      <c r="E2327">
        <v>22</v>
      </c>
    </row>
    <row r="2328" spans="1:5" x14ac:dyDescent="0.2">
      <c r="A2328" s="3">
        <v>45961</v>
      </c>
      <c r="B2328" t="s">
        <v>2</v>
      </c>
      <c r="C2328">
        <v>1</v>
      </c>
      <c r="D2328" t="str">
        <f>_xlfn.XLOOKUP(RW_DT_PRODUCTION[[#This Row],[MATERIAL_ID]],DIM_MATERIAL[MATERIAL_ID],DIM_MATERIAL[UOM_AFTER_PROCESS])</f>
        <v>BAG</v>
      </c>
      <c r="E2328">
        <v>22</v>
      </c>
    </row>
    <row r="2329" spans="1:5" x14ac:dyDescent="0.2">
      <c r="A2329" s="3">
        <v>45961</v>
      </c>
      <c r="B2329" t="s">
        <v>2</v>
      </c>
      <c r="C2329">
        <v>1</v>
      </c>
      <c r="D2329" t="str">
        <f>_xlfn.XLOOKUP(RW_DT_PRODUCTION[[#This Row],[MATERIAL_ID]],DIM_MATERIAL[MATERIAL_ID],DIM_MATERIAL[UOM_AFTER_PROCESS])</f>
        <v>BAG</v>
      </c>
      <c r="E2329">
        <v>22</v>
      </c>
    </row>
    <row r="2330" spans="1:5" x14ac:dyDescent="0.2">
      <c r="A2330" s="3">
        <v>45961</v>
      </c>
      <c r="B2330" t="s">
        <v>2</v>
      </c>
      <c r="C2330">
        <v>1</v>
      </c>
      <c r="D2330" t="str">
        <f>_xlfn.XLOOKUP(RW_DT_PRODUCTION[[#This Row],[MATERIAL_ID]],DIM_MATERIAL[MATERIAL_ID],DIM_MATERIAL[UOM_AFTER_PROCESS])</f>
        <v>BAG</v>
      </c>
      <c r="E2330">
        <v>22</v>
      </c>
    </row>
    <row r="2331" spans="1:5" x14ac:dyDescent="0.2">
      <c r="A2331" s="3">
        <v>45962</v>
      </c>
      <c r="B2331" t="s">
        <v>1</v>
      </c>
      <c r="C2331">
        <v>1</v>
      </c>
      <c r="D2331" t="str">
        <f>_xlfn.XLOOKUP(RW_DT_PRODUCTION[[#This Row],[MATERIAL_ID]],DIM_MATERIAL[MATERIAL_ID],DIM_MATERIAL[UOM_AFTER_PROCESS])</f>
        <v>BALE</v>
      </c>
      <c r="E2331">
        <v>68</v>
      </c>
    </row>
    <row r="2332" spans="1:5" x14ac:dyDescent="0.2">
      <c r="A2332" s="3">
        <v>45962</v>
      </c>
      <c r="B2332" t="s">
        <v>1</v>
      </c>
      <c r="C2332">
        <v>1</v>
      </c>
      <c r="D2332" t="str">
        <f>_xlfn.XLOOKUP(RW_DT_PRODUCTION[[#This Row],[MATERIAL_ID]],DIM_MATERIAL[MATERIAL_ID],DIM_MATERIAL[UOM_AFTER_PROCESS])</f>
        <v>BALE</v>
      </c>
      <c r="E2332">
        <v>87</v>
      </c>
    </row>
    <row r="2333" spans="1:5" x14ac:dyDescent="0.2">
      <c r="A2333" s="3">
        <v>45962</v>
      </c>
      <c r="B2333" t="s">
        <v>1</v>
      </c>
      <c r="C2333">
        <v>1</v>
      </c>
      <c r="D2333" t="str">
        <f>_xlfn.XLOOKUP(RW_DT_PRODUCTION[[#This Row],[MATERIAL_ID]],DIM_MATERIAL[MATERIAL_ID],DIM_MATERIAL[UOM_AFTER_PROCESS])</f>
        <v>BALE</v>
      </c>
      <c r="E2333">
        <v>77</v>
      </c>
    </row>
    <row r="2334" spans="1:5" x14ac:dyDescent="0.2">
      <c r="A2334" s="3">
        <v>45965</v>
      </c>
      <c r="B2334" t="s">
        <v>1</v>
      </c>
      <c r="C2334">
        <v>1</v>
      </c>
      <c r="D2334" t="str">
        <f>_xlfn.XLOOKUP(RW_DT_PRODUCTION[[#This Row],[MATERIAL_ID]],DIM_MATERIAL[MATERIAL_ID],DIM_MATERIAL[UOM_AFTER_PROCESS])</f>
        <v>BALE</v>
      </c>
      <c r="E2334">
        <v>77</v>
      </c>
    </row>
    <row r="2335" spans="1:5" x14ac:dyDescent="0.2">
      <c r="A2335" s="3">
        <v>45965</v>
      </c>
      <c r="B2335" t="s">
        <v>1</v>
      </c>
      <c r="C2335">
        <v>1</v>
      </c>
      <c r="D2335" t="str">
        <f>_xlfn.XLOOKUP(RW_DT_PRODUCTION[[#This Row],[MATERIAL_ID]],DIM_MATERIAL[MATERIAL_ID],DIM_MATERIAL[UOM_AFTER_PROCESS])</f>
        <v>BALE</v>
      </c>
      <c r="E2335">
        <v>74</v>
      </c>
    </row>
    <row r="2336" spans="1:5" x14ac:dyDescent="0.2">
      <c r="A2336" s="3">
        <v>45965</v>
      </c>
      <c r="B2336" t="s">
        <v>1</v>
      </c>
      <c r="C2336">
        <v>1</v>
      </c>
      <c r="D2336" t="str">
        <f>_xlfn.XLOOKUP(RW_DT_PRODUCTION[[#This Row],[MATERIAL_ID]],DIM_MATERIAL[MATERIAL_ID],DIM_MATERIAL[UOM_AFTER_PROCESS])</f>
        <v>BALE</v>
      </c>
      <c r="E2336">
        <v>76</v>
      </c>
    </row>
    <row r="2337" spans="1:5" x14ac:dyDescent="0.2">
      <c r="A2337" s="3">
        <v>45965</v>
      </c>
      <c r="B2337" t="s">
        <v>1</v>
      </c>
      <c r="C2337">
        <v>1</v>
      </c>
      <c r="D2337" t="str">
        <f>_xlfn.XLOOKUP(RW_DT_PRODUCTION[[#This Row],[MATERIAL_ID]],DIM_MATERIAL[MATERIAL_ID],DIM_MATERIAL[UOM_AFTER_PROCESS])</f>
        <v>BALE</v>
      </c>
      <c r="E2337">
        <v>69</v>
      </c>
    </row>
    <row r="2338" spans="1:5" x14ac:dyDescent="0.2">
      <c r="A2338" s="3">
        <v>45965</v>
      </c>
      <c r="B2338" t="s">
        <v>1</v>
      </c>
      <c r="C2338">
        <v>1</v>
      </c>
      <c r="D2338" t="str">
        <f>_xlfn.XLOOKUP(RW_DT_PRODUCTION[[#This Row],[MATERIAL_ID]],DIM_MATERIAL[MATERIAL_ID],DIM_MATERIAL[UOM_AFTER_PROCESS])</f>
        <v>BALE</v>
      </c>
      <c r="E2338">
        <v>72</v>
      </c>
    </row>
    <row r="2339" spans="1:5" x14ac:dyDescent="0.2">
      <c r="A2339" s="3">
        <v>45965</v>
      </c>
      <c r="B2339" t="s">
        <v>1</v>
      </c>
      <c r="C2339">
        <v>1</v>
      </c>
      <c r="D2339" t="str">
        <f>_xlfn.XLOOKUP(RW_DT_PRODUCTION[[#This Row],[MATERIAL_ID]],DIM_MATERIAL[MATERIAL_ID],DIM_MATERIAL[UOM_AFTER_PROCESS])</f>
        <v>BALE</v>
      </c>
      <c r="E2339">
        <v>68</v>
      </c>
    </row>
    <row r="2340" spans="1:5" x14ac:dyDescent="0.2">
      <c r="A2340" s="3">
        <v>45965</v>
      </c>
      <c r="B2340" t="s">
        <v>1</v>
      </c>
      <c r="C2340">
        <v>1</v>
      </c>
      <c r="D2340" t="str">
        <f>_xlfn.XLOOKUP(RW_DT_PRODUCTION[[#This Row],[MATERIAL_ID]],DIM_MATERIAL[MATERIAL_ID],DIM_MATERIAL[UOM_AFTER_PROCESS])</f>
        <v>BALE</v>
      </c>
      <c r="E2340">
        <v>68</v>
      </c>
    </row>
    <row r="2341" spans="1:5" x14ac:dyDescent="0.2">
      <c r="A2341" s="3">
        <v>45965</v>
      </c>
      <c r="B2341" t="s">
        <v>1</v>
      </c>
      <c r="C2341">
        <v>1</v>
      </c>
      <c r="D2341" t="str">
        <f>_xlfn.XLOOKUP(RW_DT_PRODUCTION[[#This Row],[MATERIAL_ID]],DIM_MATERIAL[MATERIAL_ID],DIM_MATERIAL[UOM_AFTER_PROCESS])</f>
        <v>BALE</v>
      </c>
      <c r="E2341">
        <v>67</v>
      </c>
    </row>
    <row r="2342" spans="1:5" x14ac:dyDescent="0.2">
      <c r="A2342" s="3">
        <v>45965</v>
      </c>
      <c r="B2342" t="s">
        <v>2</v>
      </c>
      <c r="C2342">
        <v>1</v>
      </c>
      <c r="D2342" t="str">
        <f>_xlfn.XLOOKUP(RW_DT_PRODUCTION[[#This Row],[MATERIAL_ID]],DIM_MATERIAL[MATERIAL_ID],DIM_MATERIAL[UOM_AFTER_PROCESS])</f>
        <v>BAG</v>
      </c>
      <c r="E2342">
        <v>22</v>
      </c>
    </row>
    <row r="2343" spans="1:5" x14ac:dyDescent="0.2">
      <c r="A2343" s="3">
        <v>45965</v>
      </c>
      <c r="B2343" t="s">
        <v>2</v>
      </c>
      <c r="C2343">
        <v>1</v>
      </c>
      <c r="D2343" t="str">
        <f>_xlfn.XLOOKUP(RW_DT_PRODUCTION[[#This Row],[MATERIAL_ID]],DIM_MATERIAL[MATERIAL_ID],DIM_MATERIAL[UOM_AFTER_PROCESS])</f>
        <v>BAG</v>
      </c>
      <c r="E2343">
        <v>22</v>
      </c>
    </row>
    <row r="2344" spans="1:5" x14ac:dyDescent="0.2">
      <c r="A2344" s="3">
        <v>45965</v>
      </c>
      <c r="B2344" t="s">
        <v>2</v>
      </c>
      <c r="C2344">
        <v>1</v>
      </c>
      <c r="D2344" t="str">
        <f>_xlfn.XLOOKUP(RW_DT_PRODUCTION[[#This Row],[MATERIAL_ID]],DIM_MATERIAL[MATERIAL_ID],DIM_MATERIAL[UOM_AFTER_PROCESS])</f>
        <v>BAG</v>
      </c>
      <c r="E2344">
        <v>22</v>
      </c>
    </row>
    <row r="2345" spans="1:5" x14ac:dyDescent="0.2">
      <c r="A2345" s="3">
        <v>45966</v>
      </c>
      <c r="B2345" t="s">
        <v>1</v>
      </c>
      <c r="C2345">
        <v>1</v>
      </c>
      <c r="D2345" t="str">
        <f>_xlfn.XLOOKUP(RW_DT_PRODUCTION[[#This Row],[MATERIAL_ID]],DIM_MATERIAL[MATERIAL_ID],DIM_MATERIAL[UOM_AFTER_PROCESS])</f>
        <v>BALE</v>
      </c>
      <c r="E2345">
        <v>63</v>
      </c>
    </row>
    <row r="2346" spans="1:5" x14ac:dyDescent="0.2">
      <c r="A2346" s="3">
        <v>45966</v>
      </c>
      <c r="B2346" t="s">
        <v>1</v>
      </c>
      <c r="C2346">
        <v>1</v>
      </c>
      <c r="D2346" t="str">
        <f>_xlfn.XLOOKUP(RW_DT_PRODUCTION[[#This Row],[MATERIAL_ID]],DIM_MATERIAL[MATERIAL_ID],DIM_MATERIAL[UOM_AFTER_PROCESS])</f>
        <v>BALE</v>
      </c>
      <c r="E2346">
        <v>69</v>
      </c>
    </row>
    <row r="2347" spans="1:5" x14ac:dyDescent="0.2">
      <c r="A2347" s="3">
        <v>45966</v>
      </c>
      <c r="B2347" t="s">
        <v>1</v>
      </c>
      <c r="C2347">
        <v>1</v>
      </c>
      <c r="D2347" t="str">
        <f>_xlfn.XLOOKUP(RW_DT_PRODUCTION[[#This Row],[MATERIAL_ID]],DIM_MATERIAL[MATERIAL_ID],DIM_MATERIAL[UOM_AFTER_PROCESS])</f>
        <v>BALE</v>
      </c>
      <c r="E2347">
        <v>88</v>
      </c>
    </row>
    <row r="2348" spans="1:5" x14ac:dyDescent="0.2">
      <c r="A2348" s="3">
        <v>45966</v>
      </c>
      <c r="B2348" t="s">
        <v>1</v>
      </c>
      <c r="C2348">
        <v>1</v>
      </c>
      <c r="D2348" t="str">
        <f>_xlfn.XLOOKUP(RW_DT_PRODUCTION[[#This Row],[MATERIAL_ID]],DIM_MATERIAL[MATERIAL_ID],DIM_MATERIAL[UOM_AFTER_PROCESS])</f>
        <v>BALE</v>
      </c>
      <c r="E2348">
        <v>71</v>
      </c>
    </row>
    <row r="2349" spans="1:5" x14ac:dyDescent="0.2">
      <c r="A2349" s="3">
        <v>45966</v>
      </c>
      <c r="B2349" t="s">
        <v>1</v>
      </c>
      <c r="C2349">
        <v>1</v>
      </c>
      <c r="D2349" t="str">
        <f>_xlfn.XLOOKUP(RW_DT_PRODUCTION[[#This Row],[MATERIAL_ID]],DIM_MATERIAL[MATERIAL_ID],DIM_MATERIAL[UOM_AFTER_PROCESS])</f>
        <v>BALE</v>
      </c>
      <c r="E2349">
        <v>84</v>
      </c>
    </row>
    <row r="2350" spans="1:5" x14ac:dyDescent="0.2">
      <c r="A2350" s="3">
        <v>45966</v>
      </c>
      <c r="B2350" t="s">
        <v>1</v>
      </c>
      <c r="C2350">
        <v>1</v>
      </c>
      <c r="D2350" t="str">
        <f>_xlfn.XLOOKUP(RW_DT_PRODUCTION[[#This Row],[MATERIAL_ID]],DIM_MATERIAL[MATERIAL_ID],DIM_MATERIAL[UOM_AFTER_PROCESS])</f>
        <v>BALE</v>
      </c>
      <c r="E2350">
        <v>82</v>
      </c>
    </row>
    <row r="2351" spans="1:5" x14ac:dyDescent="0.2">
      <c r="A2351" s="3">
        <v>45966</v>
      </c>
      <c r="B2351" t="s">
        <v>1</v>
      </c>
      <c r="C2351">
        <v>1</v>
      </c>
      <c r="D2351" t="str">
        <f>_xlfn.XLOOKUP(RW_DT_PRODUCTION[[#This Row],[MATERIAL_ID]],DIM_MATERIAL[MATERIAL_ID],DIM_MATERIAL[UOM_AFTER_PROCESS])</f>
        <v>BALE</v>
      </c>
      <c r="E2351">
        <v>60</v>
      </c>
    </row>
    <row r="2352" spans="1:5" x14ac:dyDescent="0.2">
      <c r="A2352" s="3">
        <v>45966</v>
      </c>
      <c r="B2352" t="s">
        <v>1</v>
      </c>
      <c r="C2352">
        <v>1</v>
      </c>
      <c r="D2352" t="str">
        <f>_xlfn.XLOOKUP(RW_DT_PRODUCTION[[#This Row],[MATERIAL_ID]],DIM_MATERIAL[MATERIAL_ID],DIM_MATERIAL[UOM_AFTER_PROCESS])</f>
        <v>BALE</v>
      </c>
      <c r="E2352">
        <v>84</v>
      </c>
    </row>
    <row r="2353" spans="1:5" x14ac:dyDescent="0.2">
      <c r="A2353" s="3">
        <v>45966</v>
      </c>
      <c r="B2353" t="s">
        <v>1</v>
      </c>
      <c r="C2353">
        <v>1</v>
      </c>
      <c r="D2353" t="str">
        <f>_xlfn.XLOOKUP(RW_DT_PRODUCTION[[#This Row],[MATERIAL_ID]],DIM_MATERIAL[MATERIAL_ID],DIM_MATERIAL[UOM_AFTER_PROCESS])</f>
        <v>BALE</v>
      </c>
      <c r="E2353">
        <v>89</v>
      </c>
    </row>
    <row r="2354" spans="1:5" x14ac:dyDescent="0.2">
      <c r="A2354" s="3">
        <v>45966</v>
      </c>
      <c r="B2354" t="s">
        <v>1</v>
      </c>
      <c r="C2354">
        <v>1</v>
      </c>
      <c r="D2354" t="str">
        <f>_xlfn.XLOOKUP(RW_DT_PRODUCTION[[#This Row],[MATERIAL_ID]],DIM_MATERIAL[MATERIAL_ID],DIM_MATERIAL[UOM_AFTER_PROCESS])</f>
        <v>BALE</v>
      </c>
      <c r="E2354">
        <v>78</v>
      </c>
    </row>
    <row r="2355" spans="1:5" x14ac:dyDescent="0.2">
      <c r="A2355" s="3">
        <v>45966</v>
      </c>
      <c r="B2355" t="s">
        <v>1</v>
      </c>
      <c r="C2355">
        <v>1</v>
      </c>
      <c r="D2355" t="str">
        <f>_xlfn.XLOOKUP(RW_DT_PRODUCTION[[#This Row],[MATERIAL_ID]],DIM_MATERIAL[MATERIAL_ID],DIM_MATERIAL[UOM_AFTER_PROCESS])</f>
        <v>BALE</v>
      </c>
      <c r="E2355">
        <v>74</v>
      </c>
    </row>
    <row r="2356" spans="1:5" x14ac:dyDescent="0.2">
      <c r="A2356" s="3">
        <v>45966</v>
      </c>
      <c r="B2356" t="s">
        <v>1</v>
      </c>
      <c r="C2356">
        <v>1</v>
      </c>
      <c r="D2356" t="str">
        <f>_xlfn.XLOOKUP(RW_DT_PRODUCTION[[#This Row],[MATERIAL_ID]],DIM_MATERIAL[MATERIAL_ID],DIM_MATERIAL[UOM_AFTER_PROCESS])</f>
        <v>BALE</v>
      </c>
      <c r="E2356">
        <v>65</v>
      </c>
    </row>
    <row r="2357" spans="1:5" x14ac:dyDescent="0.2">
      <c r="A2357" s="3">
        <v>45966</v>
      </c>
      <c r="B2357" t="s">
        <v>1</v>
      </c>
      <c r="C2357">
        <v>1</v>
      </c>
      <c r="D2357" t="str">
        <f>_xlfn.XLOOKUP(RW_DT_PRODUCTION[[#This Row],[MATERIAL_ID]],DIM_MATERIAL[MATERIAL_ID],DIM_MATERIAL[UOM_AFTER_PROCESS])</f>
        <v>BALE</v>
      </c>
      <c r="E2357">
        <v>80</v>
      </c>
    </row>
    <row r="2358" spans="1:5" x14ac:dyDescent="0.2">
      <c r="A2358" s="3">
        <v>45966</v>
      </c>
      <c r="B2358" t="s">
        <v>1</v>
      </c>
      <c r="C2358">
        <v>1</v>
      </c>
      <c r="D2358" t="str">
        <f>_xlfn.XLOOKUP(RW_DT_PRODUCTION[[#This Row],[MATERIAL_ID]],DIM_MATERIAL[MATERIAL_ID],DIM_MATERIAL[UOM_AFTER_PROCESS])</f>
        <v>BALE</v>
      </c>
      <c r="E2358">
        <v>69</v>
      </c>
    </row>
    <row r="2359" spans="1:5" x14ac:dyDescent="0.2">
      <c r="A2359" s="3">
        <v>45966</v>
      </c>
      <c r="B2359" t="s">
        <v>1</v>
      </c>
      <c r="C2359">
        <v>1</v>
      </c>
      <c r="D2359" t="str">
        <f>_xlfn.XLOOKUP(RW_DT_PRODUCTION[[#This Row],[MATERIAL_ID]],DIM_MATERIAL[MATERIAL_ID],DIM_MATERIAL[UOM_AFTER_PROCESS])</f>
        <v>BALE</v>
      </c>
      <c r="E2359">
        <v>61</v>
      </c>
    </row>
    <row r="2360" spans="1:5" x14ac:dyDescent="0.2">
      <c r="A2360" s="3">
        <v>45966</v>
      </c>
      <c r="B2360" t="s">
        <v>1</v>
      </c>
      <c r="C2360">
        <v>1</v>
      </c>
      <c r="D2360" t="str">
        <f>_xlfn.XLOOKUP(RW_DT_PRODUCTION[[#This Row],[MATERIAL_ID]],DIM_MATERIAL[MATERIAL_ID],DIM_MATERIAL[UOM_AFTER_PROCESS])</f>
        <v>BALE</v>
      </c>
      <c r="E2360">
        <v>70</v>
      </c>
    </row>
    <row r="2361" spans="1:5" x14ac:dyDescent="0.2">
      <c r="A2361" s="3">
        <v>45967</v>
      </c>
      <c r="B2361" t="s">
        <v>1</v>
      </c>
      <c r="C2361">
        <v>1</v>
      </c>
      <c r="D2361" t="str">
        <f>_xlfn.XLOOKUP(RW_DT_PRODUCTION[[#This Row],[MATERIAL_ID]],DIM_MATERIAL[MATERIAL_ID],DIM_MATERIAL[UOM_AFTER_PROCESS])</f>
        <v>BALE</v>
      </c>
      <c r="E2361">
        <v>86</v>
      </c>
    </row>
    <row r="2362" spans="1:5" x14ac:dyDescent="0.2">
      <c r="A2362" s="3">
        <v>45967</v>
      </c>
      <c r="B2362" t="s">
        <v>1</v>
      </c>
      <c r="C2362">
        <v>1</v>
      </c>
      <c r="D2362" t="str">
        <f>_xlfn.XLOOKUP(RW_DT_PRODUCTION[[#This Row],[MATERIAL_ID]],DIM_MATERIAL[MATERIAL_ID],DIM_MATERIAL[UOM_AFTER_PROCESS])</f>
        <v>BALE</v>
      </c>
      <c r="E2362">
        <v>64</v>
      </c>
    </row>
    <row r="2363" spans="1:5" x14ac:dyDescent="0.2">
      <c r="A2363" s="3">
        <v>45967</v>
      </c>
      <c r="B2363" t="s">
        <v>1</v>
      </c>
      <c r="C2363">
        <v>1</v>
      </c>
      <c r="D2363" t="str">
        <f>_xlfn.XLOOKUP(RW_DT_PRODUCTION[[#This Row],[MATERIAL_ID]],DIM_MATERIAL[MATERIAL_ID],DIM_MATERIAL[UOM_AFTER_PROCESS])</f>
        <v>BALE</v>
      </c>
      <c r="E2363">
        <v>82</v>
      </c>
    </row>
    <row r="2364" spans="1:5" x14ac:dyDescent="0.2">
      <c r="A2364" s="3">
        <v>45967</v>
      </c>
      <c r="B2364" t="s">
        <v>1</v>
      </c>
      <c r="C2364">
        <v>1</v>
      </c>
      <c r="D2364" t="str">
        <f>_xlfn.XLOOKUP(RW_DT_PRODUCTION[[#This Row],[MATERIAL_ID]],DIM_MATERIAL[MATERIAL_ID],DIM_MATERIAL[UOM_AFTER_PROCESS])</f>
        <v>BALE</v>
      </c>
      <c r="E2364">
        <v>86</v>
      </c>
    </row>
    <row r="2365" spans="1:5" x14ac:dyDescent="0.2">
      <c r="A2365" s="3">
        <v>45967</v>
      </c>
      <c r="B2365" t="s">
        <v>1</v>
      </c>
      <c r="C2365">
        <v>1</v>
      </c>
      <c r="D2365" t="str">
        <f>_xlfn.XLOOKUP(RW_DT_PRODUCTION[[#This Row],[MATERIAL_ID]],DIM_MATERIAL[MATERIAL_ID],DIM_MATERIAL[UOM_AFTER_PROCESS])</f>
        <v>BALE</v>
      </c>
      <c r="E2365">
        <v>84</v>
      </c>
    </row>
    <row r="2366" spans="1:5" x14ac:dyDescent="0.2">
      <c r="A2366" s="3">
        <v>45968</v>
      </c>
      <c r="B2366" t="s">
        <v>1</v>
      </c>
      <c r="C2366">
        <v>1</v>
      </c>
      <c r="D2366" t="str">
        <f>_xlfn.XLOOKUP(RW_DT_PRODUCTION[[#This Row],[MATERIAL_ID]],DIM_MATERIAL[MATERIAL_ID],DIM_MATERIAL[UOM_AFTER_PROCESS])</f>
        <v>BALE</v>
      </c>
      <c r="E2366">
        <v>67</v>
      </c>
    </row>
    <row r="2367" spans="1:5" x14ac:dyDescent="0.2">
      <c r="A2367" s="3">
        <v>45968</v>
      </c>
      <c r="B2367" t="s">
        <v>1</v>
      </c>
      <c r="C2367">
        <v>1</v>
      </c>
      <c r="D2367" t="str">
        <f>_xlfn.XLOOKUP(RW_DT_PRODUCTION[[#This Row],[MATERIAL_ID]],DIM_MATERIAL[MATERIAL_ID],DIM_MATERIAL[UOM_AFTER_PROCESS])</f>
        <v>BALE</v>
      </c>
      <c r="E2367">
        <v>61</v>
      </c>
    </row>
    <row r="2368" spans="1:5" x14ac:dyDescent="0.2">
      <c r="A2368" s="3">
        <v>45968</v>
      </c>
      <c r="B2368" t="s">
        <v>1</v>
      </c>
      <c r="C2368">
        <v>1</v>
      </c>
      <c r="D2368" t="str">
        <f>_xlfn.XLOOKUP(RW_DT_PRODUCTION[[#This Row],[MATERIAL_ID]],DIM_MATERIAL[MATERIAL_ID],DIM_MATERIAL[UOM_AFTER_PROCESS])</f>
        <v>BALE</v>
      </c>
      <c r="E2368">
        <v>83</v>
      </c>
    </row>
    <row r="2369" spans="1:5" x14ac:dyDescent="0.2">
      <c r="A2369" s="3">
        <v>45968</v>
      </c>
      <c r="B2369" t="s">
        <v>1</v>
      </c>
      <c r="C2369">
        <v>1</v>
      </c>
      <c r="D2369" t="str">
        <f>_xlfn.XLOOKUP(RW_DT_PRODUCTION[[#This Row],[MATERIAL_ID]],DIM_MATERIAL[MATERIAL_ID],DIM_MATERIAL[UOM_AFTER_PROCESS])</f>
        <v>BALE</v>
      </c>
      <c r="E2369">
        <v>77</v>
      </c>
    </row>
    <row r="2370" spans="1:5" x14ac:dyDescent="0.2">
      <c r="A2370" s="3">
        <v>45968</v>
      </c>
      <c r="B2370" t="s">
        <v>1</v>
      </c>
      <c r="C2370">
        <v>1</v>
      </c>
      <c r="D2370" t="str">
        <f>_xlfn.XLOOKUP(RW_DT_PRODUCTION[[#This Row],[MATERIAL_ID]],DIM_MATERIAL[MATERIAL_ID],DIM_MATERIAL[UOM_AFTER_PROCESS])</f>
        <v>BALE</v>
      </c>
      <c r="E2370">
        <v>75</v>
      </c>
    </row>
    <row r="2371" spans="1:5" x14ac:dyDescent="0.2">
      <c r="A2371" s="3">
        <v>45968</v>
      </c>
      <c r="B2371" t="s">
        <v>1</v>
      </c>
      <c r="C2371">
        <v>1</v>
      </c>
      <c r="D2371" t="str">
        <f>_xlfn.XLOOKUP(RW_DT_PRODUCTION[[#This Row],[MATERIAL_ID]],DIM_MATERIAL[MATERIAL_ID],DIM_MATERIAL[UOM_AFTER_PROCESS])</f>
        <v>BALE</v>
      </c>
      <c r="E2371">
        <v>88</v>
      </c>
    </row>
    <row r="2372" spans="1:5" x14ac:dyDescent="0.2">
      <c r="A2372" s="3">
        <v>45968</v>
      </c>
      <c r="B2372" t="s">
        <v>1</v>
      </c>
      <c r="C2372">
        <v>1</v>
      </c>
      <c r="D2372" t="str">
        <f>_xlfn.XLOOKUP(RW_DT_PRODUCTION[[#This Row],[MATERIAL_ID]],DIM_MATERIAL[MATERIAL_ID],DIM_MATERIAL[UOM_AFTER_PROCESS])</f>
        <v>BALE</v>
      </c>
      <c r="E2372">
        <v>78</v>
      </c>
    </row>
    <row r="2373" spans="1:5" x14ac:dyDescent="0.2">
      <c r="A2373" s="3">
        <v>45968</v>
      </c>
      <c r="B2373" t="s">
        <v>1</v>
      </c>
      <c r="C2373">
        <v>1</v>
      </c>
      <c r="D2373" t="str">
        <f>_xlfn.XLOOKUP(RW_DT_PRODUCTION[[#This Row],[MATERIAL_ID]],DIM_MATERIAL[MATERIAL_ID],DIM_MATERIAL[UOM_AFTER_PROCESS])</f>
        <v>BALE</v>
      </c>
      <c r="E2373">
        <v>76</v>
      </c>
    </row>
    <row r="2374" spans="1:5" x14ac:dyDescent="0.2">
      <c r="A2374" s="3">
        <v>45968</v>
      </c>
      <c r="B2374" t="s">
        <v>1</v>
      </c>
      <c r="C2374">
        <v>1</v>
      </c>
      <c r="D2374" t="str">
        <f>_xlfn.XLOOKUP(RW_DT_PRODUCTION[[#This Row],[MATERIAL_ID]],DIM_MATERIAL[MATERIAL_ID],DIM_MATERIAL[UOM_AFTER_PROCESS])</f>
        <v>BALE</v>
      </c>
      <c r="E2374">
        <v>68</v>
      </c>
    </row>
    <row r="2375" spans="1:5" x14ac:dyDescent="0.2">
      <c r="A2375" s="3">
        <v>45969</v>
      </c>
      <c r="B2375" t="s">
        <v>1</v>
      </c>
      <c r="C2375">
        <v>1</v>
      </c>
      <c r="D2375" t="str">
        <f>_xlfn.XLOOKUP(RW_DT_PRODUCTION[[#This Row],[MATERIAL_ID]],DIM_MATERIAL[MATERIAL_ID],DIM_MATERIAL[UOM_AFTER_PROCESS])</f>
        <v>BALE</v>
      </c>
      <c r="E2375">
        <v>67</v>
      </c>
    </row>
    <row r="2376" spans="1:5" x14ac:dyDescent="0.2">
      <c r="A2376" s="3">
        <v>45971</v>
      </c>
      <c r="B2376" t="s">
        <v>1</v>
      </c>
      <c r="C2376">
        <v>1</v>
      </c>
      <c r="D2376" t="str">
        <f>_xlfn.XLOOKUP(RW_DT_PRODUCTION[[#This Row],[MATERIAL_ID]],DIM_MATERIAL[MATERIAL_ID],DIM_MATERIAL[UOM_AFTER_PROCESS])</f>
        <v>BALE</v>
      </c>
      <c r="E2376">
        <v>66</v>
      </c>
    </row>
    <row r="2377" spans="1:5" x14ac:dyDescent="0.2">
      <c r="A2377" s="3">
        <v>45971</v>
      </c>
      <c r="B2377" t="s">
        <v>1</v>
      </c>
      <c r="C2377">
        <v>1</v>
      </c>
      <c r="D2377" t="str">
        <f>_xlfn.XLOOKUP(RW_DT_PRODUCTION[[#This Row],[MATERIAL_ID]],DIM_MATERIAL[MATERIAL_ID],DIM_MATERIAL[UOM_AFTER_PROCESS])</f>
        <v>BALE</v>
      </c>
      <c r="E2377">
        <v>66</v>
      </c>
    </row>
    <row r="2378" spans="1:5" x14ac:dyDescent="0.2">
      <c r="A2378" s="3">
        <v>45971</v>
      </c>
      <c r="B2378" t="s">
        <v>1</v>
      </c>
      <c r="C2378">
        <v>1</v>
      </c>
      <c r="D2378" t="str">
        <f>_xlfn.XLOOKUP(RW_DT_PRODUCTION[[#This Row],[MATERIAL_ID]],DIM_MATERIAL[MATERIAL_ID],DIM_MATERIAL[UOM_AFTER_PROCESS])</f>
        <v>BALE</v>
      </c>
      <c r="E2378">
        <v>83</v>
      </c>
    </row>
    <row r="2379" spans="1:5" x14ac:dyDescent="0.2">
      <c r="A2379" s="3">
        <v>45971</v>
      </c>
      <c r="B2379" t="s">
        <v>1</v>
      </c>
      <c r="C2379">
        <v>1</v>
      </c>
      <c r="D2379" t="str">
        <f>_xlfn.XLOOKUP(RW_DT_PRODUCTION[[#This Row],[MATERIAL_ID]],DIM_MATERIAL[MATERIAL_ID],DIM_MATERIAL[UOM_AFTER_PROCESS])</f>
        <v>BALE</v>
      </c>
      <c r="E2379">
        <v>77</v>
      </c>
    </row>
    <row r="2380" spans="1:5" x14ac:dyDescent="0.2">
      <c r="A2380" s="3">
        <v>45971</v>
      </c>
      <c r="B2380" t="s">
        <v>1</v>
      </c>
      <c r="C2380">
        <v>1</v>
      </c>
      <c r="D2380" t="str">
        <f>_xlfn.XLOOKUP(RW_DT_PRODUCTION[[#This Row],[MATERIAL_ID]],DIM_MATERIAL[MATERIAL_ID],DIM_MATERIAL[UOM_AFTER_PROCESS])</f>
        <v>BALE</v>
      </c>
      <c r="E2380">
        <v>80</v>
      </c>
    </row>
    <row r="2381" spans="1:5" x14ac:dyDescent="0.2">
      <c r="A2381" s="3">
        <v>45971</v>
      </c>
      <c r="B2381" t="s">
        <v>1</v>
      </c>
      <c r="C2381">
        <v>1</v>
      </c>
      <c r="D2381" t="str">
        <f>_xlfn.XLOOKUP(RW_DT_PRODUCTION[[#This Row],[MATERIAL_ID]],DIM_MATERIAL[MATERIAL_ID],DIM_MATERIAL[UOM_AFTER_PROCESS])</f>
        <v>BALE</v>
      </c>
      <c r="E2381">
        <v>62</v>
      </c>
    </row>
    <row r="2382" spans="1:5" x14ac:dyDescent="0.2">
      <c r="A2382" s="3">
        <v>45971</v>
      </c>
      <c r="B2382" t="s">
        <v>1</v>
      </c>
      <c r="C2382">
        <v>1</v>
      </c>
      <c r="D2382" t="str">
        <f>_xlfn.XLOOKUP(RW_DT_PRODUCTION[[#This Row],[MATERIAL_ID]],DIM_MATERIAL[MATERIAL_ID],DIM_MATERIAL[UOM_AFTER_PROCESS])</f>
        <v>BALE</v>
      </c>
      <c r="E2382">
        <v>74</v>
      </c>
    </row>
    <row r="2383" spans="1:5" x14ac:dyDescent="0.2">
      <c r="A2383" s="3">
        <v>45971</v>
      </c>
      <c r="B2383" t="s">
        <v>2</v>
      </c>
      <c r="C2383">
        <v>1</v>
      </c>
      <c r="D2383" t="str">
        <f>_xlfn.XLOOKUP(RW_DT_PRODUCTION[[#This Row],[MATERIAL_ID]],DIM_MATERIAL[MATERIAL_ID],DIM_MATERIAL[UOM_AFTER_PROCESS])</f>
        <v>BAG</v>
      </c>
      <c r="E2383">
        <v>22</v>
      </c>
    </row>
    <row r="2384" spans="1:5" x14ac:dyDescent="0.2">
      <c r="A2384" s="3">
        <v>45971</v>
      </c>
      <c r="B2384" t="s">
        <v>2</v>
      </c>
      <c r="C2384">
        <v>1</v>
      </c>
      <c r="D2384" t="str">
        <f>_xlfn.XLOOKUP(RW_DT_PRODUCTION[[#This Row],[MATERIAL_ID]],DIM_MATERIAL[MATERIAL_ID],DIM_MATERIAL[UOM_AFTER_PROCESS])</f>
        <v>BAG</v>
      </c>
      <c r="E2384">
        <v>22</v>
      </c>
    </row>
    <row r="2385" spans="1:5" x14ac:dyDescent="0.2">
      <c r="A2385" s="3">
        <v>45971</v>
      </c>
      <c r="B2385" t="s">
        <v>2</v>
      </c>
      <c r="C2385">
        <v>1</v>
      </c>
      <c r="D2385" t="str">
        <f>_xlfn.XLOOKUP(RW_DT_PRODUCTION[[#This Row],[MATERIAL_ID]],DIM_MATERIAL[MATERIAL_ID],DIM_MATERIAL[UOM_AFTER_PROCESS])</f>
        <v>BAG</v>
      </c>
      <c r="E2385">
        <v>22</v>
      </c>
    </row>
    <row r="2386" spans="1:5" x14ac:dyDescent="0.2">
      <c r="A2386" s="3">
        <v>45971</v>
      </c>
      <c r="B2386" t="s">
        <v>2</v>
      </c>
      <c r="C2386">
        <v>1</v>
      </c>
      <c r="D2386" t="str">
        <f>_xlfn.XLOOKUP(RW_DT_PRODUCTION[[#This Row],[MATERIAL_ID]],DIM_MATERIAL[MATERIAL_ID],DIM_MATERIAL[UOM_AFTER_PROCESS])</f>
        <v>BAG</v>
      </c>
      <c r="E2386">
        <v>22</v>
      </c>
    </row>
    <row r="2387" spans="1:5" x14ac:dyDescent="0.2">
      <c r="A2387" s="3">
        <v>45972</v>
      </c>
      <c r="B2387" t="s">
        <v>1</v>
      </c>
      <c r="C2387">
        <v>1</v>
      </c>
      <c r="D2387" t="str">
        <f>_xlfn.XLOOKUP(RW_DT_PRODUCTION[[#This Row],[MATERIAL_ID]],DIM_MATERIAL[MATERIAL_ID],DIM_MATERIAL[UOM_AFTER_PROCESS])</f>
        <v>BALE</v>
      </c>
      <c r="E2387">
        <v>82</v>
      </c>
    </row>
    <row r="2388" spans="1:5" x14ac:dyDescent="0.2">
      <c r="A2388" s="3">
        <v>45972</v>
      </c>
      <c r="B2388" t="s">
        <v>1</v>
      </c>
      <c r="C2388">
        <v>1</v>
      </c>
      <c r="D2388" t="str">
        <f>_xlfn.XLOOKUP(RW_DT_PRODUCTION[[#This Row],[MATERIAL_ID]],DIM_MATERIAL[MATERIAL_ID],DIM_MATERIAL[UOM_AFTER_PROCESS])</f>
        <v>BALE</v>
      </c>
      <c r="E2388">
        <v>60</v>
      </c>
    </row>
    <row r="2389" spans="1:5" x14ac:dyDescent="0.2">
      <c r="A2389" s="3">
        <v>45972</v>
      </c>
      <c r="B2389" t="s">
        <v>1</v>
      </c>
      <c r="C2389">
        <v>1</v>
      </c>
      <c r="D2389" t="str">
        <f>_xlfn.XLOOKUP(RW_DT_PRODUCTION[[#This Row],[MATERIAL_ID]],DIM_MATERIAL[MATERIAL_ID],DIM_MATERIAL[UOM_AFTER_PROCESS])</f>
        <v>BALE</v>
      </c>
      <c r="E2389">
        <v>69</v>
      </c>
    </row>
    <row r="2390" spans="1:5" x14ac:dyDescent="0.2">
      <c r="A2390" s="3">
        <v>45972</v>
      </c>
      <c r="B2390" t="s">
        <v>1</v>
      </c>
      <c r="C2390">
        <v>1</v>
      </c>
      <c r="D2390" t="str">
        <f>_xlfn.XLOOKUP(RW_DT_PRODUCTION[[#This Row],[MATERIAL_ID]],DIM_MATERIAL[MATERIAL_ID],DIM_MATERIAL[UOM_AFTER_PROCESS])</f>
        <v>BALE</v>
      </c>
      <c r="E2390">
        <v>83</v>
      </c>
    </row>
    <row r="2391" spans="1:5" x14ac:dyDescent="0.2">
      <c r="A2391" s="3">
        <v>45972</v>
      </c>
      <c r="B2391" t="s">
        <v>1</v>
      </c>
      <c r="C2391">
        <v>1</v>
      </c>
      <c r="D2391" t="str">
        <f>_xlfn.XLOOKUP(RW_DT_PRODUCTION[[#This Row],[MATERIAL_ID]],DIM_MATERIAL[MATERIAL_ID],DIM_MATERIAL[UOM_AFTER_PROCESS])</f>
        <v>BALE</v>
      </c>
      <c r="E2391">
        <v>79</v>
      </c>
    </row>
    <row r="2392" spans="1:5" x14ac:dyDescent="0.2">
      <c r="A2392" s="3">
        <v>45972</v>
      </c>
      <c r="B2392" t="s">
        <v>1</v>
      </c>
      <c r="C2392">
        <v>1</v>
      </c>
      <c r="D2392" t="str">
        <f>_xlfn.XLOOKUP(RW_DT_PRODUCTION[[#This Row],[MATERIAL_ID]],DIM_MATERIAL[MATERIAL_ID],DIM_MATERIAL[UOM_AFTER_PROCESS])</f>
        <v>BALE</v>
      </c>
      <c r="E2392">
        <v>76</v>
      </c>
    </row>
    <row r="2393" spans="1:5" x14ac:dyDescent="0.2">
      <c r="A2393" s="3">
        <v>45972</v>
      </c>
      <c r="B2393" t="s">
        <v>1</v>
      </c>
      <c r="C2393">
        <v>1</v>
      </c>
      <c r="D2393" t="str">
        <f>_xlfn.XLOOKUP(RW_DT_PRODUCTION[[#This Row],[MATERIAL_ID]],DIM_MATERIAL[MATERIAL_ID],DIM_MATERIAL[UOM_AFTER_PROCESS])</f>
        <v>BALE</v>
      </c>
      <c r="E2393">
        <v>87</v>
      </c>
    </row>
    <row r="2394" spans="1:5" x14ac:dyDescent="0.2">
      <c r="A2394" s="3">
        <v>45972</v>
      </c>
      <c r="B2394" t="s">
        <v>1</v>
      </c>
      <c r="C2394">
        <v>1</v>
      </c>
      <c r="D2394" t="str">
        <f>_xlfn.XLOOKUP(RW_DT_PRODUCTION[[#This Row],[MATERIAL_ID]],DIM_MATERIAL[MATERIAL_ID],DIM_MATERIAL[UOM_AFTER_PROCESS])</f>
        <v>BALE</v>
      </c>
      <c r="E2394">
        <v>70</v>
      </c>
    </row>
    <row r="2395" spans="1:5" x14ac:dyDescent="0.2">
      <c r="A2395" s="3">
        <v>45972</v>
      </c>
      <c r="B2395" t="s">
        <v>1</v>
      </c>
      <c r="C2395">
        <v>1</v>
      </c>
      <c r="D2395" t="str">
        <f>_xlfn.XLOOKUP(RW_DT_PRODUCTION[[#This Row],[MATERIAL_ID]],DIM_MATERIAL[MATERIAL_ID],DIM_MATERIAL[UOM_AFTER_PROCESS])</f>
        <v>BALE</v>
      </c>
      <c r="E2395">
        <v>89</v>
      </c>
    </row>
    <row r="2396" spans="1:5" x14ac:dyDescent="0.2">
      <c r="A2396" s="3">
        <v>45972</v>
      </c>
      <c r="B2396" t="s">
        <v>1</v>
      </c>
      <c r="C2396">
        <v>1</v>
      </c>
      <c r="D2396" t="str">
        <f>_xlfn.XLOOKUP(RW_DT_PRODUCTION[[#This Row],[MATERIAL_ID]],DIM_MATERIAL[MATERIAL_ID],DIM_MATERIAL[UOM_AFTER_PROCESS])</f>
        <v>BALE</v>
      </c>
      <c r="E2396">
        <v>85</v>
      </c>
    </row>
    <row r="2397" spans="1:5" x14ac:dyDescent="0.2">
      <c r="A2397" s="3">
        <v>45973</v>
      </c>
      <c r="B2397" t="s">
        <v>1</v>
      </c>
      <c r="C2397">
        <v>1</v>
      </c>
      <c r="D2397" t="str">
        <f>_xlfn.XLOOKUP(RW_DT_PRODUCTION[[#This Row],[MATERIAL_ID]],DIM_MATERIAL[MATERIAL_ID],DIM_MATERIAL[UOM_AFTER_PROCESS])</f>
        <v>BALE</v>
      </c>
      <c r="E2397">
        <v>78</v>
      </c>
    </row>
    <row r="2398" spans="1:5" x14ac:dyDescent="0.2">
      <c r="A2398" s="3">
        <v>45973</v>
      </c>
      <c r="B2398" t="s">
        <v>1</v>
      </c>
      <c r="C2398">
        <v>1</v>
      </c>
      <c r="D2398" t="str">
        <f>_xlfn.XLOOKUP(RW_DT_PRODUCTION[[#This Row],[MATERIAL_ID]],DIM_MATERIAL[MATERIAL_ID],DIM_MATERIAL[UOM_AFTER_PROCESS])</f>
        <v>BALE</v>
      </c>
      <c r="E2398">
        <v>69</v>
      </c>
    </row>
    <row r="2399" spans="1:5" x14ac:dyDescent="0.2">
      <c r="A2399" s="3">
        <v>45973</v>
      </c>
      <c r="B2399" t="s">
        <v>1</v>
      </c>
      <c r="C2399">
        <v>1</v>
      </c>
      <c r="D2399" t="str">
        <f>_xlfn.XLOOKUP(RW_DT_PRODUCTION[[#This Row],[MATERIAL_ID]],DIM_MATERIAL[MATERIAL_ID],DIM_MATERIAL[UOM_AFTER_PROCESS])</f>
        <v>BALE</v>
      </c>
      <c r="E2399">
        <v>82</v>
      </c>
    </row>
    <row r="2400" spans="1:5" x14ac:dyDescent="0.2">
      <c r="A2400" s="3">
        <v>45973</v>
      </c>
      <c r="B2400" t="s">
        <v>1</v>
      </c>
      <c r="C2400">
        <v>1</v>
      </c>
      <c r="D2400" t="str">
        <f>_xlfn.XLOOKUP(RW_DT_PRODUCTION[[#This Row],[MATERIAL_ID]],DIM_MATERIAL[MATERIAL_ID],DIM_MATERIAL[UOM_AFTER_PROCESS])</f>
        <v>BALE</v>
      </c>
      <c r="E2400">
        <v>67</v>
      </c>
    </row>
    <row r="2401" spans="1:5" x14ac:dyDescent="0.2">
      <c r="A2401" s="3">
        <v>45973</v>
      </c>
      <c r="B2401" t="s">
        <v>1</v>
      </c>
      <c r="C2401">
        <v>1</v>
      </c>
      <c r="D2401" t="str">
        <f>_xlfn.XLOOKUP(RW_DT_PRODUCTION[[#This Row],[MATERIAL_ID]],DIM_MATERIAL[MATERIAL_ID],DIM_MATERIAL[UOM_AFTER_PROCESS])</f>
        <v>BALE</v>
      </c>
      <c r="E2401">
        <v>72</v>
      </c>
    </row>
    <row r="2402" spans="1:5" x14ac:dyDescent="0.2">
      <c r="A2402" s="3">
        <v>45973</v>
      </c>
      <c r="B2402" t="s">
        <v>2</v>
      </c>
      <c r="C2402">
        <v>1</v>
      </c>
      <c r="D2402" t="str">
        <f>_xlfn.XLOOKUP(RW_DT_PRODUCTION[[#This Row],[MATERIAL_ID]],DIM_MATERIAL[MATERIAL_ID],DIM_MATERIAL[UOM_AFTER_PROCESS])</f>
        <v>BAG</v>
      </c>
      <c r="E2402">
        <v>22</v>
      </c>
    </row>
    <row r="2403" spans="1:5" x14ac:dyDescent="0.2">
      <c r="A2403" s="3">
        <v>45973</v>
      </c>
      <c r="B2403" t="s">
        <v>2</v>
      </c>
      <c r="C2403">
        <v>1</v>
      </c>
      <c r="D2403" t="str">
        <f>_xlfn.XLOOKUP(RW_DT_PRODUCTION[[#This Row],[MATERIAL_ID]],DIM_MATERIAL[MATERIAL_ID],DIM_MATERIAL[UOM_AFTER_PROCESS])</f>
        <v>BAG</v>
      </c>
      <c r="E2403">
        <v>22</v>
      </c>
    </row>
    <row r="2404" spans="1:5" x14ac:dyDescent="0.2">
      <c r="A2404" s="3">
        <v>45973</v>
      </c>
      <c r="B2404" t="s">
        <v>2</v>
      </c>
      <c r="C2404">
        <v>1</v>
      </c>
      <c r="D2404" t="str">
        <f>_xlfn.XLOOKUP(RW_DT_PRODUCTION[[#This Row],[MATERIAL_ID]],DIM_MATERIAL[MATERIAL_ID],DIM_MATERIAL[UOM_AFTER_PROCESS])</f>
        <v>BAG</v>
      </c>
      <c r="E2404">
        <v>22</v>
      </c>
    </row>
    <row r="2405" spans="1:5" x14ac:dyDescent="0.2">
      <c r="A2405" s="3">
        <v>45975</v>
      </c>
      <c r="B2405" t="s">
        <v>1</v>
      </c>
      <c r="C2405">
        <v>1</v>
      </c>
      <c r="D2405" t="str">
        <f>_xlfn.XLOOKUP(RW_DT_PRODUCTION[[#This Row],[MATERIAL_ID]],DIM_MATERIAL[MATERIAL_ID],DIM_MATERIAL[UOM_AFTER_PROCESS])</f>
        <v>BALE</v>
      </c>
      <c r="E2405">
        <v>77</v>
      </c>
    </row>
    <row r="2406" spans="1:5" x14ac:dyDescent="0.2">
      <c r="A2406" s="3">
        <v>45975</v>
      </c>
      <c r="B2406" t="s">
        <v>1</v>
      </c>
      <c r="C2406">
        <v>1</v>
      </c>
      <c r="D2406" t="str">
        <f>_xlfn.XLOOKUP(RW_DT_PRODUCTION[[#This Row],[MATERIAL_ID]],DIM_MATERIAL[MATERIAL_ID],DIM_MATERIAL[UOM_AFTER_PROCESS])</f>
        <v>BALE</v>
      </c>
      <c r="E2406">
        <v>63</v>
      </c>
    </row>
    <row r="2407" spans="1:5" x14ac:dyDescent="0.2">
      <c r="A2407" s="3">
        <v>45975</v>
      </c>
      <c r="B2407" t="s">
        <v>1</v>
      </c>
      <c r="C2407">
        <v>1</v>
      </c>
      <c r="D2407" t="str">
        <f>_xlfn.XLOOKUP(RW_DT_PRODUCTION[[#This Row],[MATERIAL_ID]],DIM_MATERIAL[MATERIAL_ID],DIM_MATERIAL[UOM_AFTER_PROCESS])</f>
        <v>BALE</v>
      </c>
      <c r="E2407">
        <v>84</v>
      </c>
    </row>
    <row r="2408" spans="1:5" x14ac:dyDescent="0.2">
      <c r="A2408" s="3">
        <v>45975</v>
      </c>
      <c r="B2408" t="s">
        <v>1</v>
      </c>
      <c r="C2408">
        <v>1</v>
      </c>
      <c r="D2408" t="str">
        <f>_xlfn.XLOOKUP(RW_DT_PRODUCTION[[#This Row],[MATERIAL_ID]],DIM_MATERIAL[MATERIAL_ID],DIM_MATERIAL[UOM_AFTER_PROCESS])</f>
        <v>BALE</v>
      </c>
      <c r="E2408">
        <v>87</v>
      </c>
    </row>
    <row r="2409" spans="1:5" x14ac:dyDescent="0.2">
      <c r="A2409" s="3">
        <v>45975</v>
      </c>
      <c r="B2409" t="s">
        <v>1</v>
      </c>
      <c r="C2409">
        <v>1</v>
      </c>
      <c r="D2409" t="str">
        <f>_xlfn.XLOOKUP(RW_DT_PRODUCTION[[#This Row],[MATERIAL_ID]],DIM_MATERIAL[MATERIAL_ID],DIM_MATERIAL[UOM_AFTER_PROCESS])</f>
        <v>BALE</v>
      </c>
      <c r="E2409">
        <v>79</v>
      </c>
    </row>
    <row r="2410" spans="1:5" x14ac:dyDescent="0.2">
      <c r="A2410" s="3">
        <v>45975</v>
      </c>
      <c r="B2410" t="s">
        <v>1</v>
      </c>
      <c r="C2410">
        <v>1</v>
      </c>
      <c r="D2410" t="str">
        <f>_xlfn.XLOOKUP(RW_DT_PRODUCTION[[#This Row],[MATERIAL_ID]],DIM_MATERIAL[MATERIAL_ID],DIM_MATERIAL[UOM_AFTER_PROCESS])</f>
        <v>BALE</v>
      </c>
      <c r="E2410">
        <v>80</v>
      </c>
    </row>
    <row r="2411" spans="1:5" x14ac:dyDescent="0.2">
      <c r="A2411" s="3">
        <v>45975</v>
      </c>
      <c r="B2411" t="s">
        <v>1</v>
      </c>
      <c r="C2411">
        <v>1</v>
      </c>
      <c r="D2411" t="str">
        <f>_xlfn.XLOOKUP(RW_DT_PRODUCTION[[#This Row],[MATERIAL_ID]],DIM_MATERIAL[MATERIAL_ID],DIM_MATERIAL[UOM_AFTER_PROCESS])</f>
        <v>BALE</v>
      </c>
      <c r="E2411">
        <v>78</v>
      </c>
    </row>
    <row r="2412" spans="1:5" x14ac:dyDescent="0.2">
      <c r="A2412" s="3">
        <v>45978</v>
      </c>
      <c r="B2412" t="s">
        <v>1</v>
      </c>
      <c r="C2412">
        <v>1</v>
      </c>
      <c r="D2412" t="str">
        <f>_xlfn.XLOOKUP(RW_DT_PRODUCTION[[#This Row],[MATERIAL_ID]],DIM_MATERIAL[MATERIAL_ID],DIM_MATERIAL[UOM_AFTER_PROCESS])</f>
        <v>BALE</v>
      </c>
      <c r="E2412">
        <v>62</v>
      </c>
    </row>
    <row r="2413" spans="1:5" x14ac:dyDescent="0.2">
      <c r="A2413" s="3">
        <v>45978</v>
      </c>
      <c r="B2413" t="s">
        <v>1</v>
      </c>
      <c r="C2413">
        <v>1</v>
      </c>
      <c r="D2413" t="str">
        <f>_xlfn.XLOOKUP(RW_DT_PRODUCTION[[#This Row],[MATERIAL_ID]],DIM_MATERIAL[MATERIAL_ID],DIM_MATERIAL[UOM_AFTER_PROCESS])</f>
        <v>BALE</v>
      </c>
      <c r="E2413">
        <v>65</v>
      </c>
    </row>
    <row r="2414" spans="1:5" x14ac:dyDescent="0.2">
      <c r="A2414" s="3">
        <v>45978</v>
      </c>
      <c r="B2414" t="s">
        <v>1</v>
      </c>
      <c r="C2414">
        <v>1</v>
      </c>
      <c r="D2414" t="str">
        <f>_xlfn.XLOOKUP(RW_DT_PRODUCTION[[#This Row],[MATERIAL_ID]],DIM_MATERIAL[MATERIAL_ID],DIM_MATERIAL[UOM_AFTER_PROCESS])</f>
        <v>BALE</v>
      </c>
      <c r="E2414">
        <v>65</v>
      </c>
    </row>
    <row r="2415" spans="1:5" x14ac:dyDescent="0.2">
      <c r="A2415" s="3">
        <v>45978</v>
      </c>
      <c r="B2415" t="s">
        <v>2</v>
      </c>
      <c r="C2415">
        <v>1</v>
      </c>
      <c r="D2415" t="str">
        <f>_xlfn.XLOOKUP(RW_DT_PRODUCTION[[#This Row],[MATERIAL_ID]],DIM_MATERIAL[MATERIAL_ID],DIM_MATERIAL[UOM_AFTER_PROCESS])</f>
        <v>BAG</v>
      </c>
      <c r="E2415">
        <v>22</v>
      </c>
    </row>
    <row r="2416" spans="1:5" x14ac:dyDescent="0.2">
      <c r="A2416" s="3">
        <v>45978</v>
      </c>
      <c r="B2416" t="s">
        <v>2</v>
      </c>
      <c r="C2416">
        <v>1</v>
      </c>
      <c r="D2416" t="str">
        <f>_xlfn.XLOOKUP(RW_DT_PRODUCTION[[#This Row],[MATERIAL_ID]],DIM_MATERIAL[MATERIAL_ID],DIM_MATERIAL[UOM_AFTER_PROCESS])</f>
        <v>BAG</v>
      </c>
      <c r="E2416">
        <v>22</v>
      </c>
    </row>
    <row r="2417" spans="1:5" x14ac:dyDescent="0.2">
      <c r="A2417" s="3">
        <v>45978</v>
      </c>
      <c r="B2417" t="s">
        <v>2</v>
      </c>
      <c r="C2417">
        <v>1</v>
      </c>
      <c r="D2417" t="str">
        <f>_xlfn.XLOOKUP(RW_DT_PRODUCTION[[#This Row],[MATERIAL_ID]],DIM_MATERIAL[MATERIAL_ID],DIM_MATERIAL[UOM_AFTER_PROCESS])</f>
        <v>BAG</v>
      </c>
      <c r="E2417">
        <v>22</v>
      </c>
    </row>
    <row r="2418" spans="1:5" x14ac:dyDescent="0.2">
      <c r="A2418" s="3">
        <v>45979</v>
      </c>
      <c r="B2418" t="s">
        <v>1</v>
      </c>
      <c r="C2418">
        <v>1</v>
      </c>
      <c r="D2418" t="str">
        <f>_xlfn.XLOOKUP(RW_DT_PRODUCTION[[#This Row],[MATERIAL_ID]],DIM_MATERIAL[MATERIAL_ID],DIM_MATERIAL[UOM_AFTER_PROCESS])</f>
        <v>BALE</v>
      </c>
      <c r="E2418">
        <v>73</v>
      </c>
    </row>
    <row r="2419" spans="1:5" x14ac:dyDescent="0.2">
      <c r="A2419" s="3">
        <v>45979</v>
      </c>
      <c r="B2419" t="s">
        <v>1</v>
      </c>
      <c r="C2419">
        <v>1</v>
      </c>
      <c r="D2419" t="str">
        <f>_xlfn.XLOOKUP(RW_DT_PRODUCTION[[#This Row],[MATERIAL_ID]],DIM_MATERIAL[MATERIAL_ID],DIM_MATERIAL[UOM_AFTER_PROCESS])</f>
        <v>BALE</v>
      </c>
      <c r="E2419">
        <v>64</v>
      </c>
    </row>
    <row r="2420" spans="1:5" x14ac:dyDescent="0.2">
      <c r="A2420" s="3">
        <v>45979</v>
      </c>
      <c r="B2420" t="s">
        <v>1</v>
      </c>
      <c r="C2420">
        <v>1</v>
      </c>
      <c r="D2420" t="str">
        <f>_xlfn.XLOOKUP(RW_DT_PRODUCTION[[#This Row],[MATERIAL_ID]],DIM_MATERIAL[MATERIAL_ID],DIM_MATERIAL[UOM_AFTER_PROCESS])</f>
        <v>BALE</v>
      </c>
      <c r="E2420">
        <v>87</v>
      </c>
    </row>
    <row r="2421" spans="1:5" x14ac:dyDescent="0.2">
      <c r="A2421" s="3">
        <v>45979</v>
      </c>
      <c r="B2421" t="s">
        <v>1</v>
      </c>
      <c r="C2421">
        <v>1</v>
      </c>
      <c r="D2421" t="str">
        <f>_xlfn.XLOOKUP(RW_DT_PRODUCTION[[#This Row],[MATERIAL_ID]],DIM_MATERIAL[MATERIAL_ID],DIM_MATERIAL[UOM_AFTER_PROCESS])</f>
        <v>BALE</v>
      </c>
      <c r="E2421">
        <v>89</v>
      </c>
    </row>
    <row r="2422" spans="1:5" x14ac:dyDescent="0.2">
      <c r="A2422" s="3">
        <v>45979</v>
      </c>
      <c r="B2422" t="s">
        <v>1</v>
      </c>
      <c r="C2422">
        <v>1</v>
      </c>
      <c r="D2422" t="str">
        <f>_xlfn.XLOOKUP(RW_DT_PRODUCTION[[#This Row],[MATERIAL_ID]],DIM_MATERIAL[MATERIAL_ID],DIM_MATERIAL[UOM_AFTER_PROCESS])</f>
        <v>BALE</v>
      </c>
      <c r="E2422">
        <v>80</v>
      </c>
    </row>
    <row r="2423" spans="1:5" x14ac:dyDescent="0.2">
      <c r="A2423" s="3">
        <v>45979</v>
      </c>
      <c r="B2423" t="s">
        <v>1</v>
      </c>
      <c r="C2423">
        <v>1</v>
      </c>
      <c r="D2423" t="str">
        <f>_xlfn.XLOOKUP(RW_DT_PRODUCTION[[#This Row],[MATERIAL_ID]],DIM_MATERIAL[MATERIAL_ID],DIM_MATERIAL[UOM_AFTER_PROCESS])</f>
        <v>BALE</v>
      </c>
      <c r="E2423">
        <v>72</v>
      </c>
    </row>
    <row r="2424" spans="1:5" x14ac:dyDescent="0.2">
      <c r="A2424" s="3">
        <v>45979</v>
      </c>
      <c r="B2424" t="s">
        <v>1</v>
      </c>
      <c r="C2424">
        <v>1</v>
      </c>
      <c r="D2424" t="str">
        <f>_xlfn.XLOOKUP(RW_DT_PRODUCTION[[#This Row],[MATERIAL_ID]],DIM_MATERIAL[MATERIAL_ID],DIM_MATERIAL[UOM_AFTER_PROCESS])</f>
        <v>BALE</v>
      </c>
      <c r="E2424">
        <v>72</v>
      </c>
    </row>
    <row r="2425" spans="1:5" x14ac:dyDescent="0.2">
      <c r="A2425" s="3">
        <v>45979</v>
      </c>
      <c r="B2425" t="s">
        <v>1</v>
      </c>
      <c r="C2425">
        <v>1</v>
      </c>
      <c r="D2425" t="str">
        <f>_xlfn.XLOOKUP(RW_DT_PRODUCTION[[#This Row],[MATERIAL_ID]],DIM_MATERIAL[MATERIAL_ID],DIM_MATERIAL[UOM_AFTER_PROCESS])</f>
        <v>BALE</v>
      </c>
      <c r="E2425">
        <v>69</v>
      </c>
    </row>
    <row r="2426" spans="1:5" x14ac:dyDescent="0.2">
      <c r="A2426" s="3">
        <v>45979</v>
      </c>
      <c r="B2426" t="s">
        <v>1</v>
      </c>
      <c r="C2426">
        <v>1</v>
      </c>
      <c r="D2426" t="str">
        <f>_xlfn.XLOOKUP(RW_DT_PRODUCTION[[#This Row],[MATERIAL_ID]],DIM_MATERIAL[MATERIAL_ID],DIM_MATERIAL[UOM_AFTER_PROCESS])</f>
        <v>BALE</v>
      </c>
      <c r="E2426">
        <v>88</v>
      </c>
    </row>
    <row r="2427" spans="1:5" x14ac:dyDescent="0.2">
      <c r="A2427" s="3">
        <v>45979</v>
      </c>
      <c r="B2427" t="s">
        <v>1</v>
      </c>
      <c r="C2427">
        <v>1</v>
      </c>
      <c r="D2427" t="str">
        <f>_xlfn.XLOOKUP(RW_DT_PRODUCTION[[#This Row],[MATERIAL_ID]],DIM_MATERIAL[MATERIAL_ID],DIM_MATERIAL[UOM_AFTER_PROCESS])</f>
        <v>BALE</v>
      </c>
      <c r="E2427">
        <v>62</v>
      </c>
    </row>
    <row r="2428" spans="1:5" x14ac:dyDescent="0.2">
      <c r="A2428" s="3">
        <v>45980</v>
      </c>
      <c r="B2428" t="s">
        <v>1</v>
      </c>
      <c r="C2428">
        <v>1</v>
      </c>
      <c r="D2428" t="str">
        <f>_xlfn.XLOOKUP(RW_DT_PRODUCTION[[#This Row],[MATERIAL_ID]],DIM_MATERIAL[MATERIAL_ID],DIM_MATERIAL[UOM_AFTER_PROCESS])</f>
        <v>BALE</v>
      </c>
      <c r="E2428">
        <v>62</v>
      </c>
    </row>
    <row r="2429" spans="1:5" x14ac:dyDescent="0.2">
      <c r="A2429" s="3">
        <v>45980</v>
      </c>
      <c r="B2429" t="s">
        <v>1</v>
      </c>
      <c r="C2429">
        <v>1</v>
      </c>
      <c r="D2429" t="str">
        <f>_xlfn.XLOOKUP(RW_DT_PRODUCTION[[#This Row],[MATERIAL_ID]],DIM_MATERIAL[MATERIAL_ID],DIM_MATERIAL[UOM_AFTER_PROCESS])</f>
        <v>BALE</v>
      </c>
      <c r="E2429">
        <v>62</v>
      </c>
    </row>
    <row r="2430" spans="1:5" x14ac:dyDescent="0.2">
      <c r="A2430" s="3">
        <v>45980</v>
      </c>
      <c r="B2430" t="s">
        <v>1</v>
      </c>
      <c r="C2430">
        <v>1</v>
      </c>
      <c r="D2430" t="str">
        <f>_xlfn.XLOOKUP(RW_DT_PRODUCTION[[#This Row],[MATERIAL_ID]],DIM_MATERIAL[MATERIAL_ID],DIM_MATERIAL[UOM_AFTER_PROCESS])</f>
        <v>BALE</v>
      </c>
      <c r="E2430">
        <v>60</v>
      </c>
    </row>
    <row r="2431" spans="1:5" x14ac:dyDescent="0.2">
      <c r="A2431" s="3">
        <v>45980</v>
      </c>
      <c r="B2431" t="s">
        <v>1</v>
      </c>
      <c r="C2431">
        <v>1</v>
      </c>
      <c r="D2431" t="str">
        <f>_xlfn.XLOOKUP(RW_DT_PRODUCTION[[#This Row],[MATERIAL_ID]],DIM_MATERIAL[MATERIAL_ID],DIM_MATERIAL[UOM_AFTER_PROCESS])</f>
        <v>BALE</v>
      </c>
      <c r="E2431">
        <v>63</v>
      </c>
    </row>
    <row r="2432" spans="1:5" x14ac:dyDescent="0.2">
      <c r="A2432" s="3">
        <v>45980</v>
      </c>
      <c r="B2432" t="s">
        <v>1</v>
      </c>
      <c r="C2432">
        <v>1</v>
      </c>
      <c r="D2432" t="str">
        <f>_xlfn.XLOOKUP(RW_DT_PRODUCTION[[#This Row],[MATERIAL_ID]],DIM_MATERIAL[MATERIAL_ID],DIM_MATERIAL[UOM_AFTER_PROCESS])</f>
        <v>BALE</v>
      </c>
      <c r="E2432">
        <v>73</v>
      </c>
    </row>
    <row r="2433" spans="1:5" x14ac:dyDescent="0.2">
      <c r="A2433" s="3">
        <v>45980</v>
      </c>
      <c r="B2433" t="s">
        <v>2</v>
      </c>
      <c r="C2433">
        <v>1</v>
      </c>
      <c r="D2433" t="str">
        <f>_xlfn.XLOOKUP(RW_DT_PRODUCTION[[#This Row],[MATERIAL_ID]],DIM_MATERIAL[MATERIAL_ID],DIM_MATERIAL[UOM_AFTER_PROCESS])</f>
        <v>BAG</v>
      </c>
      <c r="E2433">
        <v>22</v>
      </c>
    </row>
    <row r="2434" spans="1:5" x14ac:dyDescent="0.2">
      <c r="A2434" s="3">
        <v>45980</v>
      </c>
      <c r="B2434" t="s">
        <v>2</v>
      </c>
      <c r="C2434">
        <v>1</v>
      </c>
      <c r="D2434" t="str">
        <f>_xlfn.XLOOKUP(RW_DT_PRODUCTION[[#This Row],[MATERIAL_ID]],DIM_MATERIAL[MATERIAL_ID],DIM_MATERIAL[UOM_AFTER_PROCESS])</f>
        <v>BAG</v>
      </c>
      <c r="E2434">
        <v>22</v>
      </c>
    </row>
    <row r="2435" spans="1:5" x14ac:dyDescent="0.2">
      <c r="A2435" s="3">
        <v>45980</v>
      </c>
      <c r="B2435" t="s">
        <v>2</v>
      </c>
      <c r="C2435">
        <v>1</v>
      </c>
      <c r="D2435" t="str">
        <f>_xlfn.XLOOKUP(RW_DT_PRODUCTION[[#This Row],[MATERIAL_ID]],DIM_MATERIAL[MATERIAL_ID],DIM_MATERIAL[UOM_AFTER_PROCESS])</f>
        <v>BAG</v>
      </c>
      <c r="E2435">
        <v>22</v>
      </c>
    </row>
    <row r="2436" spans="1:5" x14ac:dyDescent="0.2">
      <c r="A2436" s="3">
        <v>45980</v>
      </c>
      <c r="B2436" t="s">
        <v>2</v>
      </c>
      <c r="C2436">
        <v>1</v>
      </c>
      <c r="D2436" t="str">
        <f>_xlfn.XLOOKUP(RW_DT_PRODUCTION[[#This Row],[MATERIAL_ID]],DIM_MATERIAL[MATERIAL_ID],DIM_MATERIAL[UOM_AFTER_PROCESS])</f>
        <v>BAG</v>
      </c>
      <c r="E2436">
        <v>22</v>
      </c>
    </row>
    <row r="2437" spans="1:5" x14ac:dyDescent="0.2">
      <c r="A2437" s="3">
        <v>45980</v>
      </c>
      <c r="B2437" t="s">
        <v>2</v>
      </c>
      <c r="C2437">
        <v>1</v>
      </c>
      <c r="D2437" t="str">
        <f>_xlfn.XLOOKUP(RW_DT_PRODUCTION[[#This Row],[MATERIAL_ID]],DIM_MATERIAL[MATERIAL_ID],DIM_MATERIAL[UOM_AFTER_PROCESS])</f>
        <v>BAG</v>
      </c>
      <c r="E2437">
        <v>22</v>
      </c>
    </row>
    <row r="2438" spans="1:5" x14ac:dyDescent="0.2">
      <c r="A2438" s="3">
        <v>45980</v>
      </c>
      <c r="B2438" t="s">
        <v>2</v>
      </c>
      <c r="C2438">
        <v>1</v>
      </c>
      <c r="D2438" t="str">
        <f>_xlfn.XLOOKUP(RW_DT_PRODUCTION[[#This Row],[MATERIAL_ID]],DIM_MATERIAL[MATERIAL_ID],DIM_MATERIAL[UOM_AFTER_PROCESS])</f>
        <v>BAG</v>
      </c>
      <c r="E2438">
        <v>22</v>
      </c>
    </row>
    <row r="2439" spans="1:5" x14ac:dyDescent="0.2">
      <c r="A2439" s="3">
        <v>45981</v>
      </c>
      <c r="B2439" t="s">
        <v>1</v>
      </c>
      <c r="C2439">
        <v>1</v>
      </c>
      <c r="D2439" t="str">
        <f>_xlfn.XLOOKUP(RW_DT_PRODUCTION[[#This Row],[MATERIAL_ID]],DIM_MATERIAL[MATERIAL_ID],DIM_MATERIAL[UOM_AFTER_PROCESS])</f>
        <v>BALE</v>
      </c>
      <c r="E2439">
        <v>85</v>
      </c>
    </row>
    <row r="2440" spans="1:5" x14ac:dyDescent="0.2">
      <c r="A2440" s="3">
        <v>45981</v>
      </c>
      <c r="B2440" t="s">
        <v>1</v>
      </c>
      <c r="C2440">
        <v>1</v>
      </c>
      <c r="D2440" t="str">
        <f>_xlfn.XLOOKUP(RW_DT_PRODUCTION[[#This Row],[MATERIAL_ID]],DIM_MATERIAL[MATERIAL_ID],DIM_MATERIAL[UOM_AFTER_PROCESS])</f>
        <v>BALE</v>
      </c>
      <c r="E2440">
        <v>71</v>
      </c>
    </row>
    <row r="2441" spans="1:5" x14ac:dyDescent="0.2">
      <c r="A2441" s="3">
        <v>45981</v>
      </c>
      <c r="B2441" t="s">
        <v>1</v>
      </c>
      <c r="C2441">
        <v>1</v>
      </c>
      <c r="D2441" t="str">
        <f>_xlfn.XLOOKUP(RW_DT_PRODUCTION[[#This Row],[MATERIAL_ID]],DIM_MATERIAL[MATERIAL_ID],DIM_MATERIAL[UOM_AFTER_PROCESS])</f>
        <v>BALE</v>
      </c>
      <c r="E2441">
        <v>62</v>
      </c>
    </row>
    <row r="2442" spans="1:5" x14ac:dyDescent="0.2">
      <c r="A2442" s="3">
        <v>45981</v>
      </c>
      <c r="B2442" t="s">
        <v>1</v>
      </c>
      <c r="C2442">
        <v>1</v>
      </c>
      <c r="D2442" t="str">
        <f>_xlfn.XLOOKUP(RW_DT_PRODUCTION[[#This Row],[MATERIAL_ID]],DIM_MATERIAL[MATERIAL_ID],DIM_MATERIAL[UOM_AFTER_PROCESS])</f>
        <v>BALE</v>
      </c>
      <c r="E2442">
        <v>60</v>
      </c>
    </row>
    <row r="2443" spans="1:5" x14ac:dyDescent="0.2">
      <c r="A2443" s="3">
        <v>45981</v>
      </c>
      <c r="B2443" t="s">
        <v>1</v>
      </c>
      <c r="C2443">
        <v>1</v>
      </c>
      <c r="D2443" t="str">
        <f>_xlfn.XLOOKUP(RW_DT_PRODUCTION[[#This Row],[MATERIAL_ID]],DIM_MATERIAL[MATERIAL_ID],DIM_MATERIAL[UOM_AFTER_PROCESS])</f>
        <v>BALE</v>
      </c>
      <c r="E2443">
        <v>84</v>
      </c>
    </row>
    <row r="2444" spans="1:5" x14ac:dyDescent="0.2">
      <c r="A2444" s="3">
        <v>45981</v>
      </c>
      <c r="B2444" t="s">
        <v>1</v>
      </c>
      <c r="C2444">
        <v>1</v>
      </c>
      <c r="D2444" t="str">
        <f>_xlfn.XLOOKUP(RW_DT_PRODUCTION[[#This Row],[MATERIAL_ID]],DIM_MATERIAL[MATERIAL_ID],DIM_MATERIAL[UOM_AFTER_PROCESS])</f>
        <v>BALE</v>
      </c>
      <c r="E2444">
        <v>87</v>
      </c>
    </row>
    <row r="2445" spans="1:5" x14ac:dyDescent="0.2">
      <c r="A2445" s="3">
        <v>45982</v>
      </c>
      <c r="B2445" t="s">
        <v>1</v>
      </c>
      <c r="C2445">
        <v>1</v>
      </c>
      <c r="D2445" t="str">
        <f>_xlfn.XLOOKUP(RW_DT_PRODUCTION[[#This Row],[MATERIAL_ID]],DIM_MATERIAL[MATERIAL_ID],DIM_MATERIAL[UOM_AFTER_PROCESS])</f>
        <v>BALE</v>
      </c>
      <c r="E2445">
        <v>84</v>
      </c>
    </row>
    <row r="2446" spans="1:5" x14ac:dyDescent="0.2">
      <c r="A2446" s="3">
        <v>45982</v>
      </c>
      <c r="B2446" t="s">
        <v>1</v>
      </c>
      <c r="C2446">
        <v>1</v>
      </c>
      <c r="D2446" t="str">
        <f>_xlfn.XLOOKUP(RW_DT_PRODUCTION[[#This Row],[MATERIAL_ID]],DIM_MATERIAL[MATERIAL_ID],DIM_MATERIAL[UOM_AFTER_PROCESS])</f>
        <v>BALE</v>
      </c>
      <c r="E2446">
        <v>72</v>
      </c>
    </row>
    <row r="2447" spans="1:5" x14ac:dyDescent="0.2">
      <c r="A2447" s="3">
        <v>45985</v>
      </c>
      <c r="B2447" t="s">
        <v>1</v>
      </c>
      <c r="C2447">
        <v>1</v>
      </c>
      <c r="D2447" t="str">
        <f>_xlfn.XLOOKUP(RW_DT_PRODUCTION[[#This Row],[MATERIAL_ID]],DIM_MATERIAL[MATERIAL_ID],DIM_MATERIAL[UOM_AFTER_PROCESS])</f>
        <v>BALE</v>
      </c>
      <c r="E2447">
        <v>73</v>
      </c>
    </row>
    <row r="2448" spans="1:5" x14ac:dyDescent="0.2">
      <c r="A2448" s="3">
        <v>45985</v>
      </c>
      <c r="B2448" t="s">
        <v>1</v>
      </c>
      <c r="C2448">
        <v>1</v>
      </c>
      <c r="D2448" t="str">
        <f>_xlfn.XLOOKUP(RW_DT_PRODUCTION[[#This Row],[MATERIAL_ID]],DIM_MATERIAL[MATERIAL_ID],DIM_MATERIAL[UOM_AFTER_PROCESS])</f>
        <v>BALE</v>
      </c>
      <c r="E2448">
        <v>75</v>
      </c>
    </row>
    <row r="2449" spans="1:5" x14ac:dyDescent="0.2">
      <c r="A2449" s="3">
        <v>45985</v>
      </c>
      <c r="B2449" t="s">
        <v>1</v>
      </c>
      <c r="C2449">
        <v>1</v>
      </c>
      <c r="D2449" t="str">
        <f>_xlfn.XLOOKUP(RW_DT_PRODUCTION[[#This Row],[MATERIAL_ID]],DIM_MATERIAL[MATERIAL_ID],DIM_MATERIAL[UOM_AFTER_PROCESS])</f>
        <v>BALE</v>
      </c>
      <c r="E2449">
        <v>79</v>
      </c>
    </row>
    <row r="2450" spans="1:5" x14ac:dyDescent="0.2">
      <c r="A2450" s="3">
        <v>45985</v>
      </c>
      <c r="B2450" t="s">
        <v>1</v>
      </c>
      <c r="C2450">
        <v>1</v>
      </c>
      <c r="D2450" t="str">
        <f>_xlfn.XLOOKUP(RW_DT_PRODUCTION[[#This Row],[MATERIAL_ID]],DIM_MATERIAL[MATERIAL_ID],DIM_MATERIAL[UOM_AFTER_PROCESS])</f>
        <v>BALE</v>
      </c>
      <c r="E2450">
        <v>61</v>
      </c>
    </row>
    <row r="2451" spans="1:5" x14ac:dyDescent="0.2">
      <c r="A2451" s="3">
        <v>45985</v>
      </c>
      <c r="B2451" t="s">
        <v>1</v>
      </c>
      <c r="C2451">
        <v>1</v>
      </c>
      <c r="D2451" t="str">
        <f>_xlfn.XLOOKUP(RW_DT_PRODUCTION[[#This Row],[MATERIAL_ID]],DIM_MATERIAL[MATERIAL_ID],DIM_MATERIAL[UOM_AFTER_PROCESS])</f>
        <v>BALE</v>
      </c>
      <c r="E2451">
        <v>77</v>
      </c>
    </row>
    <row r="2452" spans="1:5" x14ac:dyDescent="0.2">
      <c r="A2452" s="3">
        <v>45985</v>
      </c>
      <c r="B2452" t="s">
        <v>1</v>
      </c>
      <c r="C2452">
        <v>1</v>
      </c>
      <c r="D2452" t="str">
        <f>_xlfn.XLOOKUP(RW_DT_PRODUCTION[[#This Row],[MATERIAL_ID]],DIM_MATERIAL[MATERIAL_ID],DIM_MATERIAL[UOM_AFTER_PROCESS])</f>
        <v>BALE</v>
      </c>
      <c r="E2452">
        <v>60</v>
      </c>
    </row>
    <row r="2453" spans="1:5" x14ac:dyDescent="0.2">
      <c r="A2453" s="3">
        <v>45985</v>
      </c>
      <c r="B2453" t="s">
        <v>1</v>
      </c>
      <c r="C2453">
        <v>1</v>
      </c>
      <c r="D2453" t="str">
        <f>_xlfn.XLOOKUP(RW_DT_PRODUCTION[[#This Row],[MATERIAL_ID]],DIM_MATERIAL[MATERIAL_ID],DIM_MATERIAL[UOM_AFTER_PROCESS])</f>
        <v>BALE</v>
      </c>
      <c r="E2453">
        <v>79</v>
      </c>
    </row>
    <row r="2454" spans="1:5" x14ac:dyDescent="0.2">
      <c r="A2454" s="3">
        <v>45986</v>
      </c>
      <c r="B2454" t="s">
        <v>1</v>
      </c>
      <c r="C2454">
        <v>1</v>
      </c>
      <c r="D2454" t="str">
        <f>_xlfn.XLOOKUP(RW_DT_PRODUCTION[[#This Row],[MATERIAL_ID]],DIM_MATERIAL[MATERIAL_ID],DIM_MATERIAL[UOM_AFTER_PROCESS])</f>
        <v>BALE</v>
      </c>
      <c r="E2454">
        <v>68</v>
      </c>
    </row>
    <row r="2455" spans="1:5" x14ac:dyDescent="0.2">
      <c r="A2455" s="3">
        <v>45986</v>
      </c>
      <c r="B2455" t="s">
        <v>1</v>
      </c>
      <c r="C2455">
        <v>1</v>
      </c>
      <c r="D2455" t="str">
        <f>_xlfn.XLOOKUP(RW_DT_PRODUCTION[[#This Row],[MATERIAL_ID]],DIM_MATERIAL[MATERIAL_ID],DIM_MATERIAL[UOM_AFTER_PROCESS])</f>
        <v>BALE</v>
      </c>
      <c r="E2455">
        <v>72</v>
      </c>
    </row>
    <row r="2456" spans="1:5" x14ac:dyDescent="0.2">
      <c r="A2456" s="3">
        <v>45986</v>
      </c>
      <c r="B2456" t="s">
        <v>1</v>
      </c>
      <c r="C2456">
        <v>1</v>
      </c>
      <c r="D2456" t="str">
        <f>_xlfn.XLOOKUP(RW_DT_PRODUCTION[[#This Row],[MATERIAL_ID]],DIM_MATERIAL[MATERIAL_ID],DIM_MATERIAL[UOM_AFTER_PROCESS])</f>
        <v>BALE</v>
      </c>
      <c r="E2456">
        <v>72</v>
      </c>
    </row>
    <row r="2457" spans="1:5" x14ac:dyDescent="0.2">
      <c r="A2457" s="3">
        <v>45986</v>
      </c>
      <c r="B2457" t="s">
        <v>1</v>
      </c>
      <c r="C2457">
        <v>1</v>
      </c>
      <c r="D2457" t="str">
        <f>_xlfn.XLOOKUP(RW_DT_PRODUCTION[[#This Row],[MATERIAL_ID]],DIM_MATERIAL[MATERIAL_ID],DIM_MATERIAL[UOM_AFTER_PROCESS])</f>
        <v>BALE</v>
      </c>
      <c r="E2457">
        <v>78</v>
      </c>
    </row>
    <row r="2458" spans="1:5" x14ac:dyDescent="0.2">
      <c r="A2458" s="3">
        <v>45986</v>
      </c>
      <c r="B2458" t="s">
        <v>1</v>
      </c>
      <c r="C2458">
        <v>1</v>
      </c>
      <c r="D2458" t="str">
        <f>_xlfn.XLOOKUP(RW_DT_PRODUCTION[[#This Row],[MATERIAL_ID]],DIM_MATERIAL[MATERIAL_ID],DIM_MATERIAL[UOM_AFTER_PROCESS])</f>
        <v>BALE</v>
      </c>
      <c r="E2458">
        <v>63</v>
      </c>
    </row>
    <row r="2459" spans="1:5" x14ac:dyDescent="0.2">
      <c r="A2459" s="3">
        <v>45986</v>
      </c>
      <c r="B2459" t="s">
        <v>1</v>
      </c>
      <c r="C2459">
        <v>1</v>
      </c>
      <c r="D2459" t="str">
        <f>_xlfn.XLOOKUP(RW_DT_PRODUCTION[[#This Row],[MATERIAL_ID]],DIM_MATERIAL[MATERIAL_ID],DIM_MATERIAL[UOM_AFTER_PROCESS])</f>
        <v>BALE</v>
      </c>
      <c r="E2459">
        <v>66</v>
      </c>
    </row>
    <row r="2460" spans="1:5" x14ac:dyDescent="0.2">
      <c r="A2460" s="3">
        <v>45986</v>
      </c>
      <c r="B2460" t="s">
        <v>1</v>
      </c>
      <c r="C2460">
        <v>1</v>
      </c>
      <c r="D2460" t="str">
        <f>_xlfn.XLOOKUP(RW_DT_PRODUCTION[[#This Row],[MATERIAL_ID]],DIM_MATERIAL[MATERIAL_ID],DIM_MATERIAL[UOM_AFTER_PROCESS])</f>
        <v>BALE</v>
      </c>
      <c r="E2460">
        <v>83</v>
      </c>
    </row>
    <row r="2461" spans="1:5" x14ac:dyDescent="0.2">
      <c r="A2461" s="3">
        <v>45986</v>
      </c>
      <c r="B2461" t="s">
        <v>1</v>
      </c>
      <c r="C2461">
        <v>1</v>
      </c>
      <c r="D2461" t="str">
        <f>_xlfn.XLOOKUP(RW_DT_PRODUCTION[[#This Row],[MATERIAL_ID]],DIM_MATERIAL[MATERIAL_ID],DIM_MATERIAL[UOM_AFTER_PROCESS])</f>
        <v>BALE</v>
      </c>
      <c r="E2461">
        <v>82</v>
      </c>
    </row>
    <row r="2462" spans="1:5" x14ac:dyDescent="0.2">
      <c r="A2462" s="3">
        <v>45986</v>
      </c>
      <c r="B2462" t="s">
        <v>1</v>
      </c>
      <c r="C2462">
        <v>1</v>
      </c>
      <c r="D2462" t="str">
        <f>_xlfn.XLOOKUP(RW_DT_PRODUCTION[[#This Row],[MATERIAL_ID]],DIM_MATERIAL[MATERIAL_ID],DIM_MATERIAL[UOM_AFTER_PROCESS])</f>
        <v>BALE</v>
      </c>
      <c r="E2462">
        <v>70</v>
      </c>
    </row>
    <row r="2463" spans="1:5" x14ac:dyDescent="0.2">
      <c r="A2463" s="3">
        <v>45986</v>
      </c>
      <c r="B2463" t="s">
        <v>1</v>
      </c>
      <c r="C2463">
        <v>1</v>
      </c>
      <c r="D2463" t="str">
        <f>_xlfn.XLOOKUP(RW_DT_PRODUCTION[[#This Row],[MATERIAL_ID]],DIM_MATERIAL[MATERIAL_ID],DIM_MATERIAL[UOM_AFTER_PROCESS])</f>
        <v>BALE</v>
      </c>
      <c r="E2463">
        <v>73</v>
      </c>
    </row>
    <row r="2464" spans="1:5" x14ac:dyDescent="0.2">
      <c r="A2464" s="3">
        <v>45987</v>
      </c>
      <c r="B2464" t="s">
        <v>1</v>
      </c>
      <c r="C2464">
        <v>1</v>
      </c>
      <c r="D2464" t="str">
        <f>_xlfn.XLOOKUP(RW_DT_PRODUCTION[[#This Row],[MATERIAL_ID]],DIM_MATERIAL[MATERIAL_ID],DIM_MATERIAL[UOM_AFTER_PROCESS])</f>
        <v>BALE</v>
      </c>
      <c r="E2464">
        <v>65</v>
      </c>
    </row>
    <row r="2465" spans="1:5" x14ac:dyDescent="0.2">
      <c r="A2465" s="3">
        <v>45987</v>
      </c>
      <c r="B2465" t="s">
        <v>1</v>
      </c>
      <c r="C2465">
        <v>1</v>
      </c>
      <c r="D2465" t="str">
        <f>_xlfn.XLOOKUP(RW_DT_PRODUCTION[[#This Row],[MATERIAL_ID]],DIM_MATERIAL[MATERIAL_ID],DIM_MATERIAL[UOM_AFTER_PROCESS])</f>
        <v>BALE</v>
      </c>
      <c r="E2465">
        <v>69</v>
      </c>
    </row>
    <row r="2466" spans="1:5" x14ac:dyDescent="0.2">
      <c r="A2466" s="3">
        <v>45987</v>
      </c>
      <c r="B2466" t="s">
        <v>1</v>
      </c>
      <c r="C2466">
        <v>1</v>
      </c>
      <c r="D2466" t="str">
        <f>_xlfn.XLOOKUP(RW_DT_PRODUCTION[[#This Row],[MATERIAL_ID]],DIM_MATERIAL[MATERIAL_ID],DIM_MATERIAL[UOM_AFTER_PROCESS])</f>
        <v>BALE</v>
      </c>
      <c r="E2466">
        <v>63</v>
      </c>
    </row>
    <row r="2467" spans="1:5" x14ac:dyDescent="0.2">
      <c r="A2467" s="3">
        <v>45987</v>
      </c>
      <c r="B2467" t="s">
        <v>1</v>
      </c>
      <c r="C2467">
        <v>1</v>
      </c>
      <c r="D2467" t="str">
        <f>_xlfn.XLOOKUP(RW_DT_PRODUCTION[[#This Row],[MATERIAL_ID]],DIM_MATERIAL[MATERIAL_ID],DIM_MATERIAL[UOM_AFTER_PROCESS])</f>
        <v>BALE</v>
      </c>
      <c r="E2467">
        <v>64</v>
      </c>
    </row>
    <row r="2468" spans="1:5" x14ac:dyDescent="0.2">
      <c r="A2468" s="3">
        <v>45987</v>
      </c>
      <c r="B2468" t="s">
        <v>1</v>
      </c>
      <c r="C2468">
        <v>1</v>
      </c>
      <c r="D2468" t="str">
        <f>_xlfn.XLOOKUP(RW_DT_PRODUCTION[[#This Row],[MATERIAL_ID]],DIM_MATERIAL[MATERIAL_ID],DIM_MATERIAL[UOM_AFTER_PROCESS])</f>
        <v>BALE</v>
      </c>
      <c r="E2468">
        <v>72</v>
      </c>
    </row>
    <row r="2469" spans="1:5" x14ac:dyDescent="0.2">
      <c r="A2469" s="3">
        <v>45987</v>
      </c>
      <c r="B2469" t="s">
        <v>1</v>
      </c>
      <c r="C2469">
        <v>1</v>
      </c>
      <c r="D2469" t="str">
        <f>_xlfn.XLOOKUP(RW_DT_PRODUCTION[[#This Row],[MATERIAL_ID]],DIM_MATERIAL[MATERIAL_ID],DIM_MATERIAL[UOM_AFTER_PROCESS])</f>
        <v>BALE</v>
      </c>
      <c r="E2469">
        <v>70</v>
      </c>
    </row>
    <row r="2470" spans="1:5" x14ac:dyDescent="0.2">
      <c r="A2470" s="3">
        <v>45987</v>
      </c>
      <c r="B2470" t="s">
        <v>1</v>
      </c>
      <c r="C2470">
        <v>1</v>
      </c>
      <c r="D2470" t="str">
        <f>_xlfn.XLOOKUP(RW_DT_PRODUCTION[[#This Row],[MATERIAL_ID]],DIM_MATERIAL[MATERIAL_ID],DIM_MATERIAL[UOM_AFTER_PROCESS])</f>
        <v>BALE</v>
      </c>
      <c r="E2470">
        <v>89</v>
      </c>
    </row>
    <row r="2471" spans="1:5" x14ac:dyDescent="0.2">
      <c r="A2471" s="3">
        <v>45987</v>
      </c>
      <c r="B2471" t="s">
        <v>1</v>
      </c>
      <c r="C2471">
        <v>1</v>
      </c>
      <c r="D2471" t="str">
        <f>_xlfn.XLOOKUP(RW_DT_PRODUCTION[[#This Row],[MATERIAL_ID]],DIM_MATERIAL[MATERIAL_ID],DIM_MATERIAL[UOM_AFTER_PROCESS])</f>
        <v>BALE</v>
      </c>
      <c r="E2471">
        <v>85</v>
      </c>
    </row>
    <row r="2472" spans="1:5" x14ac:dyDescent="0.2">
      <c r="A2472" s="3">
        <v>45987</v>
      </c>
      <c r="B2472" t="s">
        <v>1</v>
      </c>
      <c r="C2472">
        <v>1</v>
      </c>
      <c r="D2472" t="str">
        <f>_xlfn.XLOOKUP(RW_DT_PRODUCTION[[#This Row],[MATERIAL_ID]],DIM_MATERIAL[MATERIAL_ID],DIM_MATERIAL[UOM_AFTER_PROCESS])</f>
        <v>BALE</v>
      </c>
      <c r="E2472">
        <v>66</v>
      </c>
    </row>
    <row r="2473" spans="1:5" x14ac:dyDescent="0.2">
      <c r="A2473" s="3">
        <v>45988</v>
      </c>
      <c r="B2473" t="s">
        <v>1</v>
      </c>
      <c r="C2473">
        <v>1</v>
      </c>
      <c r="D2473" t="str">
        <f>_xlfn.XLOOKUP(RW_DT_PRODUCTION[[#This Row],[MATERIAL_ID]],DIM_MATERIAL[MATERIAL_ID],DIM_MATERIAL[UOM_AFTER_PROCESS])</f>
        <v>BALE</v>
      </c>
      <c r="E2473">
        <v>76</v>
      </c>
    </row>
    <row r="2474" spans="1:5" x14ac:dyDescent="0.2">
      <c r="A2474" s="3">
        <v>45988</v>
      </c>
      <c r="B2474" t="s">
        <v>1</v>
      </c>
      <c r="C2474">
        <v>1</v>
      </c>
      <c r="D2474" t="str">
        <f>_xlfn.XLOOKUP(RW_DT_PRODUCTION[[#This Row],[MATERIAL_ID]],DIM_MATERIAL[MATERIAL_ID],DIM_MATERIAL[UOM_AFTER_PROCESS])</f>
        <v>BALE</v>
      </c>
      <c r="E2474">
        <v>63</v>
      </c>
    </row>
    <row r="2475" spans="1:5" x14ac:dyDescent="0.2">
      <c r="A2475" s="3">
        <v>45988</v>
      </c>
      <c r="B2475" t="s">
        <v>1</v>
      </c>
      <c r="C2475">
        <v>1</v>
      </c>
      <c r="D2475" t="str">
        <f>_xlfn.XLOOKUP(RW_DT_PRODUCTION[[#This Row],[MATERIAL_ID]],DIM_MATERIAL[MATERIAL_ID],DIM_MATERIAL[UOM_AFTER_PROCESS])</f>
        <v>BALE</v>
      </c>
      <c r="E2475">
        <v>80</v>
      </c>
    </row>
    <row r="2476" spans="1:5" x14ac:dyDescent="0.2">
      <c r="A2476" s="3">
        <v>45988</v>
      </c>
      <c r="B2476" t="s">
        <v>1</v>
      </c>
      <c r="C2476">
        <v>1</v>
      </c>
      <c r="D2476" t="str">
        <f>_xlfn.XLOOKUP(RW_DT_PRODUCTION[[#This Row],[MATERIAL_ID]],DIM_MATERIAL[MATERIAL_ID],DIM_MATERIAL[UOM_AFTER_PROCESS])</f>
        <v>BALE</v>
      </c>
      <c r="E2476">
        <v>76</v>
      </c>
    </row>
    <row r="2477" spans="1:5" x14ac:dyDescent="0.2">
      <c r="A2477" s="3">
        <v>45988</v>
      </c>
      <c r="B2477" t="s">
        <v>1</v>
      </c>
      <c r="C2477">
        <v>1</v>
      </c>
      <c r="D2477" t="str">
        <f>_xlfn.XLOOKUP(RW_DT_PRODUCTION[[#This Row],[MATERIAL_ID]],DIM_MATERIAL[MATERIAL_ID],DIM_MATERIAL[UOM_AFTER_PROCESS])</f>
        <v>BALE</v>
      </c>
      <c r="E2477">
        <v>72</v>
      </c>
    </row>
    <row r="2478" spans="1:5" x14ac:dyDescent="0.2">
      <c r="A2478" s="3">
        <v>45988</v>
      </c>
      <c r="B2478" t="s">
        <v>1</v>
      </c>
      <c r="C2478">
        <v>1</v>
      </c>
      <c r="D2478" t="str">
        <f>_xlfn.XLOOKUP(RW_DT_PRODUCTION[[#This Row],[MATERIAL_ID]],DIM_MATERIAL[MATERIAL_ID],DIM_MATERIAL[UOM_AFTER_PROCESS])</f>
        <v>BALE</v>
      </c>
      <c r="E2478">
        <v>72</v>
      </c>
    </row>
    <row r="2479" spans="1:5" x14ac:dyDescent="0.2">
      <c r="A2479" s="3">
        <v>45988</v>
      </c>
      <c r="B2479" t="s">
        <v>1</v>
      </c>
      <c r="C2479">
        <v>1</v>
      </c>
      <c r="D2479" t="str">
        <f>_xlfn.XLOOKUP(RW_DT_PRODUCTION[[#This Row],[MATERIAL_ID]],DIM_MATERIAL[MATERIAL_ID],DIM_MATERIAL[UOM_AFTER_PROCESS])</f>
        <v>BALE</v>
      </c>
      <c r="E2479">
        <v>69</v>
      </c>
    </row>
    <row r="2480" spans="1:5" x14ac:dyDescent="0.2">
      <c r="A2480" s="3">
        <v>45988</v>
      </c>
      <c r="B2480" t="s">
        <v>1</v>
      </c>
      <c r="C2480">
        <v>1</v>
      </c>
      <c r="D2480" t="str">
        <f>_xlfn.XLOOKUP(RW_DT_PRODUCTION[[#This Row],[MATERIAL_ID]],DIM_MATERIAL[MATERIAL_ID],DIM_MATERIAL[UOM_AFTER_PROCESS])</f>
        <v>BALE</v>
      </c>
      <c r="E2480">
        <v>79</v>
      </c>
    </row>
    <row r="2481" spans="1:5" x14ac:dyDescent="0.2">
      <c r="A2481" s="3">
        <v>45989</v>
      </c>
      <c r="B2481" t="s">
        <v>1</v>
      </c>
      <c r="C2481">
        <v>1</v>
      </c>
      <c r="D2481" t="str">
        <f>_xlfn.XLOOKUP(RW_DT_PRODUCTION[[#This Row],[MATERIAL_ID]],DIM_MATERIAL[MATERIAL_ID],DIM_MATERIAL[UOM_AFTER_PROCESS])</f>
        <v>BALE</v>
      </c>
      <c r="E2481">
        <v>66</v>
      </c>
    </row>
    <row r="2482" spans="1:5" x14ac:dyDescent="0.2">
      <c r="A2482" s="3">
        <v>45989</v>
      </c>
      <c r="B2482" t="s">
        <v>1</v>
      </c>
      <c r="C2482">
        <v>1</v>
      </c>
      <c r="D2482" t="str">
        <f>_xlfn.XLOOKUP(RW_DT_PRODUCTION[[#This Row],[MATERIAL_ID]],DIM_MATERIAL[MATERIAL_ID],DIM_MATERIAL[UOM_AFTER_PROCESS])</f>
        <v>BALE</v>
      </c>
      <c r="E2482">
        <v>78</v>
      </c>
    </row>
    <row r="2483" spans="1:5" x14ac:dyDescent="0.2">
      <c r="A2483" s="3">
        <v>45989</v>
      </c>
      <c r="B2483" t="s">
        <v>1</v>
      </c>
      <c r="C2483">
        <v>1</v>
      </c>
      <c r="D2483" t="str">
        <f>_xlfn.XLOOKUP(RW_DT_PRODUCTION[[#This Row],[MATERIAL_ID]],DIM_MATERIAL[MATERIAL_ID],DIM_MATERIAL[UOM_AFTER_PROCESS])</f>
        <v>BALE</v>
      </c>
      <c r="E2483">
        <v>71</v>
      </c>
    </row>
    <row r="2484" spans="1:5" x14ac:dyDescent="0.2">
      <c r="A2484" s="3">
        <v>45989</v>
      </c>
      <c r="B2484" t="s">
        <v>1</v>
      </c>
      <c r="C2484">
        <v>1</v>
      </c>
      <c r="D2484" t="str">
        <f>_xlfn.XLOOKUP(RW_DT_PRODUCTION[[#This Row],[MATERIAL_ID]],DIM_MATERIAL[MATERIAL_ID],DIM_MATERIAL[UOM_AFTER_PROCESS])</f>
        <v>BALE</v>
      </c>
      <c r="E2484">
        <v>77</v>
      </c>
    </row>
    <row r="2485" spans="1:5" x14ac:dyDescent="0.2">
      <c r="A2485" s="3">
        <v>45989</v>
      </c>
      <c r="B2485" t="s">
        <v>1</v>
      </c>
      <c r="C2485">
        <v>1</v>
      </c>
      <c r="D2485" t="str">
        <f>_xlfn.XLOOKUP(RW_DT_PRODUCTION[[#This Row],[MATERIAL_ID]],DIM_MATERIAL[MATERIAL_ID],DIM_MATERIAL[UOM_AFTER_PROCESS])</f>
        <v>BALE</v>
      </c>
      <c r="E2485">
        <v>81</v>
      </c>
    </row>
    <row r="2486" spans="1:5" x14ac:dyDescent="0.2">
      <c r="A2486" s="3">
        <v>45989</v>
      </c>
      <c r="B2486" t="s">
        <v>1</v>
      </c>
      <c r="C2486">
        <v>1</v>
      </c>
      <c r="D2486" t="str">
        <f>_xlfn.XLOOKUP(RW_DT_PRODUCTION[[#This Row],[MATERIAL_ID]],DIM_MATERIAL[MATERIAL_ID],DIM_MATERIAL[UOM_AFTER_PROCESS])</f>
        <v>BALE</v>
      </c>
      <c r="E2486">
        <v>85</v>
      </c>
    </row>
    <row r="2487" spans="1:5" x14ac:dyDescent="0.2">
      <c r="A2487" s="3">
        <v>45989</v>
      </c>
      <c r="B2487" t="s">
        <v>1</v>
      </c>
      <c r="C2487">
        <v>1</v>
      </c>
      <c r="D2487" t="str">
        <f>_xlfn.XLOOKUP(RW_DT_PRODUCTION[[#This Row],[MATERIAL_ID]],DIM_MATERIAL[MATERIAL_ID],DIM_MATERIAL[UOM_AFTER_PROCESS])</f>
        <v>BALE</v>
      </c>
      <c r="E2487">
        <v>79</v>
      </c>
    </row>
    <row r="2488" spans="1:5" x14ac:dyDescent="0.2">
      <c r="A2488" s="3">
        <v>45989</v>
      </c>
      <c r="B2488" t="s">
        <v>1</v>
      </c>
      <c r="C2488">
        <v>1</v>
      </c>
      <c r="D2488" t="str">
        <f>_xlfn.XLOOKUP(RW_DT_PRODUCTION[[#This Row],[MATERIAL_ID]],DIM_MATERIAL[MATERIAL_ID],DIM_MATERIAL[UOM_AFTER_PROCESS])</f>
        <v>BALE</v>
      </c>
      <c r="E2488">
        <v>79</v>
      </c>
    </row>
    <row r="2489" spans="1:5" x14ac:dyDescent="0.2">
      <c r="A2489" s="3">
        <v>45990</v>
      </c>
      <c r="B2489" t="s">
        <v>1</v>
      </c>
      <c r="C2489">
        <v>1</v>
      </c>
      <c r="D2489" t="str">
        <f>_xlfn.XLOOKUP(RW_DT_PRODUCTION[[#This Row],[MATERIAL_ID]],DIM_MATERIAL[MATERIAL_ID],DIM_MATERIAL[UOM_AFTER_PROCESS])</f>
        <v>BALE</v>
      </c>
      <c r="E2489">
        <v>67</v>
      </c>
    </row>
    <row r="2490" spans="1:5" x14ac:dyDescent="0.2">
      <c r="A2490" s="3">
        <v>45990</v>
      </c>
      <c r="B2490" t="s">
        <v>1</v>
      </c>
      <c r="C2490">
        <v>1</v>
      </c>
      <c r="D2490" t="str">
        <f>_xlfn.XLOOKUP(RW_DT_PRODUCTION[[#This Row],[MATERIAL_ID]],DIM_MATERIAL[MATERIAL_ID],DIM_MATERIAL[UOM_AFTER_PROCESS])</f>
        <v>BALE</v>
      </c>
      <c r="E2490">
        <v>72</v>
      </c>
    </row>
    <row r="2491" spans="1:5" x14ac:dyDescent="0.2">
      <c r="A2491" s="3">
        <v>45990</v>
      </c>
      <c r="B2491" t="s">
        <v>1</v>
      </c>
      <c r="C2491">
        <v>1</v>
      </c>
      <c r="D2491" t="str">
        <f>_xlfn.XLOOKUP(RW_DT_PRODUCTION[[#This Row],[MATERIAL_ID]],DIM_MATERIAL[MATERIAL_ID],DIM_MATERIAL[UOM_AFTER_PROCESS])</f>
        <v>BALE</v>
      </c>
      <c r="E2491">
        <v>68</v>
      </c>
    </row>
    <row r="2492" spans="1:5" x14ac:dyDescent="0.2">
      <c r="A2492" s="3">
        <v>45990</v>
      </c>
      <c r="B2492" t="s">
        <v>1</v>
      </c>
      <c r="C2492">
        <v>1</v>
      </c>
      <c r="D2492" t="str">
        <f>_xlfn.XLOOKUP(RW_DT_PRODUCTION[[#This Row],[MATERIAL_ID]],DIM_MATERIAL[MATERIAL_ID],DIM_MATERIAL[UOM_AFTER_PROCESS])</f>
        <v>BALE</v>
      </c>
      <c r="E2492">
        <v>74</v>
      </c>
    </row>
    <row r="2493" spans="1:5" x14ac:dyDescent="0.2">
      <c r="A2493" s="3">
        <v>45990</v>
      </c>
      <c r="B2493" t="s">
        <v>1</v>
      </c>
      <c r="C2493">
        <v>1</v>
      </c>
      <c r="D2493" t="str">
        <f>_xlfn.XLOOKUP(RW_DT_PRODUCTION[[#This Row],[MATERIAL_ID]],DIM_MATERIAL[MATERIAL_ID],DIM_MATERIAL[UOM_AFTER_PROCESS])</f>
        <v>BALE</v>
      </c>
      <c r="E2493">
        <v>63</v>
      </c>
    </row>
    <row r="2494" spans="1:5" x14ac:dyDescent="0.2">
      <c r="A2494" s="3">
        <v>45990</v>
      </c>
      <c r="B2494" t="s">
        <v>1</v>
      </c>
      <c r="C2494">
        <v>1</v>
      </c>
      <c r="D2494" t="str">
        <f>_xlfn.XLOOKUP(RW_DT_PRODUCTION[[#This Row],[MATERIAL_ID]],DIM_MATERIAL[MATERIAL_ID],DIM_MATERIAL[UOM_AFTER_PROCESS])</f>
        <v>BALE</v>
      </c>
      <c r="E2494">
        <v>72</v>
      </c>
    </row>
    <row r="2495" spans="1:5" x14ac:dyDescent="0.2">
      <c r="A2495" s="3">
        <v>45990</v>
      </c>
      <c r="B2495" t="s">
        <v>1</v>
      </c>
      <c r="C2495">
        <v>1</v>
      </c>
      <c r="D2495" t="str">
        <f>_xlfn.XLOOKUP(RW_DT_PRODUCTION[[#This Row],[MATERIAL_ID]],DIM_MATERIAL[MATERIAL_ID],DIM_MATERIAL[UOM_AFTER_PROCESS])</f>
        <v>BALE</v>
      </c>
      <c r="E2495">
        <v>62</v>
      </c>
    </row>
    <row r="2496" spans="1:5" x14ac:dyDescent="0.2">
      <c r="A2496" s="3">
        <v>45990</v>
      </c>
      <c r="B2496" t="s">
        <v>1</v>
      </c>
      <c r="C2496">
        <v>1</v>
      </c>
      <c r="D2496" t="str">
        <f>_xlfn.XLOOKUP(RW_DT_PRODUCTION[[#This Row],[MATERIAL_ID]],DIM_MATERIAL[MATERIAL_ID],DIM_MATERIAL[UOM_AFTER_PROCESS])</f>
        <v>BALE</v>
      </c>
      <c r="E2496">
        <v>78</v>
      </c>
    </row>
    <row r="2497" spans="1:5" x14ac:dyDescent="0.2">
      <c r="A2497" s="3">
        <v>45990</v>
      </c>
      <c r="B2497" t="s">
        <v>2</v>
      </c>
      <c r="C2497">
        <v>1</v>
      </c>
      <c r="D2497" t="str">
        <f>_xlfn.XLOOKUP(RW_DT_PRODUCTION[[#This Row],[MATERIAL_ID]],DIM_MATERIAL[MATERIAL_ID],DIM_MATERIAL[UOM_AFTER_PROCESS])</f>
        <v>BAG</v>
      </c>
      <c r="E2497">
        <v>22</v>
      </c>
    </row>
    <row r="2498" spans="1:5" x14ac:dyDescent="0.2">
      <c r="A2498" s="3">
        <v>45990</v>
      </c>
      <c r="B2498" t="s">
        <v>2</v>
      </c>
      <c r="C2498">
        <v>1</v>
      </c>
      <c r="D2498" t="str">
        <f>_xlfn.XLOOKUP(RW_DT_PRODUCTION[[#This Row],[MATERIAL_ID]],DIM_MATERIAL[MATERIAL_ID],DIM_MATERIAL[UOM_AFTER_PROCESS])</f>
        <v>BAG</v>
      </c>
      <c r="E2498">
        <v>22</v>
      </c>
    </row>
    <row r="2499" spans="1:5" x14ac:dyDescent="0.2">
      <c r="A2499" s="3">
        <v>45990</v>
      </c>
      <c r="B2499" t="s">
        <v>2</v>
      </c>
      <c r="C2499">
        <v>1</v>
      </c>
      <c r="D2499" t="str">
        <f>_xlfn.XLOOKUP(RW_DT_PRODUCTION[[#This Row],[MATERIAL_ID]],DIM_MATERIAL[MATERIAL_ID],DIM_MATERIAL[UOM_AFTER_PROCESS])</f>
        <v>BAG</v>
      </c>
      <c r="E2499">
        <v>22</v>
      </c>
    </row>
    <row r="2500" spans="1:5" x14ac:dyDescent="0.2">
      <c r="A2500" s="3">
        <v>45990</v>
      </c>
      <c r="B2500" t="s">
        <v>2</v>
      </c>
      <c r="C2500">
        <v>1</v>
      </c>
      <c r="D2500" t="str">
        <f>_xlfn.XLOOKUP(RW_DT_PRODUCTION[[#This Row],[MATERIAL_ID]],DIM_MATERIAL[MATERIAL_ID],DIM_MATERIAL[UOM_AFTER_PROCESS])</f>
        <v>BAG</v>
      </c>
      <c r="E2500">
        <v>22</v>
      </c>
    </row>
    <row r="2501" spans="1:5" x14ac:dyDescent="0.2">
      <c r="A2501" s="3">
        <v>45992</v>
      </c>
      <c r="B2501" t="s">
        <v>1</v>
      </c>
      <c r="C2501">
        <v>1</v>
      </c>
      <c r="D2501" t="str">
        <f>_xlfn.XLOOKUP(RW_DT_PRODUCTION[[#This Row],[MATERIAL_ID]],DIM_MATERIAL[MATERIAL_ID],DIM_MATERIAL[UOM_AFTER_PROCESS])</f>
        <v>BALE</v>
      </c>
      <c r="E2501">
        <v>73</v>
      </c>
    </row>
    <row r="2502" spans="1:5" x14ac:dyDescent="0.2">
      <c r="A2502" s="3">
        <v>45992</v>
      </c>
      <c r="B2502" t="s">
        <v>1</v>
      </c>
      <c r="C2502">
        <v>1</v>
      </c>
      <c r="D2502" t="str">
        <f>_xlfn.XLOOKUP(RW_DT_PRODUCTION[[#This Row],[MATERIAL_ID]],DIM_MATERIAL[MATERIAL_ID],DIM_MATERIAL[UOM_AFTER_PROCESS])</f>
        <v>BALE</v>
      </c>
      <c r="E2502">
        <v>87</v>
      </c>
    </row>
    <row r="2503" spans="1:5" x14ac:dyDescent="0.2">
      <c r="A2503" s="3">
        <v>45992</v>
      </c>
      <c r="B2503" t="s">
        <v>1</v>
      </c>
      <c r="C2503">
        <v>1</v>
      </c>
      <c r="D2503" t="str">
        <f>_xlfn.XLOOKUP(RW_DT_PRODUCTION[[#This Row],[MATERIAL_ID]],DIM_MATERIAL[MATERIAL_ID],DIM_MATERIAL[UOM_AFTER_PROCESS])</f>
        <v>BALE</v>
      </c>
      <c r="E2503">
        <v>81</v>
      </c>
    </row>
    <row r="2504" spans="1:5" x14ac:dyDescent="0.2">
      <c r="A2504" s="3">
        <v>45992</v>
      </c>
      <c r="B2504" t="s">
        <v>1</v>
      </c>
      <c r="C2504">
        <v>1</v>
      </c>
      <c r="D2504" t="str">
        <f>_xlfn.XLOOKUP(RW_DT_PRODUCTION[[#This Row],[MATERIAL_ID]],DIM_MATERIAL[MATERIAL_ID],DIM_MATERIAL[UOM_AFTER_PROCESS])</f>
        <v>BALE</v>
      </c>
      <c r="E2504">
        <v>85</v>
      </c>
    </row>
    <row r="2505" spans="1:5" x14ac:dyDescent="0.2">
      <c r="A2505" s="3">
        <v>45992</v>
      </c>
      <c r="B2505" t="s">
        <v>1</v>
      </c>
      <c r="C2505">
        <v>1</v>
      </c>
      <c r="D2505" t="str">
        <f>_xlfn.XLOOKUP(RW_DT_PRODUCTION[[#This Row],[MATERIAL_ID]],DIM_MATERIAL[MATERIAL_ID],DIM_MATERIAL[UOM_AFTER_PROCESS])</f>
        <v>BALE</v>
      </c>
      <c r="E2505">
        <v>60</v>
      </c>
    </row>
    <row r="2506" spans="1:5" x14ac:dyDescent="0.2">
      <c r="A2506" s="3">
        <v>45992</v>
      </c>
      <c r="B2506" t="s">
        <v>1</v>
      </c>
      <c r="C2506">
        <v>1</v>
      </c>
      <c r="D2506" t="str">
        <f>_xlfn.XLOOKUP(RW_DT_PRODUCTION[[#This Row],[MATERIAL_ID]],DIM_MATERIAL[MATERIAL_ID],DIM_MATERIAL[UOM_AFTER_PROCESS])</f>
        <v>BALE</v>
      </c>
      <c r="E2506">
        <v>81</v>
      </c>
    </row>
    <row r="2507" spans="1:5" x14ac:dyDescent="0.2">
      <c r="A2507" s="3">
        <v>45992</v>
      </c>
      <c r="B2507" t="s">
        <v>1</v>
      </c>
      <c r="C2507">
        <v>1</v>
      </c>
      <c r="D2507" t="str">
        <f>_xlfn.XLOOKUP(RW_DT_PRODUCTION[[#This Row],[MATERIAL_ID]],DIM_MATERIAL[MATERIAL_ID],DIM_MATERIAL[UOM_AFTER_PROCESS])</f>
        <v>BALE</v>
      </c>
      <c r="E2507">
        <v>72</v>
      </c>
    </row>
    <row r="2508" spans="1:5" x14ac:dyDescent="0.2">
      <c r="A2508" s="3">
        <v>45993</v>
      </c>
      <c r="B2508" t="s">
        <v>1</v>
      </c>
      <c r="C2508">
        <v>1</v>
      </c>
      <c r="D2508" t="str">
        <f>_xlfn.XLOOKUP(RW_DT_PRODUCTION[[#This Row],[MATERIAL_ID]],DIM_MATERIAL[MATERIAL_ID],DIM_MATERIAL[UOM_AFTER_PROCESS])</f>
        <v>BALE</v>
      </c>
      <c r="E2508">
        <v>74</v>
      </c>
    </row>
    <row r="2509" spans="1:5" x14ac:dyDescent="0.2">
      <c r="A2509" s="3">
        <v>45993</v>
      </c>
      <c r="B2509" t="s">
        <v>1</v>
      </c>
      <c r="C2509">
        <v>1</v>
      </c>
      <c r="D2509" t="str">
        <f>_xlfn.XLOOKUP(RW_DT_PRODUCTION[[#This Row],[MATERIAL_ID]],DIM_MATERIAL[MATERIAL_ID],DIM_MATERIAL[UOM_AFTER_PROCESS])</f>
        <v>BALE</v>
      </c>
      <c r="E2509">
        <v>86</v>
      </c>
    </row>
    <row r="2510" spans="1:5" x14ac:dyDescent="0.2">
      <c r="A2510" s="3">
        <v>45993</v>
      </c>
      <c r="B2510" t="s">
        <v>1</v>
      </c>
      <c r="C2510">
        <v>1</v>
      </c>
      <c r="D2510" t="str">
        <f>_xlfn.XLOOKUP(RW_DT_PRODUCTION[[#This Row],[MATERIAL_ID]],DIM_MATERIAL[MATERIAL_ID],DIM_MATERIAL[UOM_AFTER_PROCESS])</f>
        <v>BALE</v>
      </c>
      <c r="E2510">
        <v>81</v>
      </c>
    </row>
    <row r="2511" spans="1:5" x14ac:dyDescent="0.2">
      <c r="A2511" s="3">
        <v>45993</v>
      </c>
      <c r="B2511" t="s">
        <v>1</v>
      </c>
      <c r="C2511">
        <v>1</v>
      </c>
      <c r="D2511" t="str">
        <f>_xlfn.XLOOKUP(RW_DT_PRODUCTION[[#This Row],[MATERIAL_ID]],DIM_MATERIAL[MATERIAL_ID],DIM_MATERIAL[UOM_AFTER_PROCESS])</f>
        <v>BALE</v>
      </c>
      <c r="E2511">
        <v>81</v>
      </c>
    </row>
    <row r="2512" spans="1:5" x14ac:dyDescent="0.2">
      <c r="A2512" s="3">
        <v>45993</v>
      </c>
      <c r="B2512" t="s">
        <v>1</v>
      </c>
      <c r="C2512">
        <v>1</v>
      </c>
      <c r="D2512" t="str">
        <f>_xlfn.XLOOKUP(RW_DT_PRODUCTION[[#This Row],[MATERIAL_ID]],DIM_MATERIAL[MATERIAL_ID],DIM_MATERIAL[UOM_AFTER_PROCESS])</f>
        <v>BALE</v>
      </c>
      <c r="E2512">
        <v>80</v>
      </c>
    </row>
    <row r="2513" spans="1:5" x14ac:dyDescent="0.2">
      <c r="A2513" s="3">
        <v>45993</v>
      </c>
      <c r="B2513" t="s">
        <v>1</v>
      </c>
      <c r="C2513">
        <v>1</v>
      </c>
      <c r="D2513" t="str">
        <f>_xlfn.XLOOKUP(RW_DT_PRODUCTION[[#This Row],[MATERIAL_ID]],DIM_MATERIAL[MATERIAL_ID],DIM_MATERIAL[UOM_AFTER_PROCESS])</f>
        <v>BALE</v>
      </c>
      <c r="E2513">
        <v>87</v>
      </c>
    </row>
    <row r="2514" spans="1:5" x14ac:dyDescent="0.2">
      <c r="A2514" s="3">
        <v>45993</v>
      </c>
      <c r="B2514" t="s">
        <v>1</v>
      </c>
      <c r="C2514">
        <v>1</v>
      </c>
      <c r="D2514" t="str">
        <f>_xlfn.XLOOKUP(RW_DT_PRODUCTION[[#This Row],[MATERIAL_ID]],DIM_MATERIAL[MATERIAL_ID],DIM_MATERIAL[UOM_AFTER_PROCESS])</f>
        <v>BALE</v>
      </c>
      <c r="E2514">
        <v>89</v>
      </c>
    </row>
    <row r="2515" spans="1:5" x14ac:dyDescent="0.2">
      <c r="A2515" s="3">
        <v>45993</v>
      </c>
      <c r="B2515" t="s">
        <v>1</v>
      </c>
      <c r="C2515">
        <v>1</v>
      </c>
      <c r="D2515" t="str">
        <f>_xlfn.XLOOKUP(RW_DT_PRODUCTION[[#This Row],[MATERIAL_ID]],DIM_MATERIAL[MATERIAL_ID],DIM_MATERIAL[UOM_AFTER_PROCESS])</f>
        <v>BALE</v>
      </c>
      <c r="E2515">
        <v>78</v>
      </c>
    </row>
    <row r="2516" spans="1:5" x14ac:dyDescent="0.2">
      <c r="A2516" s="3">
        <v>45993</v>
      </c>
      <c r="B2516" t="s">
        <v>1</v>
      </c>
      <c r="C2516">
        <v>1</v>
      </c>
      <c r="D2516" t="str">
        <f>_xlfn.XLOOKUP(RW_DT_PRODUCTION[[#This Row],[MATERIAL_ID]],DIM_MATERIAL[MATERIAL_ID],DIM_MATERIAL[UOM_AFTER_PROCESS])</f>
        <v>BALE</v>
      </c>
      <c r="E2516">
        <v>83</v>
      </c>
    </row>
    <row r="2517" spans="1:5" x14ac:dyDescent="0.2">
      <c r="A2517" s="3">
        <v>45993</v>
      </c>
      <c r="B2517" t="s">
        <v>2</v>
      </c>
      <c r="C2517">
        <v>1</v>
      </c>
      <c r="D2517" t="str">
        <f>_xlfn.XLOOKUP(RW_DT_PRODUCTION[[#This Row],[MATERIAL_ID]],DIM_MATERIAL[MATERIAL_ID],DIM_MATERIAL[UOM_AFTER_PROCESS])</f>
        <v>BAG</v>
      </c>
      <c r="E2517">
        <v>22</v>
      </c>
    </row>
    <row r="2518" spans="1:5" x14ac:dyDescent="0.2">
      <c r="A2518" s="3">
        <v>45993</v>
      </c>
      <c r="B2518" t="s">
        <v>2</v>
      </c>
      <c r="C2518">
        <v>1</v>
      </c>
      <c r="D2518" t="str">
        <f>_xlfn.XLOOKUP(RW_DT_PRODUCTION[[#This Row],[MATERIAL_ID]],DIM_MATERIAL[MATERIAL_ID],DIM_MATERIAL[UOM_AFTER_PROCESS])</f>
        <v>BAG</v>
      </c>
      <c r="E2518">
        <v>22</v>
      </c>
    </row>
    <row r="2519" spans="1:5" x14ac:dyDescent="0.2">
      <c r="A2519" s="3">
        <v>45993</v>
      </c>
      <c r="B2519" t="s">
        <v>2</v>
      </c>
      <c r="C2519">
        <v>1</v>
      </c>
      <c r="D2519" t="str">
        <f>_xlfn.XLOOKUP(RW_DT_PRODUCTION[[#This Row],[MATERIAL_ID]],DIM_MATERIAL[MATERIAL_ID],DIM_MATERIAL[UOM_AFTER_PROCESS])</f>
        <v>BAG</v>
      </c>
      <c r="E2519">
        <v>22</v>
      </c>
    </row>
    <row r="2520" spans="1:5" x14ac:dyDescent="0.2">
      <c r="A2520" s="3">
        <v>45993</v>
      </c>
      <c r="B2520" t="s">
        <v>2</v>
      </c>
      <c r="C2520">
        <v>1</v>
      </c>
      <c r="D2520" t="str">
        <f>_xlfn.XLOOKUP(RW_DT_PRODUCTION[[#This Row],[MATERIAL_ID]],DIM_MATERIAL[MATERIAL_ID],DIM_MATERIAL[UOM_AFTER_PROCESS])</f>
        <v>BAG</v>
      </c>
      <c r="E2520">
        <v>22</v>
      </c>
    </row>
    <row r="2521" spans="1:5" x14ac:dyDescent="0.2">
      <c r="A2521" s="3">
        <v>45993</v>
      </c>
      <c r="B2521" t="s">
        <v>2</v>
      </c>
      <c r="C2521">
        <v>1</v>
      </c>
      <c r="D2521" t="str">
        <f>_xlfn.XLOOKUP(RW_DT_PRODUCTION[[#This Row],[MATERIAL_ID]],DIM_MATERIAL[MATERIAL_ID],DIM_MATERIAL[UOM_AFTER_PROCESS])</f>
        <v>BAG</v>
      </c>
      <c r="E2521">
        <v>22</v>
      </c>
    </row>
    <row r="2522" spans="1:5" x14ac:dyDescent="0.2">
      <c r="A2522" s="3">
        <v>45993</v>
      </c>
      <c r="B2522" t="s">
        <v>2</v>
      </c>
      <c r="C2522">
        <v>1</v>
      </c>
      <c r="D2522" t="str">
        <f>_xlfn.XLOOKUP(RW_DT_PRODUCTION[[#This Row],[MATERIAL_ID]],DIM_MATERIAL[MATERIAL_ID],DIM_MATERIAL[UOM_AFTER_PROCESS])</f>
        <v>BAG</v>
      </c>
      <c r="E2522">
        <v>22</v>
      </c>
    </row>
    <row r="2523" spans="1:5" x14ac:dyDescent="0.2">
      <c r="A2523" s="3">
        <v>45995</v>
      </c>
      <c r="B2523" t="s">
        <v>1</v>
      </c>
      <c r="C2523">
        <v>1</v>
      </c>
      <c r="D2523" t="str">
        <f>_xlfn.XLOOKUP(RW_DT_PRODUCTION[[#This Row],[MATERIAL_ID]],DIM_MATERIAL[MATERIAL_ID],DIM_MATERIAL[UOM_AFTER_PROCESS])</f>
        <v>BALE</v>
      </c>
      <c r="E2523">
        <v>86</v>
      </c>
    </row>
    <row r="2524" spans="1:5" x14ac:dyDescent="0.2">
      <c r="A2524" s="3">
        <v>45995</v>
      </c>
      <c r="B2524" t="s">
        <v>1</v>
      </c>
      <c r="C2524">
        <v>1</v>
      </c>
      <c r="D2524" t="str">
        <f>_xlfn.XLOOKUP(RW_DT_PRODUCTION[[#This Row],[MATERIAL_ID]],DIM_MATERIAL[MATERIAL_ID],DIM_MATERIAL[UOM_AFTER_PROCESS])</f>
        <v>BALE</v>
      </c>
      <c r="E2524">
        <v>80</v>
      </c>
    </row>
    <row r="2525" spans="1:5" x14ac:dyDescent="0.2">
      <c r="A2525" s="3">
        <v>45995</v>
      </c>
      <c r="B2525" t="s">
        <v>1</v>
      </c>
      <c r="C2525">
        <v>1</v>
      </c>
      <c r="D2525" t="str">
        <f>_xlfn.XLOOKUP(RW_DT_PRODUCTION[[#This Row],[MATERIAL_ID]],DIM_MATERIAL[MATERIAL_ID],DIM_MATERIAL[UOM_AFTER_PROCESS])</f>
        <v>BALE</v>
      </c>
      <c r="E2525">
        <v>66</v>
      </c>
    </row>
    <row r="2526" spans="1:5" x14ac:dyDescent="0.2">
      <c r="A2526" s="3">
        <v>45995</v>
      </c>
      <c r="B2526" t="s">
        <v>1</v>
      </c>
      <c r="C2526">
        <v>1</v>
      </c>
      <c r="D2526" t="str">
        <f>_xlfn.XLOOKUP(RW_DT_PRODUCTION[[#This Row],[MATERIAL_ID]],DIM_MATERIAL[MATERIAL_ID],DIM_MATERIAL[UOM_AFTER_PROCESS])</f>
        <v>BALE</v>
      </c>
      <c r="E2526">
        <v>88</v>
      </c>
    </row>
    <row r="2527" spans="1:5" x14ac:dyDescent="0.2">
      <c r="A2527" s="3">
        <v>45995</v>
      </c>
      <c r="B2527" t="s">
        <v>1</v>
      </c>
      <c r="C2527">
        <v>1</v>
      </c>
      <c r="D2527" t="str">
        <f>_xlfn.XLOOKUP(RW_DT_PRODUCTION[[#This Row],[MATERIAL_ID]],DIM_MATERIAL[MATERIAL_ID],DIM_MATERIAL[UOM_AFTER_PROCESS])</f>
        <v>BALE</v>
      </c>
      <c r="E2527">
        <v>75</v>
      </c>
    </row>
    <row r="2528" spans="1:5" x14ac:dyDescent="0.2">
      <c r="A2528" s="3">
        <v>45995</v>
      </c>
      <c r="B2528" t="s">
        <v>1</v>
      </c>
      <c r="C2528">
        <v>1</v>
      </c>
      <c r="D2528" t="str">
        <f>_xlfn.XLOOKUP(RW_DT_PRODUCTION[[#This Row],[MATERIAL_ID]],DIM_MATERIAL[MATERIAL_ID],DIM_MATERIAL[UOM_AFTER_PROCESS])</f>
        <v>BALE</v>
      </c>
      <c r="E2528">
        <v>87</v>
      </c>
    </row>
    <row r="2529" spans="1:5" x14ac:dyDescent="0.2">
      <c r="A2529" s="3">
        <v>45995</v>
      </c>
      <c r="B2529" t="s">
        <v>1</v>
      </c>
      <c r="C2529">
        <v>1</v>
      </c>
      <c r="D2529" t="str">
        <f>_xlfn.XLOOKUP(RW_DT_PRODUCTION[[#This Row],[MATERIAL_ID]],DIM_MATERIAL[MATERIAL_ID],DIM_MATERIAL[UOM_AFTER_PROCESS])</f>
        <v>BALE</v>
      </c>
      <c r="E2529">
        <v>85</v>
      </c>
    </row>
    <row r="2530" spans="1:5" x14ac:dyDescent="0.2">
      <c r="A2530" s="3">
        <v>45995</v>
      </c>
      <c r="B2530" t="s">
        <v>1</v>
      </c>
      <c r="C2530">
        <v>1</v>
      </c>
      <c r="D2530" t="str">
        <f>_xlfn.XLOOKUP(RW_DT_PRODUCTION[[#This Row],[MATERIAL_ID]],DIM_MATERIAL[MATERIAL_ID],DIM_MATERIAL[UOM_AFTER_PROCESS])</f>
        <v>BALE</v>
      </c>
      <c r="E2530">
        <v>62</v>
      </c>
    </row>
    <row r="2531" spans="1:5" x14ac:dyDescent="0.2">
      <c r="A2531" s="3">
        <v>45995</v>
      </c>
      <c r="B2531" t="s">
        <v>1</v>
      </c>
      <c r="C2531">
        <v>1</v>
      </c>
      <c r="D2531" t="str">
        <f>_xlfn.XLOOKUP(RW_DT_PRODUCTION[[#This Row],[MATERIAL_ID]],DIM_MATERIAL[MATERIAL_ID],DIM_MATERIAL[UOM_AFTER_PROCESS])</f>
        <v>BALE</v>
      </c>
      <c r="E2531">
        <v>61</v>
      </c>
    </row>
    <row r="2532" spans="1:5" x14ac:dyDescent="0.2">
      <c r="A2532" s="3">
        <v>45995</v>
      </c>
      <c r="B2532" t="s">
        <v>1</v>
      </c>
      <c r="C2532">
        <v>1</v>
      </c>
      <c r="D2532" t="str">
        <f>_xlfn.XLOOKUP(RW_DT_PRODUCTION[[#This Row],[MATERIAL_ID]],DIM_MATERIAL[MATERIAL_ID],DIM_MATERIAL[UOM_AFTER_PROCESS])</f>
        <v>BALE</v>
      </c>
      <c r="E2532">
        <v>66</v>
      </c>
    </row>
    <row r="2533" spans="1:5" x14ac:dyDescent="0.2">
      <c r="A2533" s="3">
        <v>45996</v>
      </c>
      <c r="B2533" t="s">
        <v>1</v>
      </c>
      <c r="C2533">
        <v>1</v>
      </c>
      <c r="D2533" t="str">
        <f>_xlfn.XLOOKUP(RW_DT_PRODUCTION[[#This Row],[MATERIAL_ID]],DIM_MATERIAL[MATERIAL_ID],DIM_MATERIAL[UOM_AFTER_PROCESS])</f>
        <v>BALE</v>
      </c>
      <c r="E2533">
        <v>82</v>
      </c>
    </row>
    <row r="2534" spans="1:5" x14ac:dyDescent="0.2">
      <c r="A2534" s="3">
        <v>45996</v>
      </c>
      <c r="B2534" t="s">
        <v>1</v>
      </c>
      <c r="C2534">
        <v>1</v>
      </c>
      <c r="D2534" t="str">
        <f>_xlfn.XLOOKUP(RW_DT_PRODUCTION[[#This Row],[MATERIAL_ID]],DIM_MATERIAL[MATERIAL_ID],DIM_MATERIAL[UOM_AFTER_PROCESS])</f>
        <v>BALE</v>
      </c>
      <c r="E2534">
        <v>79</v>
      </c>
    </row>
    <row r="2535" spans="1:5" x14ac:dyDescent="0.2">
      <c r="A2535" s="3">
        <v>45996</v>
      </c>
      <c r="B2535" t="s">
        <v>1</v>
      </c>
      <c r="C2535">
        <v>1</v>
      </c>
      <c r="D2535" t="str">
        <f>_xlfn.XLOOKUP(RW_DT_PRODUCTION[[#This Row],[MATERIAL_ID]],DIM_MATERIAL[MATERIAL_ID],DIM_MATERIAL[UOM_AFTER_PROCESS])</f>
        <v>BALE</v>
      </c>
      <c r="E2535">
        <v>74</v>
      </c>
    </row>
    <row r="2536" spans="1:5" x14ac:dyDescent="0.2">
      <c r="A2536" s="3">
        <v>45996</v>
      </c>
      <c r="B2536" t="s">
        <v>1</v>
      </c>
      <c r="C2536">
        <v>1</v>
      </c>
      <c r="D2536" t="str">
        <f>_xlfn.XLOOKUP(RW_DT_PRODUCTION[[#This Row],[MATERIAL_ID]],DIM_MATERIAL[MATERIAL_ID],DIM_MATERIAL[UOM_AFTER_PROCESS])</f>
        <v>BALE</v>
      </c>
      <c r="E2536">
        <v>71</v>
      </c>
    </row>
    <row r="2537" spans="1:5" x14ac:dyDescent="0.2">
      <c r="A2537" s="3">
        <v>45996</v>
      </c>
      <c r="B2537" t="s">
        <v>1</v>
      </c>
      <c r="C2537">
        <v>1</v>
      </c>
      <c r="D2537" t="str">
        <f>_xlfn.XLOOKUP(RW_DT_PRODUCTION[[#This Row],[MATERIAL_ID]],DIM_MATERIAL[MATERIAL_ID],DIM_MATERIAL[UOM_AFTER_PROCESS])</f>
        <v>BALE</v>
      </c>
      <c r="E2537">
        <v>85</v>
      </c>
    </row>
    <row r="2538" spans="1:5" x14ac:dyDescent="0.2">
      <c r="A2538" s="3">
        <v>45996</v>
      </c>
      <c r="B2538" t="s">
        <v>1</v>
      </c>
      <c r="C2538">
        <v>1</v>
      </c>
      <c r="D2538" t="str">
        <f>_xlfn.XLOOKUP(RW_DT_PRODUCTION[[#This Row],[MATERIAL_ID]],DIM_MATERIAL[MATERIAL_ID],DIM_MATERIAL[UOM_AFTER_PROCESS])</f>
        <v>BALE</v>
      </c>
      <c r="E2538">
        <v>76</v>
      </c>
    </row>
    <row r="2539" spans="1:5" x14ac:dyDescent="0.2">
      <c r="A2539" s="3">
        <v>45996</v>
      </c>
      <c r="B2539" t="s">
        <v>1</v>
      </c>
      <c r="C2539">
        <v>1</v>
      </c>
      <c r="D2539" t="str">
        <f>_xlfn.XLOOKUP(RW_DT_PRODUCTION[[#This Row],[MATERIAL_ID]],DIM_MATERIAL[MATERIAL_ID],DIM_MATERIAL[UOM_AFTER_PROCESS])</f>
        <v>BALE</v>
      </c>
      <c r="E2539">
        <v>77</v>
      </c>
    </row>
    <row r="2540" spans="1:5" x14ac:dyDescent="0.2">
      <c r="A2540" s="3">
        <v>45997</v>
      </c>
      <c r="B2540" t="s">
        <v>1</v>
      </c>
      <c r="C2540">
        <v>1</v>
      </c>
      <c r="D2540" t="str">
        <f>_xlfn.XLOOKUP(RW_DT_PRODUCTION[[#This Row],[MATERIAL_ID]],DIM_MATERIAL[MATERIAL_ID],DIM_MATERIAL[UOM_AFTER_PROCESS])</f>
        <v>BALE</v>
      </c>
      <c r="E2540">
        <v>77</v>
      </c>
    </row>
    <row r="2541" spans="1:5" x14ac:dyDescent="0.2">
      <c r="A2541" s="3">
        <v>45997</v>
      </c>
      <c r="B2541" t="s">
        <v>1</v>
      </c>
      <c r="C2541">
        <v>1</v>
      </c>
      <c r="D2541" t="str">
        <f>_xlfn.XLOOKUP(RW_DT_PRODUCTION[[#This Row],[MATERIAL_ID]],DIM_MATERIAL[MATERIAL_ID],DIM_MATERIAL[UOM_AFTER_PROCESS])</f>
        <v>BALE</v>
      </c>
      <c r="E2541">
        <v>67</v>
      </c>
    </row>
    <row r="2542" spans="1:5" x14ac:dyDescent="0.2">
      <c r="A2542" s="3">
        <v>45997</v>
      </c>
      <c r="B2542" t="s">
        <v>1</v>
      </c>
      <c r="C2542">
        <v>1</v>
      </c>
      <c r="D2542" t="str">
        <f>_xlfn.XLOOKUP(RW_DT_PRODUCTION[[#This Row],[MATERIAL_ID]],DIM_MATERIAL[MATERIAL_ID],DIM_MATERIAL[UOM_AFTER_PROCESS])</f>
        <v>BALE</v>
      </c>
      <c r="E2542">
        <v>62</v>
      </c>
    </row>
    <row r="2543" spans="1:5" x14ac:dyDescent="0.2">
      <c r="A2543" s="3">
        <v>45997</v>
      </c>
      <c r="B2543" t="s">
        <v>1</v>
      </c>
      <c r="C2543">
        <v>1</v>
      </c>
      <c r="D2543" t="str">
        <f>_xlfn.XLOOKUP(RW_DT_PRODUCTION[[#This Row],[MATERIAL_ID]],DIM_MATERIAL[MATERIAL_ID],DIM_MATERIAL[UOM_AFTER_PROCESS])</f>
        <v>BALE</v>
      </c>
      <c r="E2543">
        <v>81</v>
      </c>
    </row>
    <row r="2544" spans="1:5" x14ac:dyDescent="0.2">
      <c r="A2544" s="3">
        <v>45997</v>
      </c>
      <c r="B2544" t="s">
        <v>1</v>
      </c>
      <c r="C2544">
        <v>1</v>
      </c>
      <c r="D2544" t="str">
        <f>_xlfn.XLOOKUP(RW_DT_PRODUCTION[[#This Row],[MATERIAL_ID]],DIM_MATERIAL[MATERIAL_ID],DIM_MATERIAL[UOM_AFTER_PROCESS])</f>
        <v>BALE</v>
      </c>
      <c r="E2544">
        <v>64</v>
      </c>
    </row>
    <row r="2545" spans="1:5" x14ac:dyDescent="0.2">
      <c r="A2545" s="3">
        <v>45997</v>
      </c>
      <c r="B2545" t="s">
        <v>1</v>
      </c>
      <c r="C2545">
        <v>1</v>
      </c>
      <c r="D2545" t="str">
        <f>_xlfn.XLOOKUP(RW_DT_PRODUCTION[[#This Row],[MATERIAL_ID]],DIM_MATERIAL[MATERIAL_ID],DIM_MATERIAL[UOM_AFTER_PROCESS])</f>
        <v>BALE</v>
      </c>
      <c r="E2545">
        <v>69</v>
      </c>
    </row>
    <row r="2546" spans="1:5" x14ac:dyDescent="0.2">
      <c r="A2546" s="3">
        <v>45997</v>
      </c>
      <c r="B2546" t="s">
        <v>1</v>
      </c>
      <c r="C2546">
        <v>1</v>
      </c>
      <c r="D2546" t="str">
        <f>_xlfn.XLOOKUP(RW_DT_PRODUCTION[[#This Row],[MATERIAL_ID]],DIM_MATERIAL[MATERIAL_ID],DIM_MATERIAL[UOM_AFTER_PROCESS])</f>
        <v>BALE</v>
      </c>
      <c r="E2546">
        <v>81</v>
      </c>
    </row>
    <row r="2547" spans="1:5" x14ac:dyDescent="0.2">
      <c r="A2547" s="3">
        <v>45999</v>
      </c>
      <c r="B2547" t="s">
        <v>1</v>
      </c>
      <c r="C2547">
        <v>1</v>
      </c>
      <c r="D2547" t="str">
        <f>_xlfn.XLOOKUP(RW_DT_PRODUCTION[[#This Row],[MATERIAL_ID]],DIM_MATERIAL[MATERIAL_ID],DIM_MATERIAL[UOM_AFTER_PROCESS])</f>
        <v>BALE</v>
      </c>
      <c r="E2547">
        <v>69</v>
      </c>
    </row>
    <row r="2548" spans="1:5" x14ac:dyDescent="0.2">
      <c r="A2548" s="3">
        <v>45999</v>
      </c>
      <c r="B2548" t="s">
        <v>1</v>
      </c>
      <c r="C2548">
        <v>1</v>
      </c>
      <c r="D2548" t="str">
        <f>_xlfn.XLOOKUP(RW_DT_PRODUCTION[[#This Row],[MATERIAL_ID]],DIM_MATERIAL[MATERIAL_ID],DIM_MATERIAL[UOM_AFTER_PROCESS])</f>
        <v>BALE</v>
      </c>
      <c r="E2548">
        <v>88</v>
      </c>
    </row>
    <row r="2549" spans="1:5" x14ac:dyDescent="0.2">
      <c r="A2549" s="3">
        <v>45999</v>
      </c>
      <c r="B2549" t="s">
        <v>1</v>
      </c>
      <c r="C2549">
        <v>1</v>
      </c>
      <c r="D2549" t="str">
        <f>_xlfn.XLOOKUP(RW_DT_PRODUCTION[[#This Row],[MATERIAL_ID]],DIM_MATERIAL[MATERIAL_ID],DIM_MATERIAL[UOM_AFTER_PROCESS])</f>
        <v>BALE</v>
      </c>
      <c r="E2549">
        <v>89</v>
      </c>
    </row>
    <row r="2550" spans="1:5" x14ac:dyDescent="0.2">
      <c r="A2550" s="3">
        <v>45999</v>
      </c>
      <c r="B2550" t="s">
        <v>1</v>
      </c>
      <c r="C2550">
        <v>1</v>
      </c>
      <c r="D2550" t="str">
        <f>_xlfn.XLOOKUP(RW_DT_PRODUCTION[[#This Row],[MATERIAL_ID]],DIM_MATERIAL[MATERIAL_ID],DIM_MATERIAL[UOM_AFTER_PROCESS])</f>
        <v>BALE</v>
      </c>
      <c r="E2550">
        <v>60</v>
      </c>
    </row>
    <row r="2551" spans="1:5" x14ac:dyDescent="0.2">
      <c r="A2551" s="3">
        <v>45999</v>
      </c>
      <c r="B2551" t="s">
        <v>1</v>
      </c>
      <c r="C2551">
        <v>1</v>
      </c>
      <c r="D2551" t="str">
        <f>_xlfn.XLOOKUP(RW_DT_PRODUCTION[[#This Row],[MATERIAL_ID]],DIM_MATERIAL[MATERIAL_ID],DIM_MATERIAL[UOM_AFTER_PROCESS])</f>
        <v>BALE</v>
      </c>
      <c r="E2551">
        <v>70</v>
      </c>
    </row>
    <row r="2552" spans="1:5" x14ac:dyDescent="0.2">
      <c r="A2552" s="3">
        <v>45999</v>
      </c>
      <c r="B2552" t="s">
        <v>1</v>
      </c>
      <c r="C2552">
        <v>1</v>
      </c>
      <c r="D2552" t="str">
        <f>_xlfn.XLOOKUP(RW_DT_PRODUCTION[[#This Row],[MATERIAL_ID]],DIM_MATERIAL[MATERIAL_ID],DIM_MATERIAL[UOM_AFTER_PROCESS])</f>
        <v>BALE</v>
      </c>
      <c r="E2552">
        <v>89</v>
      </c>
    </row>
    <row r="2553" spans="1:5" x14ac:dyDescent="0.2">
      <c r="A2553" s="3">
        <v>45999</v>
      </c>
      <c r="B2553" t="s">
        <v>1</v>
      </c>
      <c r="C2553">
        <v>1</v>
      </c>
      <c r="D2553" t="str">
        <f>_xlfn.XLOOKUP(RW_DT_PRODUCTION[[#This Row],[MATERIAL_ID]],DIM_MATERIAL[MATERIAL_ID],DIM_MATERIAL[UOM_AFTER_PROCESS])</f>
        <v>BALE</v>
      </c>
      <c r="E2553">
        <v>83</v>
      </c>
    </row>
    <row r="2554" spans="1:5" x14ac:dyDescent="0.2">
      <c r="A2554" s="3">
        <v>45999</v>
      </c>
      <c r="B2554" t="s">
        <v>1</v>
      </c>
      <c r="C2554">
        <v>1</v>
      </c>
      <c r="D2554" t="str">
        <f>_xlfn.XLOOKUP(RW_DT_PRODUCTION[[#This Row],[MATERIAL_ID]],DIM_MATERIAL[MATERIAL_ID],DIM_MATERIAL[UOM_AFTER_PROCESS])</f>
        <v>BALE</v>
      </c>
      <c r="E2554">
        <v>74</v>
      </c>
    </row>
    <row r="2555" spans="1:5" x14ac:dyDescent="0.2">
      <c r="A2555" s="3">
        <v>45999</v>
      </c>
      <c r="B2555" t="s">
        <v>1</v>
      </c>
      <c r="C2555">
        <v>1</v>
      </c>
      <c r="D2555" t="str">
        <f>_xlfn.XLOOKUP(RW_DT_PRODUCTION[[#This Row],[MATERIAL_ID]],DIM_MATERIAL[MATERIAL_ID],DIM_MATERIAL[UOM_AFTER_PROCESS])</f>
        <v>BALE</v>
      </c>
      <c r="E2555">
        <v>86</v>
      </c>
    </row>
    <row r="2556" spans="1:5" x14ac:dyDescent="0.2">
      <c r="A2556" s="3">
        <v>46000</v>
      </c>
      <c r="B2556" t="s">
        <v>1</v>
      </c>
      <c r="C2556">
        <v>1</v>
      </c>
      <c r="D2556" t="str">
        <f>_xlfn.XLOOKUP(RW_DT_PRODUCTION[[#This Row],[MATERIAL_ID]],DIM_MATERIAL[MATERIAL_ID],DIM_MATERIAL[UOM_AFTER_PROCESS])</f>
        <v>BALE</v>
      </c>
      <c r="E2556">
        <v>66</v>
      </c>
    </row>
    <row r="2557" spans="1:5" x14ac:dyDescent="0.2">
      <c r="A2557" s="3">
        <v>46000</v>
      </c>
      <c r="B2557" t="s">
        <v>1</v>
      </c>
      <c r="C2557">
        <v>1</v>
      </c>
      <c r="D2557" t="str">
        <f>_xlfn.XLOOKUP(RW_DT_PRODUCTION[[#This Row],[MATERIAL_ID]],DIM_MATERIAL[MATERIAL_ID],DIM_MATERIAL[UOM_AFTER_PROCESS])</f>
        <v>BALE</v>
      </c>
      <c r="E2557">
        <v>64</v>
      </c>
    </row>
    <row r="2558" spans="1:5" x14ac:dyDescent="0.2">
      <c r="A2558" s="3">
        <v>46000</v>
      </c>
      <c r="B2558" t="s">
        <v>1</v>
      </c>
      <c r="C2558">
        <v>1</v>
      </c>
      <c r="D2558" t="str">
        <f>_xlfn.XLOOKUP(RW_DT_PRODUCTION[[#This Row],[MATERIAL_ID]],DIM_MATERIAL[MATERIAL_ID],DIM_MATERIAL[UOM_AFTER_PROCESS])</f>
        <v>BALE</v>
      </c>
      <c r="E2558">
        <v>60</v>
      </c>
    </row>
    <row r="2559" spans="1:5" x14ac:dyDescent="0.2">
      <c r="A2559" s="3">
        <v>46000</v>
      </c>
      <c r="B2559" t="s">
        <v>1</v>
      </c>
      <c r="C2559">
        <v>1</v>
      </c>
      <c r="D2559" t="str">
        <f>_xlfn.XLOOKUP(RW_DT_PRODUCTION[[#This Row],[MATERIAL_ID]],DIM_MATERIAL[MATERIAL_ID],DIM_MATERIAL[UOM_AFTER_PROCESS])</f>
        <v>BALE</v>
      </c>
      <c r="E2559">
        <v>67</v>
      </c>
    </row>
    <row r="2560" spans="1:5" x14ac:dyDescent="0.2">
      <c r="A2560" s="3">
        <v>46000</v>
      </c>
      <c r="B2560" t="s">
        <v>1</v>
      </c>
      <c r="C2560">
        <v>1</v>
      </c>
      <c r="D2560" t="str">
        <f>_xlfn.XLOOKUP(RW_DT_PRODUCTION[[#This Row],[MATERIAL_ID]],DIM_MATERIAL[MATERIAL_ID],DIM_MATERIAL[UOM_AFTER_PROCESS])</f>
        <v>BALE</v>
      </c>
      <c r="E2560">
        <v>84</v>
      </c>
    </row>
    <row r="2561" spans="1:5" x14ac:dyDescent="0.2">
      <c r="A2561" s="3">
        <v>46000</v>
      </c>
      <c r="B2561" t="s">
        <v>1</v>
      </c>
      <c r="C2561">
        <v>1</v>
      </c>
      <c r="D2561" t="str">
        <f>_xlfn.XLOOKUP(RW_DT_PRODUCTION[[#This Row],[MATERIAL_ID]],DIM_MATERIAL[MATERIAL_ID],DIM_MATERIAL[UOM_AFTER_PROCESS])</f>
        <v>BALE</v>
      </c>
      <c r="E2561">
        <v>89</v>
      </c>
    </row>
    <row r="2562" spans="1:5" x14ac:dyDescent="0.2">
      <c r="A2562" s="3">
        <v>46000</v>
      </c>
      <c r="B2562" t="s">
        <v>1</v>
      </c>
      <c r="C2562">
        <v>1</v>
      </c>
      <c r="D2562" t="str">
        <f>_xlfn.XLOOKUP(RW_DT_PRODUCTION[[#This Row],[MATERIAL_ID]],DIM_MATERIAL[MATERIAL_ID],DIM_MATERIAL[UOM_AFTER_PROCESS])</f>
        <v>BALE</v>
      </c>
      <c r="E2562">
        <v>70</v>
      </c>
    </row>
    <row r="2563" spans="1:5" x14ac:dyDescent="0.2">
      <c r="A2563" s="3">
        <v>46000</v>
      </c>
      <c r="B2563" t="s">
        <v>1</v>
      </c>
      <c r="C2563">
        <v>1</v>
      </c>
      <c r="D2563" t="str">
        <f>_xlfn.XLOOKUP(RW_DT_PRODUCTION[[#This Row],[MATERIAL_ID]],DIM_MATERIAL[MATERIAL_ID],DIM_MATERIAL[UOM_AFTER_PROCESS])</f>
        <v>BALE</v>
      </c>
      <c r="E2563">
        <v>75</v>
      </c>
    </row>
    <row r="2564" spans="1:5" x14ac:dyDescent="0.2">
      <c r="A2564" s="3">
        <v>46000</v>
      </c>
      <c r="B2564" t="s">
        <v>1</v>
      </c>
      <c r="C2564">
        <v>1</v>
      </c>
      <c r="D2564" t="str">
        <f>_xlfn.XLOOKUP(RW_DT_PRODUCTION[[#This Row],[MATERIAL_ID]],DIM_MATERIAL[MATERIAL_ID],DIM_MATERIAL[UOM_AFTER_PROCESS])</f>
        <v>BALE</v>
      </c>
      <c r="E2564">
        <v>85</v>
      </c>
    </row>
    <row r="2565" spans="1:5" x14ac:dyDescent="0.2">
      <c r="A2565" s="3">
        <v>46000</v>
      </c>
      <c r="B2565" t="s">
        <v>1</v>
      </c>
      <c r="C2565">
        <v>1</v>
      </c>
      <c r="D2565" t="str">
        <f>_xlfn.XLOOKUP(RW_DT_PRODUCTION[[#This Row],[MATERIAL_ID]],DIM_MATERIAL[MATERIAL_ID],DIM_MATERIAL[UOM_AFTER_PROCESS])</f>
        <v>BALE</v>
      </c>
      <c r="E2565">
        <v>84</v>
      </c>
    </row>
    <row r="2566" spans="1:5" x14ac:dyDescent="0.2">
      <c r="A2566" s="3">
        <v>46000</v>
      </c>
      <c r="B2566" t="s">
        <v>1</v>
      </c>
      <c r="C2566">
        <v>1</v>
      </c>
      <c r="D2566" t="str">
        <f>_xlfn.XLOOKUP(RW_DT_PRODUCTION[[#This Row],[MATERIAL_ID]],DIM_MATERIAL[MATERIAL_ID],DIM_MATERIAL[UOM_AFTER_PROCESS])</f>
        <v>BALE</v>
      </c>
      <c r="E2566">
        <v>86</v>
      </c>
    </row>
    <row r="2567" spans="1:5" x14ac:dyDescent="0.2">
      <c r="A2567" s="3">
        <v>46000</v>
      </c>
      <c r="B2567" t="s">
        <v>2</v>
      </c>
      <c r="C2567">
        <v>1</v>
      </c>
      <c r="D2567" t="str">
        <f>_xlfn.XLOOKUP(RW_DT_PRODUCTION[[#This Row],[MATERIAL_ID]],DIM_MATERIAL[MATERIAL_ID],DIM_MATERIAL[UOM_AFTER_PROCESS])</f>
        <v>BAG</v>
      </c>
      <c r="E2567">
        <v>22</v>
      </c>
    </row>
    <row r="2568" spans="1:5" x14ac:dyDescent="0.2">
      <c r="A2568" s="3">
        <v>46000</v>
      </c>
      <c r="B2568" t="s">
        <v>2</v>
      </c>
      <c r="C2568">
        <v>1</v>
      </c>
      <c r="D2568" t="str">
        <f>_xlfn.XLOOKUP(RW_DT_PRODUCTION[[#This Row],[MATERIAL_ID]],DIM_MATERIAL[MATERIAL_ID],DIM_MATERIAL[UOM_AFTER_PROCESS])</f>
        <v>BAG</v>
      </c>
      <c r="E2568">
        <v>22</v>
      </c>
    </row>
    <row r="2569" spans="1:5" x14ac:dyDescent="0.2">
      <c r="A2569" s="3">
        <v>46001</v>
      </c>
      <c r="B2569" t="s">
        <v>1</v>
      </c>
      <c r="C2569">
        <v>1</v>
      </c>
      <c r="D2569" t="str">
        <f>_xlfn.XLOOKUP(RW_DT_PRODUCTION[[#This Row],[MATERIAL_ID]],DIM_MATERIAL[MATERIAL_ID],DIM_MATERIAL[UOM_AFTER_PROCESS])</f>
        <v>BALE</v>
      </c>
      <c r="E2569">
        <v>81</v>
      </c>
    </row>
    <row r="2570" spans="1:5" x14ac:dyDescent="0.2">
      <c r="A2570" s="3">
        <v>46001</v>
      </c>
      <c r="B2570" t="s">
        <v>1</v>
      </c>
      <c r="C2570">
        <v>1</v>
      </c>
      <c r="D2570" t="str">
        <f>_xlfn.XLOOKUP(RW_DT_PRODUCTION[[#This Row],[MATERIAL_ID]],DIM_MATERIAL[MATERIAL_ID],DIM_MATERIAL[UOM_AFTER_PROCESS])</f>
        <v>BALE</v>
      </c>
      <c r="E2570">
        <v>64</v>
      </c>
    </row>
    <row r="2571" spans="1:5" x14ac:dyDescent="0.2">
      <c r="A2571" s="3">
        <v>46001</v>
      </c>
      <c r="B2571" t="s">
        <v>1</v>
      </c>
      <c r="C2571">
        <v>1</v>
      </c>
      <c r="D2571" t="str">
        <f>_xlfn.XLOOKUP(RW_DT_PRODUCTION[[#This Row],[MATERIAL_ID]],DIM_MATERIAL[MATERIAL_ID],DIM_MATERIAL[UOM_AFTER_PROCESS])</f>
        <v>BALE</v>
      </c>
      <c r="E2571">
        <v>62</v>
      </c>
    </row>
    <row r="2572" spans="1:5" x14ac:dyDescent="0.2">
      <c r="A2572" s="3">
        <v>46001</v>
      </c>
      <c r="B2572" t="s">
        <v>1</v>
      </c>
      <c r="C2572">
        <v>1</v>
      </c>
      <c r="D2572" t="str">
        <f>_xlfn.XLOOKUP(RW_DT_PRODUCTION[[#This Row],[MATERIAL_ID]],DIM_MATERIAL[MATERIAL_ID],DIM_MATERIAL[UOM_AFTER_PROCESS])</f>
        <v>BALE</v>
      </c>
      <c r="E2572">
        <v>61</v>
      </c>
    </row>
    <row r="2573" spans="1:5" x14ac:dyDescent="0.2">
      <c r="A2573" s="3">
        <v>46001</v>
      </c>
      <c r="B2573" t="s">
        <v>1</v>
      </c>
      <c r="C2573">
        <v>1</v>
      </c>
      <c r="D2573" t="str">
        <f>_xlfn.XLOOKUP(RW_DT_PRODUCTION[[#This Row],[MATERIAL_ID]],DIM_MATERIAL[MATERIAL_ID],DIM_MATERIAL[UOM_AFTER_PROCESS])</f>
        <v>BALE</v>
      </c>
      <c r="E2573">
        <v>65</v>
      </c>
    </row>
    <row r="2574" spans="1:5" x14ac:dyDescent="0.2">
      <c r="A2574" s="3">
        <v>46001</v>
      </c>
      <c r="B2574" t="s">
        <v>1</v>
      </c>
      <c r="C2574">
        <v>1</v>
      </c>
      <c r="D2574" t="str">
        <f>_xlfn.XLOOKUP(RW_DT_PRODUCTION[[#This Row],[MATERIAL_ID]],DIM_MATERIAL[MATERIAL_ID],DIM_MATERIAL[UOM_AFTER_PROCESS])</f>
        <v>BALE</v>
      </c>
      <c r="E2574">
        <v>78</v>
      </c>
    </row>
    <row r="2575" spans="1:5" x14ac:dyDescent="0.2">
      <c r="A2575" s="3">
        <v>46001</v>
      </c>
      <c r="B2575" t="s">
        <v>1</v>
      </c>
      <c r="C2575">
        <v>1</v>
      </c>
      <c r="D2575" t="str">
        <f>_xlfn.XLOOKUP(RW_DT_PRODUCTION[[#This Row],[MATERIAL_ID]],DIM_MATERIAL[MATERIAL_ID],DIM_MATERIAL[UOM_AFTER_PROCESS])</f>
        <v>BALE</v>
      </c>
      <c r="E2575">
        <v>86</v>
      </c>
    </row>
    <row r="2576" spans="1:5" x14ac:dyDescent="0.2">
      <c r="A2576" s="3">
        <v>46001</v>
      </c>
      <c r="B2576" t="s">
        <v>1</v>
      </c>
      <c r="C2576">
        <v>1</v>
      </c>
      <c r="D2576" t="str">
        <f>_xlfn.XLOOKUP(RW_DT_PRODUCTION[[#This Row],[MATERIAL_ID]],DIM_MATERIAL[MATERIAL_ID],DIM_MATERIAL[UOM_AFTER_PROCESS])</f>
        <v>BALE</v>
      </c>
      <c r="E2576">
        <v>63</v>
      </c>
    </row>
    <row r="2577" spans="1:5" x14ac:dyDescent="0.2">
      <c r="A2577" s="3">
        <v>46001</v>
      </c>
      <c r="B2577" t="s">
        <v>1</v>
      </c>
      <c r="C2577">
        <v>1</v>
      </c>
      <c r="D2577" t="str">
        <f>_xlfn.XLOOKUP(RW_DT_PRODUCTION[[#This Row],[MATERIAL_ID]],DIM_MATERIAL[MATERIAL_ID],DIM_MATERIAL[UOM_AFTER_PROCESS])</f>
        <v>BALE</v>
      </c>
      <c r="E2577">
        <v>87</v>
      </c>
    </row>
    <row r="2578" spans="1:5" x14ac:dyDescent="0.2">
      <c r="A2578" s="3">
        <v>46001</v>
      </c>
      <c r="B2578" t="s">
        <v>1</v>
      </c>
      <c r="C2578">
        <v>1</v>
      </c>
      <c r="D2578" t="str">
        <f>_xlfn.XLOOKUP(RW_DT_PRODUCTION[[#This Row],[MATERIAL_ID]],DIM_MATERIAL[MATERIAL_ID],DIM_MATERIAL[UOM_AFTER_PROCESS])</f>
        <v>BALE</v>
      </c>
      <c r="E2578">
        <v>64</v>
      </c>
    </row>
    <row r="2579" spans="1:5" x14ac:dyDescent="0.2">
      <c r="A2579" s="3">
        <v>46001</v>
      </c>
      <c r="B2579" t="s">
        <v>1</v>
      </c>
      <c r="C2579">
        <v>1</v>
      </c>
      <c r="D2579" t="str">
        <f>_xlfn.XLOOKUP(RW_DT_PRODUCTION[[#This Row],[MATERIAL_ID]],DIM_MATERIAL[MATERIAL_ID],DIM_MATERIAL[UOM_AFTER_PROCESS])</f>
        <v>BALE</v>
      </c>
      <c r="E2579">
        <v>66</v>
      </c>
    </row>
    <row r="2580" spans="1:5" x14ac:dyDescent="0.2">
      <c r="A2580" s="3">
        <v>46001</v>
      </c>
      <c r="B2580" t="s">
        <v>1</v>
      </c>
      <c r="C2580">
        <v>1</v>
      </c>
      <c r="D2580" t="str">
        <f>_xlfn.XLOOKUP(RW_DT_PRODUCTION[[#This Row],[MATERIAL_ID]],DIM_MATERIAL[MATERIAL_ID],DIM_MATERIAL[UOM_AFTER_PROCESS])</f>
        <v>BALE</v>
      </c>
      <c r="E2580">
        <v>72</v>
      </c>
    </row>
    <row r="2581" spans="1:5" x14ac:dyDescent="0.2">
      <c r="A2581" s="3">
        <v>46001</v>
      </c>
      <c r="B2581" t="s">
        <v>2</v>
      </c>
      <c r="C2581">
        <v>1</v>
      </c>
      <c r="D2581" t="str">
        <f>_xlfn.XLOOKUP(RW_DT_PRODUCTION[[#This Row],[MATERIAL_ID]],DIM_MATERIAL[MATERIAL_ID],DIM_MATERIAL[UOM_AFTER_PROCESS])</f>
        <v>BAG</v>
      </c>
      <c r="E2581">
        <v>22</v>
      </c>
    </row>
    <row r="2582" spans="1:5" x14ac:dyDescent="0.2">
      <c r="A2582" s="3">
        <v>46001</v>
      </c>
      <c r="B2582" t="s">
        <v>2</v>
      </c>
      <c r="C2582">
        <v>1</v>
      </c>
      <c r="D2582" t="str">
        <f>_xlfn.XLOOKUP(RW_DT_PRODUCTION[[#This Row],[MATERIAL_ID]],DIM_MATERIAL[MATERIAL_ID],DIM_MATERIAL[UOM_AFTER_PROCESS])</f>
        <v>BAG</v>
      </c>
      <c r="E2582">
        <v>22</v>
      </c>
    </row>
    <row r="2583" spans="1:5" x14ac:dyDescent="0.2">
      <c r="A2583" s="3">
        <v>46001</v>
      </c>
      <c r="B2583" t="s">
        <v>2</v>
      </c>
      <c r="C2583">
        <v>1</v>
      </c>
      <c r="D2583" t="str">
        <f>_xlfn.XLOOKUP(RW_DT_PRODUCTION[[#This Row],[MATERIAL_ID]],DIM_MATERIAL[MATERIAL_ID],DIM_MATERIAL[UOM_AFTER_PROCESS])</f>
        <v>BAG</v>
      </c>
      <c r="E2583">
        <v>22</v>
      </c>
    </row>
    <row r="2584" spans="1:5" x14ac:dyDescent="0.2">
      <c r="A2584" s="3">
        <v>46001</v>
      </c>
      <c r="B2584" t="s">
        <v>2</v>
      </c>
      <c r="C2584">
        <v>1</v>
      </c>
      <c r="D2584" t="str">
        <f>_xlfn.XLOOKUP(RW_DT_PRODUCTION[[#This Row],[MATERIAL_ID]],DIM_MATERIAL[MATERIAL_ID],DIM_MATERIAL[UOM_AFTER_PROCESS])</f>
        <v>BAG</v>
      </c>
      <c r="E2584">
        <v>22</v>
      </c>
    </row>
    <row r="2585" spans="1:5" x14ac:dyDescent="0.2">
      <c r="A2585" s="3">
        <v>46002</v>
      </c>
      <c r="B2585" t="s">
        <v>1</v>
      </c>
      <c r="C2585">
        <v>1</v>
      </c>
      <c r="D2585" t="str">
        <f>_xlfn.XLOOKUP(RW_DT_PRODUCTION[[#This Row],[MATERIAL_ID]],DIM_MATERIAL[MATERIAL_ID],DIM_MATERIAL[UOM_AFTER_PROCESS])</f>
        <v>BALE</v>
      </c>
      <c r="E2585">
        <v>73</v>
      </c>
    </row>
    <row r="2586" spans="1:5" x14ac:dyDescent="0.2">
      <c r="A2586" s="3">
        <v>46002</v>
      </c>
      <c r="B2586" t="s">
        <v>1</v>
      </c>
      <c r="C2586">
        <v>1</v>
      </c>
      <c r="D2586" t="str">
        <f>_xlfn.XLOOKUP(RW_DT_PRODUCTION[[#This Row],[MATERIAL_ID]],DIM_MATERIAL[MATERIAL_ID],DIM_MATERIAL[UOM_AFTER_PROCESS])</f>
        <v>BALE</v>
      </c>
      <c r="E2586">
        <v>64</v>
      </c>
    </row>
    <row r="2587" spans="1:5" x14ac:dyDescent="0.2">
      <c r="A2587" s="3">
        <v>46002</v>
      </c>
      <c r="B2587" t="s">
        <v>1</v>
      </c>
      <c r="C2587">
        <v>1</v>
      </c>
      <c r="D2587" t="str">
        <f>_xlfn.XLOOKUP(RW_DT_PRODUCTION[[#This Row],[MATERIAL_ID]],DIM_MATERIAL[MATERIAL_ID],DIM_MATERIAL[UOM_AFTER_PROCESS])</f>
        <v>BALE</v>
      </c>
      <c r="E2587">
        <v>73</v>
      </c>
    </row>
    <row r="2588" spans="1:5" x14ac:dyDescent="0.2">
      <c r="A2588" s="3">
        <v>46002</v>
      </c>
      <c r="B2588" t="s">
        <v>1</v>
      </c>
      <c r="C2588">
        <v>1</v>
      </c>
      <c r="D2588" t="str">
        <f>_xlfn.XLOOKUP(RW_DT_PRODUCTION[[#This Row],[MATERIAL_ID]],DIM_MATERIAL[MATERIAL_ID],DIM_MATERIAL[UOM_AFTER_PROCESS])</f>
        <v>BALE</v>
      </c>
      <c r="E2588">
        <v>70</v>
      </c>
    </row>
    <row r="2589" spans="1:5" x14ac:dyDescent="0.2">
      <c r="A2589" s="3">
        <v>46002</v>
      </c>
      <c r="B2589" t="s">
        <v>1</v>
      </c>
      <c r="C2589">
        <v>1</v>
      </c>
      <c r="D2589" t="str">
        <f>_xlfn.XLOOKUP(RW_DT_PRODUCTION[[#This Row],[MATERIAL_ID]],DIM_MATERIAL[MATERIAL_ID],DIM_MATERIAL[UOM_AFTER_PROCESS])</f>
        <v>BALE</v>
      </c>
      <c r="E2589">
        <v>89</v>
      </c>
    </row>
    <row r="2590" spans="1:5" x14ac:dyDescent="0.2">
      <c r="A2590" s="3">
        <v>46002</v>
      </c>
      <c r="B2590" t="s">
        <v>1</v>
      </c>
      <c r="C2590">
        <v>1</v>
      </c>
      <c r="D2590" t="str">
        <f>_xlfn.XLOOKUP(RW_DT_PRODUCTION[[#This Row],[MATERIAL_ID]],DIM_MATERIAL[MATERIAL_ID],DIM_MATERIAL[UOM_AFTER_PROCESS])</f>
        <v>BALE</v>
      </c>
      <c r="E2590">
        <v>69</v>
      </c>
    </row>
    <row r="2591" spans="1:5" x14ac:dyDescent="0.2">
      <c r="A2591" s="3">
        <v>46002</v>
      </c>
      <c r="B2591" t="s">
        <v>1</v>
      </c>
      <c r="C2591">
        <v>1</v>
      </c>
      <c r="D2591" t="str">
        <f>_xlfn.XLOOKUP(RW_DT_PRODUCTION[[#This Row],[MATERIAL_ID]],DIM_MATERIAL[MATERIAL_ID],DIM_MATERIAL[UOM_AFTER_PROCESS])</f>
        <v>BALE</v>
      </c>
      <c r="E2591">
        <v>88</v>
      </c>
    </row>
    <row r="2592" spans="1:5" x14ac:dyDescent="0.2">
      <c r="A2592" s="3">
        <v>46002</v>
      </c>
      <c r="B2592" t="s">
        <v>1</v>
      </c>
      <c r="C2592">
        <v>1</v>
      </c>
      <c r="D2592" t="str">
        <f>_xlfn.XLOOKUP(RW_DT_PRODUCTION[[#This Row],[MATERIAL_ID]],DIM_MATERIAL[MATERIAL_ID],DIM_MATERIAL[UOM_AFTER_PROCESS])</f>
        <v>BALE</v>
      </c>
      <c r="E2592">
        <v>83</v>
      </c>
    </row>
    <row r="2593" spans="1:5" x14ac:dyDescent="0.2">
      <c r="A2593" s="3">
        <v>46002</v>
      </c>
      <c r="B2593" t="s">
        <v>1</v>
      </c>
      <c r="C2593">
        <v>1</v>
      </c>
      <c r="D2593" t="str">
        <f>_xlfn.XLOOKUP(RW_DT_PRODUCTION[[#This Row],[MATERIAL_ID]],DIM_MATERIAL[MATERIAL_ID],DIM_MATERIAL[UOM_AFTER_PROCESS])</f>
        <v>BALE</v>
      </c>
      <c r="E2593">
        <v>84</v>
      </c>
    </row>
    <row r="2594" spans="1:5" x14ac:dyDescent="0.2">
      <c r="A2594" s="3">
        <v>46002</v>
      </c>
      <c r="B2594" t="s">
        <v>2</v>
      </c>
      <c r="C2594">
        <v>1</v>
      </c>
      <c r="D2594" t="str">
        <f>_xlfn.XLOOKUP(RW_DT_PRODUCTION[[#This Row],[MATERIAL_ID]],DIM_MATERIAL[MATERIAL_ID],DIM_MATERIAL[UOM_AFTER_PROCESS])</f>
        <v>BAG</v>
      </c>
      <c r="E2594">
        <v>22</v>
      </c>
    </row>
    <row r="2595" spans="1:5" x14ac:dyDescent="0.2">
      <c r="A2595" s="3">
        <v>46002</v>
      </c>
      <c r="B2595" t="s">
        <v>2</v>
      </c>
      <c r="C2595">
        <v>1</v>
      </c>
      <c r="D2595" t="str">
        <f>_xlfn.XLOOKUP(RW_DT_PRODUCTION[[#This Row],[MATERIAL_ID]],DIM_MATERIAL[MATERIAL_ID],DIM_MATERIAL[UOM_AFTER_PROCESS])</f>
        <v>BAG</v>
      </c>
      <c r="E2595">
        <v>22</v>
      </c>
    </row>
    <row r="2596" spans="1:5" x14ac:dyDescent="0.2">
      <c r="A2596" s="3">
        <v>46002</v>
      </c>
      <c r="B2596" t="s">
        <v>2</v>
      </c>
      <c r="C2596">
        <v>1</v>
      </c>
      <c r="D2596" t="str">
        <f>_xlfn.XLOOKUP(RW_DT_PRODUCTION[[#This Row],[MATERIAL_ID]],DIM_MATERIAL[MATERIAL_ID],DIM_MATERIAL[UOM_AFTER_PROCESS])</f>
        <v>BAG</v>
      </c>
      <c r="E2596">
        <v>22</v>
      </c>
    </row>
    <row r="2597" spans="1:5" x14ac:dyDescent="0.2">
      <c r="A2597" s="3">
        <v>46003</v>
      </c>
      <c r="B2597" t="s">
        <v>1</v>
      </c>
      <c r="C2597">
        <v>1</v>
      </c>
      <c r="D2597" t="str">
        <f>_xlfn.XLOOKUP(RW_DT_PRODUCTION[[#This Row],[MATERIAL_ID]],DIM_MATERIAL[MATERIAL_ID],DIM_MATERIAL[UOM_AFTER_PROCESS])</f>
        <v>BALE</v>
      </c>
      <c r="E2597">
        <v>80</v>
      </c>
    </row>
    <row r="2598" spans="1:5" x14ac:dyDescent="0.2">
      <c r="A2598" s="3">
        <v>46003</v>
      </c>
      <c r="B2598" t="s">
        <v>1</v>
      </c>
      <c r="C2598">
        <v>1</v>
      </c>
      <c r="D2598" t="str">
        <f>_xlfn.XLOOKUP(RW_DT_PRODUCTION[[#This Row],[MATERIAL_ID]],DIM_MATERIAL[MATERIAL_ID],DIM_MATERIAL[UOM_AFTER_PROCESS])</f>
        <v>BALE</v>
      </c>
      <c r="E2598">
        <v>66</v>
      </c>
    </row>
    <row r="2599" spans="1:5" x14ac:dyDescent="0.2">
      <c r="A2599" s="3">
        <v>46003</v>
      </c>
      <c r="B2599" t="s">
        <v>1</v>
      </c>
      <c r="C2599">
        <v>1</v>
      </c>
      <c r="D2599" t="str">
        <f>_xlfn.XLOOKUP(RW_DT_PRODUCTION[[#This Row],[MATERIAL_ID]],DIM_MATERIAL[MATERIAL_ID],DIM_MATERIAL[UOM_AFTER_PROCESS])</f>
        <v>BALE</v>
      </c>
      <c r="E2599">
        <v>74</v>
      </c>
    </row>
    <row r="2600" spans="1:5" x14ac:dyDescent="0.2">
      <c r="A2600" s="3">
        <v>46003</v>
      </c>
      <c r="B2600" t="s">
        <v>1</v>
      </c>
      <c r="C2600">
        <v>1</v>
      </c>
      <c r="D2600" t="str">
        <f>_xlfn.XLOOKUP(RW_DT_PRODUCTION[[#This Row],[MATERIAL_ID]],DIM_MATERIAL[MATERIAL_ID],DIM_MATERIAL[UOM_AFTER_PROCESS])</f>
        <v>BALE</v>
      </c>
      <c r="E2600">
        <v>83</v>
      </c>
    </row>
    <row r="2601" spans="1:5" x14ac:dyDescent="0.2">
      <c r="A2601" s="3">
        <v>46003</v>
      </c>
      <c r="B2601" t="s">
        <v>1</v>
      </c>
      <c r="C2601">
        <v>1</v>
      </c>
      <c r="D2601" t="str">
        <f>_xlfn.XLOOKUP(RW_DT_PRODUCTION[[#This Row],[MATERIAL_ID]],DIM_MATERIAL[MATERIAL_ID],DIM_MATERIAL[UOM_AFTER_PROCESS])</f>
        <v>BALE</v>
      </c>
      <c r="E2601">
        <v>70</v>
      </c>
    </row>
    <row r="2602" spans="1:5" x14ac:dyDescent="0.2">
      <c r="A2602" s="3">
        <v>46003</v>
      </c>
      <c r="B2602" t="s">
        <v>1</v>
      </c>
      <c r="C2602">
        <v>1</v>
      </c>
      <c r="D2602" t="str">
        <f>_xlfn.XLOOKUP(RW_DT_PRODUCTION[[#This Row],[MATERIAL_ID]],DIM_MATERIAL[MATERIAL_ID],DIM_MATERIAL[UOM_AFTER_PROCESS])</f>
        <v>BALE</v>
      </c>
      <c r="E2602">
        <v>62</v>
      </c>
    </row>
    <row r="2603" spans="1:5" x14ac:dyDescent="0.2">
      <c r="A2603" s="3">
        <v>46003</v>
      </c>
      <c r="B2603" t="s">
        <v>1</v>
      </c>
      <c r="C2603">
        <v>1</v>
      </c>
      <c r="D2603" t="str">
        <f>_xlfn.XLOOKUP(RW_DT_PRODUCTION[[#This Row],[MATERIAL_ID]],DIM_MATERIAL[MATERIAL_ID],DIM_MATERIAL[UOM_AFTER_PROCESS])</f>
        <v>BALE</v>
      </c>
      <c r="E2603">
        <v>81</v>
      </c>
    </row>
    <row r="2604" spans="1:5" x14ac:dyDescent="0.2">
      <c r="A2604" s="3">
        <v>46003</v>
      </c>
      <c r="B2604" t="s">
        <v>1</v>
      </c>
      <c r="C2604">
        <v>1</v>
      </c>
      <c r="D2604" t="str">
        <f>_xlfn.XLOOKUP(RW_DT_PRODUCTION[[#This Row],[MATERIAL_ID]],DIM_MATERIAL[MATERIAL_ID],DIM_MATERIAL[UOM_AFTER_PROCESS])</f>
        <v>BALE</v>
      </c>
      <c r="E2604">
        <v>87</v>
      </c>
    </row>
    <row r="2605" spans="1:5" x14ac:dyDescent="0.2">
      <c r="A2605" s="3">
        <v>46003</v>
      </c>
      <c r="B2605" t="s">
        <v>1</v>
      </c>
      <c r="C2605">
        <v>1</v>
      </c>
      <c r="D2605" t="str">
        <f>_xlfn.XLOOKUP(RW_DT_PRODUCTION[[#This Row],[MATERIAL_ID]],DIM_MATERIAL[MATERIAL_ID],DIM_MATERIAL[UOM_AFTER_PROCESS])</f>
        <v>BALE</v>
      </c>
      <c r="E2605">
        <v>79</v>
      </c>
    </row>
    <row r="2606" spans="1:5" x14ac:dyDescent="0.2">
      <c r="A2606" s="3">
        <v>46004</v>
      </c>
      <c r="B2606" t="s">
        <v>1</v>
      </c>
      <c r="C2606">
        <v>1</v>
      </c>
      <c r="D2606" t="str">
        <f>_xlfn.XLOOKUP(RW_DT_PRODUCTION[[#This Row],[MATERIAL_ID]],DIM_MATERIAL[MATERIAL_ID],DIM_MATERIAL[UOM_AFTER_PROCESS])</f>
        <v>BALE</v>
      </c>
      <c r="E2606">
        <v>84</v>
      </c>
    </row>
    <row r="2607" spans="1:5" x14ac:dyDescent="0.2">
      <c r="A2607" s="3">
        <v>46004</v>
      </c>
      <c r="B2607" t="s">
        <v>1</v>
      </c>
      <c r="C2607">
        <v>1</v>
      </c>
      <c r="D2607" t="str">
        <f>_xlfn.XLOOKUP(RW_DT_PRODUCTION[[#This Row],[MATERIAL_ID]],DIM_MATERIAL[MATERIAL_ID],DIM_MATERIAL[UOM_AFTER_PROCESS])</f>
        <v>BALE</v>
      </c>
      <c r="E2607">
        <v>84</v>
      </c>
    </row>
    <row r="2608" spans="1:5" x14ac:dyDescent="0.2">
      <c r="A2608" s="3">
        <v>46004</v>
      </c>
      <c r="B2608" t="s">
        <v>1</v>
      </c>
      <c r="C2608">
        <v>1</v>
      </c>
      <c r="D2608" t="str">
        <f>_xlfn.XLOOKUP(RW_DT_PRODUCTION[[#This Row],[MATERIAL_ID]],DIM_MATERIAL[MATERIAL_ID],DIM_MATERIAL[UOM_AFTER_PROCESS])</f>
        <v>BALE</v>
      </c>
      <c r="E2608">
        <v>66</v>
      </c>
    </row>
    <row r="2609" spans="1:5" x14ac:dyDescent="0.2">
      <c r="A2609" s="3">
        <v>46004</v>
      </c>
      <c r="B2609" t="s">
        <v>1</v>
      </c>
      <c r="C2609">
        <v>1</v>
      </c>
      <c r="D2609" t="str">
        <f>_xlfn.XLOOKUP(RW_DT_PRODUCTION[[#This Row],[MATERIAL_ID]],DIM_MATERIAL[MATERIAL_ID],DIM_MATERIAL[UOM_AFTER_PROCESS])</f>
        <v>BALE</v>
      </c>
      <c r="E2609">
        <v>73</v>
      </c>
    </row>
    <row r="2610" spans="1:5" x14ac:dyDescent="0.2">
      <c r="A2610" s="3">
        <v>46004</v>
      </c>
      <c r="B2610" t="s">
        <v>1</v>
      </c>
      <c r="C2610">
        <v>1</v>
      </c>
      <c r="D2610" t="str">
        <f>_xlfn.XLOOKUP(RW_DT_PRODUCTION[[#This Row],[MATERIAL_ID]],DIM_MATERIAL[MATERIAL_ID],DIM_MATERIAL[UOM_AFTER_PROCESS])</f>
        <v>BALE</v>
      </c>
      <c r="E2610">
        <v>75</v>
      </c>
    </row>
    <row r="2611" spans="1:5" x14ac:dyDescent="0.2">
      <c r="A2611" s="3">
        <v>46004</v>
      </c>
      <c r="B2611" t="s">
        <v>1</v>
      </c>
      <c r="C2611">
        <v>1</v>
      </c>
      <c r="D2611" t="str">
        <f>_xlfn.XLOOKUP(RW_DT_PRODUCTION[[#This Row],[MATERIAL_ID]],DIM_MATERIAL[MATERIAL_ID],DIM_MATERIAL[UOM_AFTER_PROCESS])</f>
        <v>BALE</v>
      </c>
      <c r="E2611">
        <v>80</v>
      </c>
    </row>
    <row r="2612" spans="1:5" x14ac:dyDescent="0.2">
      <c r="A2612" s="3">
        <v>46006</v>
      </c>
      <c r="B2612" t="s">
        <v>1</v>
      </c>
      <c r="C2612">
        <v>1</v>
      </c>
      <c r="D2612" t="str">
        <f>_xlfn.XLOOKUP(RW_DT_PRODUCTION[[#This Row],[MATERIAL_ID]],DIM_MATERIAL[MATERIAL_ID],DIM_MATERIAL[UOM_AFTER_PROCESS])</f>
        <v>BALE</v>
      </c>
      <c r="E2612">
        <v>65</v>
      </c>
    </row>
    <row r="2613" spans="1:5" x14ac:dyDescent="0.2">
      <c r="A2613" s="3">
        <v>46006</v>
      </c>
      <c r="B2613" t="s">
        <v>1</v>
      </c>
      <c r="C2613">
        <v>1</v>
      </c>
      <c r="D2613" t="str">
        <f>_xlfn.XLOOKUP(RW_DT_PRODUCTION[[#This Row],[MATERIAL_ID]],DIM_MATERIAL[MATERIAL_ID],DIM_MATERIAL[UOM_AFTER_PROCESS])</f>
        <v>BALE</v>
      </c>
      <c r="E2613">
        <v>81</v>
      </c>
    </row>
    <row r="2614" spans="1:5" x14ac:dyDescent="0.2">
      <c r="A2614" s="3">
        <v>46006</v>
      </c>
      <c r="B2614" t="s">
        <v>1</v>
      </c>
      <c r="C2614">
        <v>1</v>
      </c>
      <c r="D2614" t="str">
        <f>_xlfn.XLOOKUP(RW_DT_PRODUCTION[[#This Row],[MATERIAL_ID]],DIM_MATERIAL[MATERIAL_ID],DIM_MATERIAL[UOM_AFTER_PROCESS])</f>
        <v>BALE</v>
      </c>
      <c r="E2614">
        <v>71</v>
      </c>
    </row>
    <row r="2615" spans="1:5" x14ac:dyDescent="0.2">
      <c r="A2615" s="3">
        <v>46006</v>
      </c>
      <c r="B2615" t="s">
        <v>1</v>
      </c>
      <c r="C2615">
        <v>1</v>
      </c>
      <c r="D2615" t="str">
        <f>_xlfn.XLOOKUP(RW_DT_PRODUCTION[[#This Row],[MATERIAL_ID]],DIM_MATERIAL[MATERIAL_ID],DIM_MATERIAL[UOM_AFTER_PROCESS])</f>
        <v>BALE</v>
      </c>
      <c r="E2615">
        <v>78</v>
      </c>
    </row>
    <row r="2616" spans="1:5" x14ac:dyDescent="0.2">
      <c r="A2616" s="3">
        <v>46006</v>
      </c>
      <c r="B2616" t="s">
        <v>1</v>
      </c>
      <c r="C2616">
        <v>1</v>
      </c>
      <c r="D2616" t="str">
        <f>_xlfn.XLOOKUP(RW_DT_PRODUCTION[[#This Row],[MATERIAL_ID]],DIM_MATERIAL[MATERIAL_ID],DIM_MATERIAL[UOM_AFTER_PROCESS])</f>
        <v>BALE</v>
      </c>
      <c r="E2616">
        <v>77</v>
      </c>
    </row>
    <row r="2617" spans="1:5" x14ac:dyDescent="0.2">
      <c r="A2617" s="3">
        <v>46006</v>
      </c>
      <c r="B2617" t="s">
        <v>1</v>
      </c>
      <c r="C2617">
        <v>1</v>
      </c>
      <c r="D2617" t="str">
        <f>_xlfn.XLOOKUP(RW_DT_PRODUCTION[[#This Row],[MATERIAL_ID]],DIM_MATERIAL[MATERIAL_ID],DIM_MATERIAL[UOM_AFTER_PROCESS])</f>
        <v>BALE</v>
      </c>
      <c r="E2617">
        <v>84</v>
      </c>
    </row>
    <row r="2618" spans="1:5" x14ac:dyDescent="0.2">
      <c r="A2618" s="3">
        <v>46006</v>
      </c>
      <c r="B2618" t="s">
        <v>1</v>
      </c>
      <c r="C2618">
        <v>1</v>
      </c>
      <c r="D2618" t="str">
        <f>_xlfn.XLOOKUP(RW_DT_PRODUCTION[[#This Row],[MATERIAL_ID]],DIM_MATERIAL[MATERIAL_ID],DIM_MATERIAL[UOM_AFTER_PROCESS])</f>
        <v>BALE</v>
      </c>
      <c r="E2618">
        <v>86</v>
      </c>
    </row>
    <row r="2619" spans="1:5" x14ac:dyDescent="0.2">
      <c r="A2619" s="3">
        <v>46006</v>
      </c>
      <c r="B2619" t="s">
        <v>1</v>
      </c>
      <c r="C2619">
        <v>1</v>
      </c>
      <c r="D2619" t="str">
        <f>_xlfn.XLOOKUP(RW_DT_PRODUCTION[[#This Row],[MATERIAL_ID]],DIM_MATERIAL[MATERIAL_ID],DIM_MATERIAL[UOM_AFTER_PROCESS])</f>
        <v>BALE</v>
      </c>
      <c r="E2619">
        <v>87</v>
      </c>
    </row>
    <row r="2620" spans="1:5" x14ac:dyDescent="0.2">
      <c r="A2620" s="3">
        <v>46006</v>
      </c>
      <c r="B2620" t="s">
        <v>1</v>
      </c>
      <c r="C2620">
        <v>1</v>
      </c>
      <c r="D2620" t="str">
        <f>_xlfn.XLOOKUP(RW_DT_PRODUCTION[[#This Row],[MATERIAL_ID]],DIM_MATERIAL[MATERIAL_ID],DIM_MATERIAL[UOM_AFTER_PROCESS])</f>
        <v>BALE</v>
      </c>
      <c r="E2620">
        <v>66</v>
      </c>
    </row>
    <row r="2621" spans="1:5" x14ac:dyDescent="0.2">
      <c r="A2621" s="3">
        <v>46006</v>
      </c>
      <c r="B2621" t="s">
        <v>1</v>
      </c>
      <c r="C2621">
        <v>1</v>
      </c>
      <c r="D2621" t="str">
        <f>_xlfn.XLOOKUP(RW_DT_PRODUCTION[[#This Row],[MATERIAL_ID]],DIM_MATERIAL[MATERIAL_ID],DIM_MATERIAL[UOM_AFTER_PROCESS])</f>
        <v>BALE</v>
      </c>
      <c r="E2621">
        <v>64</v>
      </c>
    </row>
    <row r="2622" spans="1:5" x14ac:dyDescent="0.2">
      <c r="A2622" s="3">
        <v>46006</v>
      </c>
      <c r="B2622" t="s">
        <v>1</v>
      </c>
      <c r="C2622">
        <v>1</v>
      </c>
      <c r="D2622" t="str">
        <f>_xlfn.XLOOKUP(RW_DT_PRODUCTION[[#This Row],[MATERIAL_ID]],DIM_MATERIAL[MATERIAL_ID],DIM_MATERIAL[UOM_AFTER_PROCESS])</f>
        <v>BALE</v>
      </c>
      <c r="E2622">
        <v>73</v>
      </c>
    </row>
    <row r="2623" spans="1:5" x14ac:dyDescent="0.2">
      <c r="A2623" s="3">
        <v>46006</v>
      </c>
      <c r="B2623" t="s">
        <v>2</v>
      </c>
      <c r="C2623">
        <v>1</v>
      </c>
      <c r="D2623" t="str">
        <f>_xlfn.XLOOKUP(RW_DT_PRODUCTION[[#This Row],[MATERIAL_ID]],DIM_MATERIAL[MATERIAL_ID],DIM_MATERIAL[UOM_AFTER_PROCESS])</f>
        <v>BAG</v>
      </c>
      <c r="E2623">
        <v>22</v>
      </c>
    </row>
    <row r="2624" spans="1:5" x14ac:dyDescent="0.2">
      <c r="A2624" s="3">
        <v>46007</v>
      </c>
      <c r="B2624" t="s">
        <v>1</v>
      </c>
      <c r="C2624">
        <v>1</v>
      </c>
      <c r="D2624" t="str">
        <f>_xlfn.XLOOKUP(RW_DT_PRODUCTION[[#This Row],[MATERIAL_ID]],DIM_MATERIAL[MATERIAL_ID],DIM_MATERIAL[UOM_AFTER_PROCESS])</f>
        <v>BALE</v>
      </c>
      <c r="E2624">
        <v>60</v>
      </c>
    </row>
    <row r="2625" spans="1:5" x14ac:dyDescent="0.2">
      <c r="A2625" s="3">
        <v>46007</v>
      </c>
      <c r="B2625" t="s">
        <v>1</v>
      </c>
      <c r="C2625">
        <v>1</v>
      </c>
      <c r="D2625" t="str">
        <f>_xlfn.XLOOKUP(RW_DT_PRODUCTION[[#This Row],[MATERIAL_ID]],DIM_MATERIAL[MATERIAL_ID],DIM_MATERIAL[UOM_AFTER_PROCESS])</f>
        <v>BALE</v>
      </c>
      <c r="E2625">
        <v>88</v>
      </c>
    </row>
    <row r="2626" spans="1:5" x14ac:dyDescent="0.2">
      <c r="A2626" s="3">
        <v>46007</v>
      </c>
      <c r="B2626" t="s">
        <v>1</v>
      </c>
      <c r="C2626">
        <v>1</v>
      </c>
      <c r="D2626" t="str">
        <f>_xlfn.XLOOKUP(RW_DT_PRODUCTION[[#This Row],[MATERIAL_ID]],DIM_MATERIAL[MATERIAL_ID],DIM_MATERIAL[UOM_AFTER_PROCESS])</f>
        <v>BALE</v>
      </c>
      <c r="E2626">
        <v>71</v>
      </c>
    </row>
    <row r="2627" spans="1:5" x14ac:dyDescent="0.2">
      <c r="A2627" s="3">
        <v>46007</v>
      </c>
      <c r="B2627" t="s">
        <v>1</v>
      </c>
      <c r="C2627">
        <v>1</v>
      </c>
      <c r="D2627" t="str">
        <f>_xlfn.XLOOKUP(RW_DT_PRODUCTION[[#This Row],[MATERIAL_ID]],DIM_MATERIAL[MATERIAL_ID],DIM_MATERIAL[UOM_AFTER_PROCESS])</f>
        <v>BALE</v>
      </c>
      <c r="E2627">
        <v>67</v>
      </c>
    </row>
    <row r="2628" spans="1:5" x14ac:dyDescent="0.2">
      <c r="A2628" s="3">
        <v>46007</v>
      </c>
      <c r="B2628" t="s">
        <v>1</v>
      </c>
      <c r="C2628">
        <v>1</v>
      </c>
      <c r="D2628" t="str">
        <f>_xlfn.XLOOKUP(RW_DT_PRODUCTION[[#This Row],[MATERIAL_ID]],DIM_MATERIAL[MATERIAL_ID],DIM_MATERIAL[UOM_AFTER_PROCESS])</f>
        <v>BALE</v>
      </c>
      <c r="E2628">
        <v>62</v>
      </c>
    </row>
    <row r="2629" spans="1:5" x14ac:dyDescent="0.2">
      <c r="A2629" s="3">
        <v>46007</v>
      </c>
      <c r="B2629" t="s">
        <v>1</v>
      </c>
      <c r="C2629">
        <v>1</v>
      </c>
      <c r="D2629" t="str">
        <f>_xlfn.XLOOKUP(RW_DT_PRODUCTION[[#This Row],[MATERIAL_ID]],DIM_MATERIAL[MATERIAL_ID],DIM_MATERIAL[UOM_AFTER_PROCESS])</f>
        <v>BALE</v>
      </c>
      <c r="E2629">
        <v>73</v>
      </c>
    </row>
    <row r="2630" spans="1:5" x14ac:dyDescent="0.2">
      <c r="A2630" s="3">
        <v>46008</v>
      </c>
      <c r="B2630" t="s">
        <v>1</v>
      </c>
      <c r="C2630">
        <v>1</v>
      </c>
      <c r="D2630" t="str">
        <f>_xlfn.XLOOKUP(RW_DT_PRODUCTION[[#This Row],[MATERIAL_ID]],DIM_MATERIAL[MATERIAL_ID],DIM_MATERIAL[UOM_AFTER_PROCESS])</f>
        <v>BALE</v>
      </c>
      <c r="E2630">
        <v>80</v>
      </c>
    </row>
    <row r="2631" spans="1:5" x14ac:dyDescent="0.2">
      <c r="A2631" s="3">
        <v>46008</v>
      </c>
      <c r="B2631" t="s">
        <v>1</v>
      </c>
      <c r="C2631">
        <v>1</v>
      </c>
      <c r="D2631" t="str">
        <f>_xlfn.XLOOKUP(RW_DT_PRODUCTION[[#This Row],[MATERIAL_ID]],DIM_MATERIAL[MATERIAL_ID],DIM_MATERIAL[UOM_AFTER_PROCESS])</f>
        <v>BALE</v>
      </c>
      <c r="E2631">
        <v>62</v>
      </c>
    </row>
    <row r="2632" spans="1:5" x14ac:dyDescent="0.2">
      <c r="A2632" s="3">
        <v>46008</v>
      </c>
      <c r="B2632" t="s">
        <v>1</v>
      </c>
      <c r="C2632">
        <v>1</v>
      </c>
      <c r="D2632" t="str">
        <f>_xlfn.XLOOKUP(RW_DT_PRODUCTION[[#This Row],[MATERIAL_ID]],DIM_MATERIAL[MATERIAL_ID],DIM_MATERIAL[UOM_AFTER_PROCESS])</f>
        <v>BALE</v>
      </c>
      <c r="E2632">
        <v>89</v>
      </c>
    </row>
    <row r="2633" spans="1:5" x14ac:dyDescent="0.2">
      <c r="A2633" s="3">
        <v>46008</v>
      </c>
      <c r="B2633" t="s">
        <v>1</v>
      </c>
      <c r="C2633">
        <v>1</v>
      </c>
      <c r="D2633" t="str">
        <f>_xlfn.XLOOKUP(RW_DT_PRODUCTION[[#This Row],[MATERIAL_ID]],DIM_MATERIAL[MATERIAL_ID],DIM_MATERIAL[UOM_AFTER_PROCESS])</f>
        <v>BALE</v>
      </c>
      <c r="E2633">
        <v>71</v>
      </c>
    </row>
    <row r="2634" spans="1:5" x14ac:dyDescent="0.2">
      <c r="A2634" s="3">
        <v>46008</v>
      </c>
      <c r="B2634" t="s">
        <v>1</v>
      </c>
      <c r="C2634">
        <v>1</v>
      </c>
      <c r="D2634" t="str">
        <f>_xlfn.XLOOKUP(RW_DT_PRODUCTION[[#This Row],[MATERIAL_ID]],DIM_MATERIAL[MATERIAL_ID],DIM_MATERIAL[UOM_AFTER_PROCESS])</f>
        <v>BALE</v>
      </c>
      <c r="E2634">
        <v>67</v>
      </c>
    </row>
    <row r="2635" spans="1:5" x14ac:dyDescent="0.2">
      <c r="A2635" s="3">
        <v>46008</v>
      </c>
      <c r="B2635" t="s">
        <v>1</v>
      </c>
      <c r="C2635">
        <v>1</v>
      </c>
      <c r="D2635" t="str">
        <f>_xlfn.XLOOKUP(RW_DT_PRODUCTION[[#This Row],[MATERIAL_ID]],DIM_MATERIAL[MATERIAL_ID],DIM_MATERIAL[UOM_AFTER_PROCESS])</f>
        <v>BALE</v>
      </c>
      <c r="E2635">
        <v>73</v>
      </c>
    </row>
    <row r="2636" spans="1:5" x14ac:dyDescent="0.2">
      <c r="A2636" s="3">
        <v>46008</v>
      </c>
      <c r="B2636" t="s">
        <v>1</v>
      </c>
      <c r="C2636">
        <v>1</v>
      </c>
      <c r="D2636" t="str">
        <f>_xlfn.XLOOKUP(RW_DT_PRODUCTION[[#This Row],[MATERIAL_ID]],DIM_MATERIAL[MATERIAL_ID],DIM_MATERIAL[UOM_AFTER_PROCESS])</f>
        <v>BALE</v>
      </c>
      <c r="E2636">
        <v>87</v>
      </c>
    </row>
    <row r="2637" spans="1:5" x14ac:dyDescent="0.2">
      <c r="A2637" s="3">
        <v>46008</v>
      </c>
      <c r="B2637" t="s">
        <v>1</v>
      </c>
      <c r="C2637">
        <v>1</v>
      </c>
      <c r="D2637" t="str">
        <f>_xlfn.XLOOKUP(RW_DT_PRODUCTION[[#This Row],[MATERIAL_ID]],DIM_MATERIAL[MATERIAL_ID],DIM_MATERIAL[UOM_AFTER_PROCESS])</f>
        <v>BALE</v>
      </c>
      <c r="E2637">
        <v>75</v>
      </c>
    </row>
    <row r="2638" spans="1:5" x14ac:dyDescent="0.2">
      <c r="A2638" s="3">
        <v>46008</v>
      </c>
      <c r="B2638" t="s">
        <v>1</v>
      </c>
      <c r="C2638">
        <v>1</v>
      </c>
      <c r="D2638" t="str">
        <f>_xlfn.XLOOKUP(RW_DT_PRODUCTION[[#This Row],[MATERIAL_ID]],DIM_MATERIAL[MATERIAL_ID],DIM_MATERIAL[UOM_AFTER_PROCESS])</f>
        <v>BALE</v>
      </c>
      <c r="E2638">
        <v>65</v>
      </c>
    </row>
    <row r="2639" spans="1:5" x14ac:dyDescent="0.2">
      <c r="A2639" s="3">
        <v>46008</v>
      </c>
      <c r="B2639" t="s">
        <v>1</v>
      </c>
      <c r="C2639">
        <v>1</v>
      </c>
      <c r="D2639" t="str">
        <f>_xlfn.XLOOKUP(RW_DT_PRODUCTION[[#This Row],[MATERIAL_ID]],DIM_MATERIAL[MATERIAL_ID],DIM_MATERIAL[UOM_AFTER_PROCESS])</f>
        <v>BALE</v>
      </c>
      <c r="E2639">
        <v>86</v>
      </c>
    </row>
    <row r="2640" spans="1:5" x14ac:dyDescent="0.2">
      <c r="A2640" s="3">
        <v>46008</v>
      </c>
      <c r="B2640" t="s">
        <v>2</v>
      </c>
      <c r="C2640">
        <v>1</v>
      </c>
      <c r="D2640" t="str">
        <f>_xlfn.XLOOKUP(RW_DT_PRODUCTION[[#This Row],[MATERIAL_ID]],DIM_MATERIAL[MATERIAL_ID],DIM_MATERIAL[UOM_AFTER_PROCESS])</f>
        <v>BAG</v>
      </c>
      <c r="E2640">
        <v>22</v>
      </c>
    </row>
    <row r="2641" spans="1:5" x14ac:dyDescent="0.2">
      <c r="A2641" s="3">
        <v>46009</v>
      </c>
      <c r="B2641" t="s">
        <v>1</v>
      </c>
      <c r="C2641">
        <v>1</v>
      </c>
      <c r="D2641" t="str">
        <f>_xlfn.XLOOKUP(RW_DT_PRODUCTION[[#This Row],[MATERIAL_ID]],DIM_MATERIAL[MATERIAL_ID],DIM_MATERIAL[UOM_AFTER_PROCESS])</f>
        <v>BALE</v>
      </c>
      <c r="E2641">
        <v>63</v>
      </c>
    </row>
    <row r="2642" spans="1:5" x14ac:dyDescent="0.2">
      <c r="A2642" s="3">
        <v>46009</v>
      </c>
      <c r="B2642" t="s">
        <v>1</v>
      </c>
      <c r="C2642">
        <v>1</v>
      </c>
      <c r="D2642" t="str">
        <f>_xlfn.XLOOKUP(RW_DT_PRODUCTION[[#This Row],[MATERIAL_ID]],DIM_MATERIAL[MATERIAL_ID],DIM_MATERIAL[UOM_AFTER_PROCESS])</f>
        <v>BALE</v>
      </c>
      <c r="E2642">
        <v>69</v>
      </c>
    </row>
    <row r="2643" spans="1:5" x14ac:dyDescent="0.2">
      <c r="A2643" s="3">
        <v>46009</v>
      </c>
      <c r="B2643" t="s">
        <v>1</v>
      </c>
      <c r="C2643">
        <v>1</v>
      </c>
      <c r="D2643" t="str">
        <f>_xlfn.XLOOKUP(RW_DT_PRODUCTION[[#This Row],[MATERIAL_ID]],DIM_MATERIAL[MATERIAL_ID],DIM_MATERIAL[UOM_AFTER_PROCESS])</f>
        <v>BALE</v>
      </c>
      <c r="E2643">
        <v>64</v>
      </c>
    </row>
    <row r="2644" spans="1:5" x14ac:dyDescent="0.2">
      <c r="A2644" s="3">
        <v>46009</v>
      </c>
      <c r="B2644" t="s">
        <v>1</v>
      </c>
      <c r="C2644">
        <v>1</v>
      </c>
      <c r="D2644" t="str">
        <f>_xlfn.XLOOKUP(RW_DT_PRODUCTION[[#This Row],[MATERIAL_ID]],DIM_MATERIAL[MATERIAL_ID],DIM_MATERIAL[UOM_AFTER_PROCESS])</f>
        <v>BALE</v>
      </c>
      <c r="E2644">
        <v>80</v>
      </c>
    </row>
    <row r="2645" spans="1:5" x14ac:dyDescent="0.2">
      <c r="A2645" s="3">
        <v>46009</v>
      </c>
      <c r="B2645" t="s">
        <v>1</v>
      </c>
      <c r="C2645">
        <v>1</v>
      </c>
      <c r="D2645" t="str">
        <f>_xlfn.XLOOKUP(RW_DT_PRODUCTION[[#This Row],[MATERIAL_ID]],DIM_MATERIAL[MATERIAL_ID],DIM_MATERIAL[UOM_AFTER_PROCESS])</f>
        <v>BALE</v>
      </c>
      <c r="E2645">
        <v>61</v>
      </c>
    </row>
    <row r="2646" spans="1:5" x14ac:dyDescent="0.2">
      <c r="A2646" s="3">
        <v>46009</v>
      </c>
      <c r="B2646" t="s">
        <v>1</v>
      </c>
      <c r="C2646">
        <v>1</v>
      </c>
      <c r="D2646" t="str">
        <f>_xlfn.XLOOKUP(RW_DT_PRODUCTION[[#This Row],[MATERIAL_ID]],DIM_MATERIAL[MATERIAL_ID],DIM_MATERIAL[UOM_AFTER_PROCESS])</f>
        <v>BALE</v>
      </c>
      <c r="E2646">
        <v>82</v>
      </c>
    </row>
    <row r="2647" spans="1:5" x14ac:dyDescent="0.2">
      <c r="A2647" s="3">
        <v>46009</v>
      </c>
      <c r="B2647" t="s">
        <v>1</v>
      </c>
      <c r="C2647">
        <v>1</v>
      </c>
      <c r="D2647" t="str">
        <f>_xlfn.XLOOKUP(RW_DT_PRODUCTION[[#This Row],[MATERIAL_ID]],DIM_MATERIAL[MATERIAL_ID],DIM_MATERIAL[UOM_AFTER_PROCESS])</f>
        <v>BALE</v>
      </c>
      <c r="E2647">
        <v>63</v>
      </c>
    </row>
    <row r="2648" spans="1:5" x14ac:dyDescent="0.2">
      <c r="A2648" s="3">
        <v>46010</v>
      </c>
      <c r="B2648" t="s">
        <v>1</v>
      </c>
      <c r="C2648">
        <v>1</v>
      </c>
      <c r="D2648" t="str">
        <f>_xlfn.XLOOKUP(RW_DT_PRODUCTION[[#This Row],[MATERIAL_ID]],DIM_MATERIAL[MATERIAL_ID],DIM_MATERIAL[UOM_AFTER_PROCESS])</f>
        <v>BALE</v>
      </c>
      <c r="E2648">
        <v>66</v>
      </c>
    </row>
    <row r="2649" spans="1:5" x14ac:dyDescent="0.2">
      <c r="A2649" s="3">
        <v>46010</v>
      </c>
      <c r="B2649" t="s">
        <v>1</v>
      </c>
      <c r="C2649">
        <v>1</v>
      </c>
      <c r="D2649" t="str">
        <f>_xlfn.XLOOKUP(RW_DT_PRODUCTION[[#This Row],[MATERIAL_ID]],DIM_MATERIAL[MATERIAL_ID],DIM_MATERIAL[UOM_AFTER_PROCESS])</f>
        <v>BALE</v>
      </c>
      <c r="E2649">
        <v>73</v>
      </c>
    </row>
    <row r="2650" spans="1:5" x14ac:dyDescent="0.2">
      <c r="A2650" s="3">
        <v>46010</v>
      </c>
      <c r="B2650" t="s">
        <v>1</v>
      </c>
      <c r="C2650">
        <v>1</v>
      </c>
      <c r="D2650" t="str">
        <f>_xlfn.XLOOKUP(RW_DT_PRODUCTION[[#This Row],[MATERIAL_ID]],DIM_MATERIAL[MATERIAL_ID],DIM_MATERIAL[UOM_AFTER_PROCESS])</f>
        <v>BALE</v>
      </c>
      <c r="E2650">
        <v>65</v>
      </c>
    </row>
    <row r="2651" spans="1:5" x14ac:dyDescent="0.2">
      <c r="A2651" s="3">
        <v>46010</v>
      </c>
      <c r="B2651" t="s">
        <v>1</v>
      </c>
      <c r="C2651">
        <v>1</v>
      </c>
      <c r="D2651" t="str">
        <f>_xlfn.XLOOKUP(RW_DT_PRODUCTION[[#This Row],[MATERIAL_ID]],DIM_MATERIAL[MATERIAL_ID],DIM_MATERIAL[UOM_AFTER_PROCESS])</f>
        <v>BALE</v>
      </c>
      <c r="E2651">
        <v>80</v>
      </c>
    </row>
    <row r="2652" spans="1:5" x14ac:dyDescent="0.2">
      <c r="A2652" s="3">
        <v>46010</v>
      </c>
      <c r="B2652" t="s">
        <v>1</v>
      </c>
      <c r="C2652">
        <v>1</v>
      </c>
      <c r="D2652" t="str">
        <f>_xlfn.XLOOKUP(RW_DT_PRODUCTION[[#This Row],[MATERIAL_ID]],DIM_MATERIAL[MATERIAL_ID],DIM_MATERIAL[UOM_AFTER_PROCESS])</f>
        <v>BALE</v>
      </c>
      <c r="E2652">
        <v>77</v>
      </c>
    </row>
    <row r="2653" spans="1:5" x14ac:dyDescent="0.2">
      <c r="A2653" s="3">
        <v>46010</v>
      </c>
      <c r="B2653" t="s">
        <v>1</v>
      </c>
      <c r="C2653">
        <v>1</v>
      </c>
      <c r="D2653" t="str">
        <f>_xlfn.XLOOKUP(RW_DT_PRODUCTION[[#This Row],[MATERIAL_ID]],DIM_MATERIAL[MATERIAL_ID],DIM_MATERIAL[UOM_AFTER_PROCESS])</f>
        <v>BALE</v>
      </c>
      <c r="E2653">
        <v>72</v>
      </c>
    </row>
    <row r="2654" spans="1:5" x14ac:dyDescent="0.2">
      <c r="A2654" s="3">
        <v>46010</v>
      </c>
      <c r="B2654" t="s">
        <v>1</v>
      </c>
      <c r="C2654">
        <v>1</v>
      </c>
      <c r="D2654" t="str">
        <f>_xlfn.XLOOKUP(RW_DT_PRODUCTION[[#This Row],[MATERIAL_ID]],DIM_MATERIAL[MATERIAL_ID],DIM_MATERIAL[UOM_AFTER_PROCESS])</f>
        <v>BALE</v>
      </c>
      <c r="E2654">
        <v>82</v>
      </c>
    </row>
    <row r="2655" spans="1:5" x14ac:dyDescent="0.2">
      <c r="A2655" s="3">
        <v>46010</v>
      </c>
      <c r="B2655" t="s">
        <v>1</v>
      </c>
      <c r="C2655">
        <v>1</v>
      </c>
      <c r="D2655" t="str">
        <f>_xlfn.XLOOKUP(RW_DT_PRODUCTION[[#This Row],[MATERIAL_ID]],DIM_MATERIAL[MATERIAL_ID],DIM_MATERIAL[UOM_AFTER_PROCESS])</f>
        <v>BALE</v>
      </c>
      <c r="E2655">
        <v>61</v>
      </c>
    </row>
    <row r="2656" spans="1:5" x14ac:dyDescent="0.2">
      <c r="A2656" s="3">
        <v>46010</v>
      </c>
      <c r="B2656" t="s">
        <v>1</v>
      </c>
      <c r="C2656">
        <v>1</v>
      </c>
      <c r="D2656" t="str">
        <f>_xlfn.XLOOKUP(RW_DT_PRODUCTION[[#This Row],[MATERIAL_ID]],DIM_MATERIAL[MATERIAL_ID],DIM_MATERIAL[UOM_AFTER_PROCESS])</f>
        <v>BALE</v>
      </c>
      <c r="E2656">
        <v>67</v>
      </c>
    </row>
    <row r="2657" spans="1:5" x14ac:dyDescent="0.2">
      <c r="A2657" s="3">
        <v>46010</v>
      </c>
      <c r="B2657" t="s">
        <v>1</v>
      </c>
      <c r="C2657">
        <v>1</v>
      </c>
      <c r="D2657" t="str">
        <f>_xlfn.XLOOKUP(RW_DT_PRODUCTION[[#This Row],[MATERIAL_ID]],DIM_MATERIAL[MATERIAL_ID],DIM_MATERIAL[UOM_AFTER_PROCESS])</f>
        <v>BALE</v>
      </c>
      <c r="E2657">
        <v>61</v>
      </c>
    </row>
    <row r="2658" spans="1:5" x14ac:dyDescent="0.2">
      <c r="A2658" s="3">
        <v>46010</v>
      </c>
      <c r="B2658" t="s">
        <v>1</v>
      </c>
      <c r="C2658">
        <v>1</v>
      </c>
      <c r="D2658" t="str">
        <f>_xlfn.XLOOKUP(RW_DT_PRODUCTION[[#This Row],[MATERIAL_ID]],DIM_MATERIAL[MATERIAL_ID],DIM_MATERIAL[UOM_AFTER_PROCESS])</f>
        <v>BALE</v>
      </c>
      <c r="E2658">
        <v>83</v>
      </c>
    </row>
    <row r="2659" spans="1:5" x14ac:dyDescent="0.2">
      <c r="A2659" s="3">
        <v>46010</v>
      </c>
      <c r="B2659" t="s">
        <v>1</v>
      </c>
      <c r="C2659">
        <v>1</v>
      </c>
      <c r="D2659" t="str">
        <f>_xlfn.XLOOKUP(RW_DT_PRODUCTION[[#This Row],[MATERIAL_ID]],DIM_MATERIAL[MATERIAL_ID],DIM_MATERIAL[UOM_AFTER_PROCESS])</f>
        <v>BALE</v>
      </c>
      <c r="E2659">
        <v>76</v>
      </c>
    </row>
    <row r="2660" spans="1:5" x14ac:dyDescent="0.2">
      <c r="A2660" s="3">
        <v>46010</v>
      </c>
      <c r="B2660" t="s">
        <v>1</v>
      </c>
      <c r="C2660">
        <v>1</v>
      </c>
      <c r="D2660" t="str">
        <f>_xlfn.XLOOKUP(RW_DT_PRODUCTION[[#This Row],[MATERIAL_ID]],DIM_MATERIAL[MATERIAL_ID],DIM_MATERIAL[UOM_AFTER_PROCESS])</f>
        <v>BALE</v>
      </c>
      <c r="E2660">
        <v>74</v>
      </c>
    </row>
    <row r="2661" spans="1:5" x14ac:dyDescent="0.2">
      <c r="A2661" s="3">
        <v>46010</v>
      </c>
      <c r="B2661" t="s">
        <v>2</v>
      </c>
      <c r="C2661">
        <v>1</v>
      </c>
      <c r="D2661" t="str">
        <f>_xlfn.XLOOKUP(RW_DT_PRODUCTION[[#This Row],[MATERIAL_ID]],DIM_MATERIAL[MATERIAL_ID],DIM_MATERIAL[UOM_AFTER_PROCESS])</f>
        <v>BAG</v>
      </c>
      <c r="E2661">
        <v>22</v>
      </c>
    </row>
    <row r="2662" spans="1:5" x14ac:dyDescent="0.2">
      <c r="A2662" s="3">
        <v>46011</v>
      </c>
      <c r="B2662" t="s">
        <v>1</v>
      </c>
      <c r="C2662">
        <v>1</v>
      </c>
      <c r="D2662" t="str">
        <f>_xlfn.XLOOKUP(RW_DT_PRODUCTION[[#This Row],[MATERIAL_ID]],DIM_MATERIAL[MATERIAL_ID],DIM_MATERIAL[UOM_AFTER_PROCESS])</f>
        <v>BALE</v>
      </c>
      <c r="E2662">
        <v>63</v>
      </c>
    </row>
    <row r="2663" spans="1:5" x14ac:dyDescent="0.2">
      <c r="A2663" s="3">
        <v>46011</v>
      </c>
      <c r="B2663" t="s">
        <v>1</v>
      </c>
      <c r="C2663">
        <v>1</v>
      </c>
      <c r="D2663" t="str">
        <f>_xlfn.XLOOKUP(RW_DT_PRODUCTION[[#This Row],[MATERIAL_ID]],DIM_MATERIAL[MATERIAL_ID],DIM_MATERIAL[UOM_AFTER_PROCESS])</f>
        <v>BALE</v>
      </c>
      <c r="E2663">
        <v>62</v>
      </c>
    </row>
    <row r="2664" spans="1:5" x14ac:dyDescent="0.2">
      <c r="A2664" s="3">
        <v>46011</v>
      </c>
      <c r="B2664" t="s">
        <v>1</v>
      </c>
      <c r="C2664">
        <v>1</v>
      </c>
      <c r="D2664" t="str">
        <f>_xlfn.XLOOKUP(RW_DT_PRODUCTION[[#This Row],[MATERIAL_ID]],DIM_MATERIAL[MATERIAL_ID],DIM_MATERIAL[UOM_AFTER_PROCESS])</f>
        <v>BALE</v>
      </c>
      <c r="E2664">
        <v>78</v>
      </c>
    </row>
    <row r="2665" spans="1:5" x14ac:dyDescent="0.2">
      <c r="A2665" s="3">
        <v>46011</v>
      </c>
      <c r="B2665" t="s">
        <v>1</v>
      </c>
      <c r="C2665">
        <v>1</v>
      </c>
      <c r="D2665" t="str">
        <f>_xlfn.XLOOKUP(RW_DT_PRODUCTION[[#This Row],[MATERIAL_ID]],DIM_MATERIAL[MATERIAL_ID],DIM_MATERIAL[UOM_AFTER_PROCESS])</f>
        <v>BALE</v>
      </c>
      <c r="E2665">
        <v>87</v>
      </c>
    </row>
    <row r="2666" spans="1:5" x14ac:dyDescent="0.2">
      <c r="A2666" s="3">
        <v>46011</v>
      </c>
      <c r="B2666" t="s">
        <v>1</v>
      </c>
      <c r="C2666">
        <v>1</v>
      </c>
      <c r="D2666" t="str">
        <f>_xlfn.XLOOKUP(RW_DT_PRODUCTION[[#This Row],[MATERIAL_ID]],DIM_MATERIAL[MATERIAL_ID],DIM_MATERIAL[UOM_AFTER_PROCESS])</f>
        <v>BALE</v>
      </c>
      <c r="E2666">
        <v>84</v>
      </c>
    </row>
    <row r="2667" spans="1:5" x14ac:dyDescent="0.2">
      <c r="A2667" s="3">
        <v>46011</v>
      </c>
      <c r="B2667" t="s">
        <v>1</v>
      </c>
      <c r="C2667">
        <v>1</v>
      </c>
      <c r="D2667" t="str">
        <f>_xlfn.XLOOKUP(RW_DT_PRODUCTION[[#This Row],[MATERIAL_ID]],DIM_MATERIAL[MATERIAL_ID],DIM_MATERIAL[UOM_AFTER_PROCESS])</f>
        <v>BALE</v>
      </c>
      <c r="E2667">
        <v>64</v>
      </c>
    </row>
    <row r="2668" spans="1:5" x14ac:dyDescent="0.2">
      <c r="A2668" s="3">
        <v>46011</v>
      </c>
      <c r="B2668" t="s">
        <v>1</v>
      </c>
      <c r="C2668">
        <v>1</v>
      </c>
      <c r="D2668" t="str">
        <f>_xlfn.XLOOKUP(RW_DT_PRODUCTION[[#This Row],[MATERIAL_ID]],DIM_MATERIAL[MATERIAL_ID],DIM_MATERIAL[UOM_AFTER_PROCESS])</f>
        <v>BALE</v>
      </c>
      <c r="E2668">
        <v>71</v>
      </c>
    </row>
    <row r="2669" spans="1:5" x14ac:dyDescent="0.2">
      <c r="A2669" s="3">
        <v>46013</v>
      </c>
      <c r="B2669" t="s">
        <v>1</v>
      </c>
      <c r="C2669">
        <v>1</v>
      </c>
      <c r="D2669" t="str">
        <f>_xlfn.XLOOKUP(RW_DT_PRODUCTION[[#This Row],[MATERIAL_ID]],DIM_MATERIAL[MATERIAL_ID],DIM_MATERIAL[UOM_AFTER_PROCESS])</f>
        <v>BALE</v>
      </c>
      <c r="E2669">
        <v>73</v>
      </c>
    </row>
    <row r="2670" spans="1:5" x14ac:dyDescent="0.2">
      <c r="A2670" s="3">
        <v>46013</v>
      </c>
      <c r="B2670" t="s">
        <v>1</v>
      </c>
      <c r="C2670">
        <v>1</v>
      </c>
      <c r="D2670" t="str">
        <f>_xlfn.XLOOKUP(RW_DT_PRODUCTION[[#This Row],[MATERIAL_ID]],DIM_MATERIAL[MATERIAL_ID],DIM_MATERIAL[UOM_AFTER_PROCESS])</f>
        <v>BALE</v>
      </c>
      <c r="E2670">
        <v>69</v>
      </c>
    </row>
    <row r="2671" spans="1:5" x14ac:dyDescent="0.2">
      <c r="A2671" s="3">
        <v>46013</v>
      </c>
      <c r="B2671" t="s">
        <v>1</v>
      </c>
      <c r="C2671">
        <v>1</v>
      </c>
      <c r="D2671" t="str">
        <f>_xlfn.XLOOKUP(RW_DT_PRODUCTION[[#This Row],[MATERIAL_ID]],DIM_MATERIAL[MATERIAL_ID],DIM_MATERIAL[UOM_AFTER_PROCESS])</f>
        <v>BALE</v>
      </c>
      <c r="E2671">
        <v>61</v>
      </c>
    </row>
    <row r="2672" spans="1:5" x14ac:dyDescent="0.2">
      <c r="A2672" s="3">
        <v>46013</v>
      </c>
      <c r="B2672" t="s">
        <v>1</v>
      </c>
      <c r="C2672">
        <v>1</v>
      </c>
      <c r="D2672" t="str">
        <f>_xlfn.XLOOKUP(RW_DT_PRODUCTION[[#This Row],[MATERIAL_ID]],DIM_MATERIAL[MATERIAL_ID],DIM_MATERIAL[UOM_AFTER_PROCESS])</f>
        <v>BALE</v>
      </c>
      <c r="E2672">
        <v>84</v>
      </c>
    </row>
    <row r="2673" spans="1:5" x14ac:dyDescent="0.2">
      <c r="A2673" s="3">
        <v>46013</v>
      </c>
      <c r="B2673" t="s">
        <v>1</v>
      </c>
      <c r="C2673">
        <v>1</v>
      </c>
      <c r="D2673" t="str">
        <f>_xlfn.XLOOKUP(RW_DT_PRODUCTION[[#This Row],[MATERIAL_ID]],DIM_MATERIAL[MATERIAL_ID],DIM_MATERIAL[UOM_AFTER_PROCESS])</f>
        <v>BALE</v>
      </c>
      <c r="E2673">
        <v>61</v>
      </c>
    </row>
    <row r="2674" spans="1:5" x14ac:dyDescent="0.2">
      <c r="A2674" s="3">
        <v>46013</v>
      </c>
      <c r="B2674" t="s">
        <v>1</v>
      </c>
      <c r="C2674">
        <v>1</v>
      </c>
      <c r="D2674" t="str">
        <f>_xlfn.XLOOKUP(RW_DT_PRODUCTION[[#This Row],[MATERIAL_ID]],DIM_MATERIAL[MATERIAL_ID],DIM_MATERIAL[UOM_AFTER_PROCESS])</f>
        <v>BALE</v>
      </c>
      <c r="E2674">
        <v>75</v>
      </c>
    </row>
    <row r="2675" spans="1:5" x14ac:dyDescent="0.2">
      <c r="A2675" s="3">
        <v>46013</v>
      </c>
      <c r="B2675" t="s">
        <v>1</v>
      </c>
      <c r="C2675">
        <v>1</v>
      </c>
      <c r="D2675" t="str">
        <f>_xlfn.XLOOKUP(RW_DT_PRODUCTION[[#This Row],[MATERIAL_ID]],DIM_MATERIAL[MATERIAL_ID],DIM_MATERIAL[UOM_AFTER_PROCESS])</f>
        <v>BALE</v>
      </c>
      <c r="E2675">
        <v>76</v>
      </c>
    </row>
    <row r="2676" spans="1:5" x14ac:dyDescent="0.2">
      <c r="A2676" s="3">
        <v>46013</v>
      </c>
      <c r="B2676" t="s">
        <v>1</v>
      </c>
      <c r="C2676">
        <v>1</v>
      </c>
      <c r="D2676" t="str">
        <f>_xlfn.XLOOKUP(RW_DT_PRODUCTION[[#This Row],[MATERIAL_ID]],DIM_MATERIAL[MATERIAL_ID],DIM_MATERIAL[UOM_AFTER_PROCESS])</f>
        <v>BALE</v>
      </c>
      <c r="E2676">
        <v>88</v>
      </c>
    </row>
    <row r="2677" spans="1:5" x14ac:dyDescent="0.2">
      <c r="A2677" s="3">
        <v>46013</v>
      </c>
      <c r="B2677" t="s">
        <v>1</v>
      </c>
      <c r="C2677">
        <v>1</v>
      </c>
      <c r="D2677" t="str">
        <f>_xlfn.XLOOKUP(RW_DT_PRODUCTION[[#This Row],[MATERIAL_ID]],DIM_MATERIAL[MATERIAL_ID],DIM_MATERIAL[UOM_AFTER_PROCESS])</f>
        <v>BALE</v>
      </c>
      <c r="E2677">
        <v>89</v>
      </c>
    </row>
    <row r="2678" spans="1:5" x14ac:dyDescent="0.2">
      <c r="A2678" s="3">
        <v>46013</v>
      </c>
      <c r="B2678" t="s">
        <v>1</v>
      </c>
      <c r="C2678">
        <v>1</v>
      </c>
      <c r="D2678" t="str">
        <f>_xlfn.XLOOKUP(RW_DT_PRODUCTION[[#This Row],[MATERIAL_ID]],DIM_MATERIAL[MATERIAL_ID],DIM_MATERIAL[UOM_AFTER_PROCESS])</f>
        <v>BALE</v>
      </c>
      <c r="E2678">
        <v>69</v>
      </c>
    </row>
    <row r="2679" spans="1:5" x14ac:dyDescent="0.2">
      <c r="A2679" s="3">
        <v>46013</v>
      </c>
      <c r="B2679" t="s">
        <v>1</v>
      </c>
      <c r="C2679">
        <v>1</v>
      </c>
      <c r="D2679" t="str">
        <f>_xlfn.XLOOKUP(RW_DT_PRODUCTION[[#This Row],[MATERIAL_ID]],DIM_MATERIAL[MATERIAL_ID],DIM_MATERIAL[UOM_AFTER_PROCESS])</f>
        <v>BALE</v>
      </c>
      <c r="E2679">
        <v>77</v>
      </c>
    </row>
    <row r="2680" spans="1:5" x14ac:dyDescent="0.2">
      <c r="A2680" s="3">
        <v>46013</v>
      </c>
      <c r="B2680" t="s">
        <v>1</v>
      </c>
      <c r="C2680">
        <v>1</v>
      </c>
      <c r="D2680" t="str">
        <f>_xlfn.XLOOKUP(RW_DT_PRODUCTION[[#This Row],[MATERIAL_ID]],DIM_MATERIAL[MATERIAL_ID],DIM_MATERIAL[UOM_AFTER_PROCESS])</f>
        <v>BALE</v>
      </c>
      <c r="E2680">
        <v>76</v>
      </c>
    </row>
    <row r="2681" spans="1:5" x14ac:dyDescent="0.2">
      <c r="A2681" s="3">
        <v>46013</v>
      </c>
      <c r="B2681" t="s">
        <v>1</v>
      </c>
      <c r="C2681">
        <v>1</v>
      </c>
      <c r="D2681" t="str">
        <f>_xlfn.XLOOKUP(RW_DT_PRODUCTION[[#This Row],[MATERIAL_ID]],DIM_MATERIAL[MATERIAL_ID],DIM_MATERIAL[UOM_AFTER_PROCESS])</f>
        <v>BALE</v>
      </c>
      <c r="E2681">
        <v>78</v>
      </c>
    </row>
    <row r="2682" spans="1:5" x14ac:dyDescent="0.2">
      <c r="A2682" s="3">
        <v>46013</v>
      </c>
      <c r="B2682" t="s">
        <v>1</v>
      </c>
      <c r="C2682">
        <v>1</v>
      </c>
      <c r="D2682" t="str">
        <f>_xlfn.XLOOKUP(RW_DT_PRODUCTION[[#This Row],[MATERIAL_ID]],DIM_MATERIAL[MATERIAL_ID],DIM_MATERIAL[UOM_AFTER_PROCESS])</f>
        <v>BALE</v>
      </c>
      <c r="E2682">
        <v>63</v>
      </c>
    </row>
    <row r="2683" spans="1:5" x14ac:dyDescent="0.2">
      <c r="A2683" s="3">
        <v>46013</v>
      </c>
      <c r="B2683" t="s">
        <v>1</v>
      </c>
      <c r="C2683">
        <v>1</v>
      </c>
      <c r="D2683" t="str">
        <f>_xlfn.XLOOKUP(RW_DT_PRODUCTION[[#This Row],[MATERIAL_ID]],DIM_MATERIAL[MATERIAL_ID],DIM_MATERIAL[UOM_AFTER_PROCESS])</f>
        <v>BALE</v>
      </c>
      <c r="E2683">
        <v>69</v>
      </c>
    </row>
    <row r="2684" spans="1:5" x14ac:dyDescent="0.2">
      <c r="A2684" s="3">
        <v>46013</v>
      </c>
      <c r="B2684" t="s">
        <v>1</v>
      </c>
      <c r="C2684">
        <v>1</v>
      </c>
      <c r="D2684" t="str">
        <f>_xlfn.XLOOKUP(RW_DT_PRODUCTION[[#This Row],[MATERIAL_ID]],DIM_MATERIAL[MATERIAL_ID],DIM_MATERIAL[UOM_AFTER_PROCESS])</f>
        <v>BALE</v>
      </c>
      <c r="E2684">
        <v>69</v>
      </c>
    </row>
    <row r="2685" spans="1:5" x14ac:dyDescent="0.2">
      <c r="A2685" s="3">
        <v>46013</v>
      </c>
      <c r="B2685" t="s">
        <v>1</v>
      </c>
      <c r="C2685">
        <v>1</v>
      </c>
      <c r="D2685" t="str">
        <f>_xlfn.XLOOKUP(RW_DT_PRODUCTION[[#This Row],[MATERIAL_ID]],DIM_MATERIAL[MATERIAL_ID],DIM_MATERIAL[UOM_AFTER_PROCESS])</f>
        <v>BALE</v>
      </c>
      <c r="E2685">
        <v>84</v>
      </c>
    </row>
    <row r="2686" spans="1:5" x14ac:dyDescent="0.2">
      <c r="A2686" s="3">
        <v>46014</v>
      </c>
      <c r="B2686" t="s">
        <v>1</v>
      </c>
      <c r="C2686">
        <v>1</v>
      </c>
      <c r="D2686" t="str">
        <f>_xlfn.XLOOKUP(RW_DT_PRODUCTION[[#This Row],[MATERIAL_ID]],DIM_MATERIAL[MATERIAL_ID],DIM_MATERIAL[UOM_AFTER_PROCESS])</f>
        <v>BALE</v>
      </c>
      <c r="E2686">
        <v>74</v>
      </c>
    </row>
    <row r="2687" spans="1:5" x14ac:dyDescent="0.2">
      <c r="A2687" s="3">
        <v>46014</v>
      </c>
      <c r="B2687" t="s">
        <v>1</v>
      </c>
      <c r="C2687">
        <v>1</v>
      </c>
      <c r="D2687" t="str">
        <f>_xlfn.XLOOKUP(RW_DT_PRODUCTION[[#This Row],[MATERIAL_ID]],DIM_MATERIAL[MATERIAL_ID],DIM_MATERIAL[UOM_AFTER_PROCESS])</f>
        <v>BALE</v>
      </c>
      <c r="E2687">
        <v>75</v>
      </c>
    </row>
    <row r="2688" spans="1:5" x14ac:dyDescent="0.2">
      <c r="A2688" s="3">
        <v>46014</v>
      </c>
      <c r="B2688" t="s">
        <v>1</v>
      </c>
      <c r="C2688">
        <v>1</v>
      </c>
      <c r="D2688" t="str">
        <f>_xlfn.XLOOKUP(RW_DT_PRODUCTION[[#This Row],[MATERIAL_ID]],DIM_MATERIAL[MATERIAL_ID],DIM_MATERIAL[UOM_AFTER_PROCESS])</f>
        <v>BALE</v>
      </c>
      <c r="E2688">
        <v>69</v>
      </c>
    </row>
    <row r="2689" spans="1:5" x14ac:dyDescent="0.2">
      <c r="A2689" s="3">
        <v>46014</v>
      </c>
      <c r="B2689" t="s">
        <v>1</v>
      </c>
      <c r="C2689">
        <v>1</v>
      </c>
      <c r="D2689" t="str">
        <f>_xlfn.XLOOKUP(RW_DT_PRODUCTION[[#This Row],[MATERIAL_ID]],DIM_MATERIAL[MATERIAL_ID],DIM_MATERIAL[UOM_AFTER_PROCESS])</f>
        <v>BALE</v>
      </c>
      <c r="E2689">
        <v>82</v>
      </c>
    </row>
    <row r="2690" spans="1:5" x14ac:dyDescent="0.2">
      <c r="A2690" s="3">
        <v>46014</v>
      </c>
      <c r="B2690" t="s">
        <v>1</v>
      </c>
      <c r="C2690">
        <v>1</v>
      </c>
      <c r="D2690" t="str">
        <f>_xlfn.XLOOKUP(RW_DT_PRODUCTION[[#This Row],[MATERIAL_ID]],DIM_MATERIAL[MATERIAL_ID],DIM_MATERIAL[UOM_AFTER_PROCESS])</f>
        <v>BALE</v>
      </c>
      <c r="E2690">
        <v>75</v>
      </c>
    </row>
    <row r="2691" spans="1:5" x14ac:dyDescent="0.2">
      <c r="A2691" s="3">
        <v>46014</v>
      </c>
      <c r="B2691" t="s">
        <v>1</v>
      </c>
      <c r="C2691">
        <v>1</v>
      </c>
      <c r="D2691" t="str">
        <f>_xlfn.XLOOKUP(RW_DT_PRODUCTION[[#This Row],[MATERIAL_ID]],DIM_MATERIAL[MATERIAL_ID],DIM_MATERIAL[UOM_AFTER_PROCESS])</f>
        <v>BALE</v>
      </c>
      <c r="E2691">
        <v>89</v>
      </c>
    </row>
    <row r="2692" spans="1:5" x14ac:dyDescent="0.2">
      <c r="A2692" s="3">
        <v>46014</v>
      </c>
      <c r="B2692" t="s">
        <v>1</v>
      </c>
      <c r="C2692">
        <v>1</v>
      </c>
      <c r="D2692" t="str">
        <f>_xlfn.XLOOKUP(RW_DT_PRODUCTION[[#This Row],[MATERIAL_ID]],DIM_MATERIAL[MATERIAL_ID],DIM_MATERIAL[UOM_AFTER_PROCESS])</f>
        <v>BALE</v>
      </c>
      <c r="E2692">
        <v>68</v>
      </c>
    </row>
    <row r="2693" spans="1:5" x14ac:dyDescent="0.2">
      <c r="A2693" s="3">
        <v>46014</v>
      </c>
      <c r="B2693" t="s">
        <v>1</v>
      </c>
      <c r="C2693">
        <v>1</v>
      </c>
      <c r="D2693" t="str">
        <f>_xlfn.XLOOKUP(RW_DT_PRODUCTION[[#This Row],[MATERIAL_ID]],DIM_MATERIAL[MATERIAL_ID],DIM_MATERIAL[UOM_AFTER_PROCESS])</f>
        <v>BALE</v>
      </c>
      <c r="E2693">
        <v>86</v>
      </c>
    </row>
    <row r="2694" spans="1:5" x14ac:dyDescent="0.2">
      <c r="A2694" s="3">
        <v>46014</v>
      </c>
      <c r="B2694" t="s">
        <v>1</v>
      </c>
      <c r="C2694">
        <v>1</v>
      </c>
      <c r="D2694" t="str">
        <f>_xlfn.XLOOKUP(RW_DT_PRODUCTION[[#This Row],[MATERIAL_ID]],DIM_MATERIAL[MATERIAL_ID],DIM_MATERIAL[UOM_AFTER_PROCESS])</f>
        <v>BALE</v>
      </c>
      <c r="E2694">
        <v>80</v>
      </c>
    </row>
    <row r="2695" spans="1:5" x14ac:dyDescent="0.2">
      <c r="A2695" s="3">
        <v>46015</v>
      </c>
      <c r="B2695" t="s">
        <v>1</v>
      </c>
      <c r="C2695">
        <v>1</v>
      </c>
      <c r="D2695" t="str">
        <f>_xlfn.XLOOKUP(RW_DT_PRODUCTION[[#This Row],[MATERIAL_ID]],DIM_MATERIAL[MATERIAL_ID],DIM_MATERIAL[UOM_AFTER_PROCESS])</f>
        <v>BALE</v>
      </c>
      <c r="E2695">
        <v>73</v>
      </c>
    </row>
    <row r="2696" spans="1:5" x14ac:dyDescent="0.2">
      <c r="A2696" s="3">
        <v>46015</v>
      </c>
      <c r="B2696" t="s">
        <v>1</v>
      </c>
      <c r="C2696">
        <v>1</v>
      </c>
      <c r="D2696" t="str">
        <f>_xlfn.XLOOKUP(RW_DT_PRODUCTION[[#This Row],[MATERIAL_ID]],DIM_MATERIAL[MATERIAL_ID],DIM_MATERIAL[UOM_AFTER_PROCESS])</f>
        <v>BALE</v>
      </c>
      <c r="E2696">
        <v>75</v>
      </c>
    </row>
    <row r="2697" spans="1:5" x14ac:dyDescent="0.2">
      <c r="A2697" s="3">
        <v>46015</v>
      </c>
      <c r="B2697" t="s">
        <v>1</v>
      </c>
      <c r="C2697">
        <v>1</v>
      </c>
      <c r="D2697" t="str">
        <f>_xlfn.XLOOKUP(RW_DT_PRODUCTION[[#This Row],[MATERIAL_ID]],DIM_MATERIAL[MATERIAL_ID],DIM_MATERIAL[UOM_AFTER_PROCESS])</f>
        <v>BALE</v>
      </c>
      <c r="E2697">
        <v>74</v>
      </c>
    </row>
    <row r="2698" spans="1:5" x14ac:dyDescent="0.2">
      <c r="A2698" s="3">
        <v>46015</v>
      </c>
      <c r="B2698" t="s">
        <v>1</v>
      </c>
      <c r="C2698">
        <v>1</v>
      </c>
      <c r="D2698" t="str">
        <f>_xlfn.XLOOKUP(RW_DT_PRODUCTION[[#This Row],[MATERIAL_ID]],DIM_MATERIAL[MATERIAL_ID],DIM_MATERIAL[UOM_AFTER_PROCESS])</f>
        <v>BALE</v>
      </c>
      <c r="E2698">
        <v>86</v>
      </c>
    </row>
    <row r="2699" spans="1:5" x14ac:dyDescent="0.2">
      <c r="A2699" s="3">
        <v>46015</v>
      </c>
      <c r="B2699" t="s">
        <v>1</v>
      </c>
      <c r="C2699">
        <v>1</v>
      </c>
      <c r="D2699" t="str">
        <f>_xlfn.XLOOKUP(RW_DT_PRODUCTION[[#This Row],[MATERIAL_ID]],DIM_MATERIAL[MATERIAL_ID],DIM_MATERIAL[UOM_AFTER_PROCESS])</f>
        <v>BALE</v>
      </c>
      <c r="E2699">
        <v>77</v>
      </c>
    </row>
    <row r="2700" spans="1:5" x14ac:dyDescent="0.2">
      <c r="A2700" s="3">
        <v>46015</v>
      </c>
      <c r="B2700" t="s">
        <v>1</v>
      </c>
      <c r="C2700">
        <v>1</v>
      </c>
      <c r="D2700" t="str">
        <f>_xlfn.XLOOKUP(RW_DT_PRODUCTION[[#This Row],[MATERIAL_ID]],DIM_MATERIAL[MATERIAL_ID],DIM_MATERIAL[UOM_AFTER_PROCESS])</f>
        <v>BALE</v>
      </c>
      <c r="E2700">
        <v>65</v>
      </c>
    </row>
    <row r="2701" spans="1:5" x14ac:dyDescent="0.2">
      <c r="A2701" s="3">
        <v>46015</v>
      </c>
      <c r="B2701" t="s">
        <v>1</v>
      </c>
      <c r="C2701">
        <v>1</v>
      </c>
      <c r="D2701" t="str">
        <f>_xlfn.XLOOKUP(RW_DT_PRODUCTION[[#This Row],[MATERIAL_ID]],DIM_MATERIAL[MATERIAL_ID],DIM_MATERIAL[UOM_AFTER_PROCESS])</f>
        <v>BALE</v>
      </c>
      <c r="E2701">
        <v>60</v>
      </c>
    </row>
    <row r="2702" spans="1:5" x14ac:dyDescent="0.2">
      <c r="A2702" s="3">
        <v>46015</v>
      </c>
      <c r="B2702" t="s">
        <v>1</v>
      </c>
      <c r="C2702">
        <v>1</v>
      </c>
      <c r="D2702" t="str">
        <f>_xlfn.XLOOKUP(RW_DT_PRODUCTION[[#This Row],[MATERIAL_ID]],DIM_MATERIAL[MATERIAL_ID],DIM_MATERIAL[UOM_AFTER_PROCESS])</f>
        <v>BALE</v>
      </c>
      <c r="E2702">
        <v>71</v>
      </c>
    </row>
    <row r="2703" spans="1:5" x14ac:dyDescent="0.2">
      <c r="A2703" s="3">
        <v>46015</v>
      </c>
      <c r="B2703" t="s">
        <v>1</v>
      </c>
      <c r="C2703">
        <v>1</v>
      </c>
      <c r="D2703" t="str">
        <f>_xlfn.XLOOKUP(RW_DT_PRODUCTION[[#This Row],[MATERIAL_ID]],DIM_MATERIAL[MATERIAL_ID],DIM_MATERIAL[UOM_AFTER_PROCESS])</f>
        <v>BALE</v>
      </c>
      <c r="E2703">
        <v>81</v>
      </c>
    </row>
    <row r="2704" spans="1:5" x14ac:dyDescent="0.2">
      <c r="A2704" s="3">
        <v>46015</v>
      </c>
      <c r="B2704" t="s">
        <v>2</v>
      </c>
      <c r="C2704">
        <v>1</v>
      </c>
      <c r="D2704" t="str">
        <f>_xlfn.XLOOKUP(RW_DT_PRODUCTION[[#This Row],[MATERIAL_ID]],DIM_MATERIAL[MATERIAL_ID],DIM_MATERIAL[UOM_AFTER_PROCESS])</f>
        <v>BAG</v>
      </c>
      <c r="E2704">
        <v>22</v>
      </c>
    </row>
    <row r="2705" spans="1:5" x14ac:dyDescent="0.2">
      <c r="A2705" s="3">
        <v>46015</v>
      </c>
      <c r="B2705" t="s">
        <v>2</v>
      </c>
      <c r="C2705">
        <v>1</v>
      </c>
      <c r="D2705" t="str">
        <f>_xlfn.XLOOKUP(RW_DT_PRODUCTION[[#This Row],[MATERIAL_ID]],DIM_MATERIAL[MATERIAL_ID],DIM_MATERIAL[UOM_AFTER_PROCESS])</f>
        <v>BAG</v>
      </c>
      <c r="E2705">
        <v>22</v>
      </c>
    </row>
    <row r="2706" spans="1:5" x14ac:dyDescent="0.2">
      <c r="A2706" s="3">
        <v>46017</v>
      </c>
      <c r="B2706" t="s">
        <v>1</v>
      </c>
      <c r="C2706">
        <v>1</v>
      </c>
      <c r="D2706" t="str">
        <f>_xlfn.XLOOKUP(RW_DT_PRODUCTION[[#This Row],[MATERIAL_ID]],DIM_MATERIAL[MATERIAL_ID],DIM_MATERIAL[UOM_AFTER_PROCESS])</f>
        <v>BALE</v>
      </c>
      <c r="E2706">
        <v>61</v>
      </c>
    </row>
    <row r="2707" spans="1:5" x14ac:dyDescent="0.2">
      <c r="A2707" s="3">
        <v>46017</v>
      </c>
      <c r="B2707" t="s">
        <v>1</v>
      </c>
      <c r="C2707">
        <v>1</v>
      </c>
      <c r="D2707" t="str">
        <f>_xlfn.XLOOKUP(RW_DT_PRODUCTION[[#This Row],[MATERIAL_ID]],DIM_MATERIAL[MATERIAL_ID],DIM_MATERIAL[UOM_AFTER_PROCESS])</f>
        <v>BALE</v>
      </c>
      <c r="E2707">
        <v>66</v>
      </c>
    </row>
    <row r="2708" spans="1:5" x14ac:dyDescent="0.2">
      <c r="A2708" s="3">
        <v>46020</v>
      </c>
      <c r="B2708" t="s">
        <v>1</v>
      </c>
      <c r="C2708">
        <v>1</v>
      </c>
      <c r="D2708" t="str">
        <f>_xlfn.XLOOKUP(RW_DT_PRODUCTION[[#This Row],[MATERIAL_ID]],DIM_MATERIAL[MATERIAL_ID],DIM_MATERIAL[UOM_AFTER_PROCESS])</f>
        <v>BALE</v>
      </c>
      <c r="E2708">
        <v>77</v>
      </c>
    </row>
    <row r="2709" spans="1:5" x14ac:dyDescent="0.2">
      <c r="A2709" s="3">
        <v>46020</v>
      </c>
      <c r="B2709" t="s">
        <v>1</v>
      </c>
      <c r="C2709">
        <v>1</v>
      </c>
      <c r="D2709" t="str">
        <f>_xlfn.XLOOKUP(RW_DT_PRODUCTION[[#This Row],[MATERIAL_ID]],DIM_MATERIAL[MATERIAL_ID],DIM_MATERIAL[UOM_AFTER_PROCESS])</f>
        <v>BALE</v>
      </c>
      <c r="E2709">
        <v>72</v>
      </c>
    </row>
    <row r="2710" spans="1:5" x14ac:dyDescent="0.2">
      <c r="A2710" s="3">
        <v>46020</v>
      </c>
      <c r="B2710" t="s">
        <v>1</v>
      </c>
      <c r="C2710">
        <v>1</v>
      </c>
      <c r="D2710" t="str">
        <f>_xlfn.XLOOKUP(RW_DT_PRODUCTION[[#This Row],[MATERIAL_ID]],DIM_MATERIAL[MATERIAL_ID],DIM_MATERIAL[UOM_AFTER_PROCESS])</f>
        <v>BALE</v>
      </c>
      <c r="E2710">
        <v>61</v>
      </c>
    </row>
    <row r="2711" spans="1:5" x14ac:dyDescent="0.2">
      <c r="A2711" s="3">
        <v>46020</v>
      </c>
      <c r="B2711" t="s">
        <v>1</v>
      </c>
      <c r="C2711">
        <v>1</v>
      </c>
      <c r="D2711" t="str">
        <f>_xlfn.XLOOKUP(RW_DT_PRODUCTION[[#This Row],[MATERIAL_ID]],DIM_MATERIAL[MATERIAL_ID],DIM_MATERIAL[UOM_AFTER_PROCESS])</f>
        <v>BALE</v>
      </c>
      <c r="E2711">
        <v>79</v>
      </c>
    </row>
    <row r="2712" spans="1:5" x14ac:dyDescent="0.2">
      <c r="A2712" s="3">
        <v>46020</v>
      </c>
      <c r="B2712" t="s">
        <v>1</v>
      </c>
      <c r="C2712">
        <v>1</v>
      </c>
      <c r="D2712" t="str">
        <f>_xlfn.XLOOKUP(RW_DT_PRODUCTION[[#This Row],[MATERIAL_ID]],DIM_MATERIAL[MATERIAL_ID],DIM_MATERIAL[UOM_AFTER_PROCESS])</f>
        <v>BALE</v>
      </c>
      <c r="E2712">
        <v>64</v>
      </c>
    </row>
    <row r="2713" spans="1:5" x14ac:dyDescent="0.2">
      <c r="A2713" s="3">
        <v>46020</v>
      </c>
      <c r="B2713" t="s">
        <v>1</v>
      </c>
      <c r="C2713">
        <v>1</v>
      </c>
      <c r="D2713" t="str">
        <f>_xlfn.XLOOKUP(RW_DT_PRODUCTION[[#This Row],[MATERIAL_ID]],DIM_MATERIAL[MATERIAL_ID],DIM_MATERIAL[UOM_AFTER_PROCESS])</f>
        <v>BALE</v>
      </c>
      <c r="E2713">
        <v>86</v>
      </c>
    </row>
    <row r="2714" spans="1:5" x14ac:dyDescent="0.2">
      <c r="A2714" s="3">
        <v>46021</v>
      </c>
      <c r="B2714" t="s">
        <v>1</v>
      </c>
      <c r="C2714">
        <v>1</v>
      </c>
      <c r="D2714" t="str">
        <f>_xlfn.XLOOKUP(RW_DT_PRODUCTION[[#This Row],[MATERIAL_ID]],DIM_MATERIAL[MATERIAL_ID],DIM_MATERIAL[UOM_AFTER_PROCESS])</f>
        <v>BALE</v>
      </c>
      <c r="E2714">
        <v>85</v>
      </c>
    </row>
    <row r="2715" spans="1:5" x14ac:dyDescent="0.2">
      <c r="A2715" s="3">
        <v>46021</v>
      </c>
      <c r="B2715" t="s">
        <v>1</v>
      </c>
      <c r="C2715">
        <v>1</v>
      </c>
      <c r="D2715" t="str">
        <f>_xlfn.XLOOKUP(RW_DT_PRODUCTION[[#This Row],[MATERIAL_ID]],DIM_MATERIAL[MATERIAL_ID],DIM_MATERIAL[UOM_AFTER_PROCESS])</f>
        <v>BALE</v>
      </c>
      <c r="E2715">
        <v>71</v>
      </c>
    </row>
    <row r="2716" spans="1:5" x14ac:dyDescent="0.2">
      <c r="A2716" s="3">
        <v>46021</v>
      </c>
      <c r="B2716" t="s">
        <v>1</v>
      </c>
      <c r="C2716">
        <v>1</v>
      </c>
      <c r="D2716" t="str">
        <f>_xlfn.XLOOKUP(RW_DT_PRODUCTION[[#This Row],[MATERIAL_ID]],DIM_MATERIAL[MATERIAL_ID],DIM_MATERIAL[UOM_AFTER_PROCESS])</f>
        <v>BALE</v>
      </c>
      <c r="E2716">
        <v>74</v>
      </c>
    </row>
    <row r="2717" spans="1:5" x14ac:dyDescent="0.2">
      <c r="A2717" s="3">
        <v>46021</v>
      </c>
      <c r="B2717" t="s">
        <v>1</v>
      </c>
      <c r="C2717">
        <v>1</v>
      </c>
      <c r="D2717" t="str">
        <f>_xlfn.XLOOKUP(RW_DT_PRODUCTION[[#This Row],[MATERIAL_ID]],DIM_MATERIAL[MATERIAL_ID],DIM_MATERIAL[UOM_AFTER_PROCESS])</f>
        <v>BALE</v>
      </c>
      <c r="E2717">
        <v>70</v>
      </c>
    </row>
    <row r="2718" spans="1:5" x14ac:dyDescent="0.2">
      <c r="A2718" s="3">
        <v>46021</v>
      </c>
      <c r="B2718" t="s">
        <v>1</v>
      </c>
      <c r="C2718">
        <v>1</v>
      </c>
      <c r="D2718" t="str">
        <f>_xlfn.XLOOKUP(RW_DT_PRODUCTION[[#This Row],[MATERIAL_ID]],DIM_MATERIAL[MATERIAL_ID],DIM_MATERIAL[UOM_AFTER_PROCESS])</f>
        <v>BALE</v>
      </c>
      <c r="E2718">
        <v>75</v>
      </c>
    </row>
    <row r="2719" spans="1:5" x14ac:dyDescent="0.2">
      <c r="A2719" s="3">
        <v>46021</v>
      </c>
      <c r="B2719" t="s">
        <v>1</v>
      </c>
      <c r="C2719">
        <v>1</v>
      </c>
      <c r="D2719" t="str">
        <f>_xlfn.XLOOKUP(RW_DT_PRODUCTION[[#This Row],[MATERIAL_ID]],DIM_MATERIAL[MATERIAL_ID],DIM_MATERIAL[UOM_AFTER_PROCESS])</f>
        <v>BALE</v>
      </c>
      <c r="E2719">
        <v>68</v>
      </c>
    </row>
    <row r="2720" spans="1:5" x14ac:dyDescent="0.2">
      <c r="A2720" s="3">
        <v>46021</v>
      </c>
      <c r="B2720" t="s">
        <v>1</v>
      </c>
      <c r="C2720">
        <v>1</v>
      </c>
      <c r="D2720" t="str">
        <f>_xlfn.XLOOKUP(RW_DT_PRODUCTION[[#This Row],[MATERIAL_ID]],DIM_MATERIAL[MATERIAL_ID],DIM_MATERIAL[UOM_AFTER_PROCESS])</f>
        <v>BALE</v>
      </c>
      <c r="E2720">
        <v>62</v>
      </c>
    </row>
    <row r="2721" spans="1:5" x14ac:dyDescent="0.2">
      <c r="A2721" s="3">
        <v>46022</v>
      </c>
      <c r="B2721" t="s">
        <v>1</v>
      </c>
      <c r="C2721">
        <v>1</v>
      </c>
      <c r="D2721" t="str">
        <f>_xlfn.XLOOKUP(RW_DT_PRODUCTION[[#This Row],[MATERIAL_ID]],DIM_MATERIAL[MATERIAL_ID],DIM_MATERIAL[UOM_AFTER_PROCESS])</f>
        <v>BALE</v>
      </c>
      <c r="E2721">
        <v>88</v>
      </c>
    </row>
    <row r="2722" spans="1:5" x14ac:dyDescent="0.2">
      <c r="A2722" s="3">
        <v>46022</v>
      </c>
      <c r="B2722" t="s">
        <v>1</v>
      </c>
      <c r="C2722">
        <v>1</v>
      </c>
      <c r="D2722" t="str">
        <f>_xlfn.XLOOKUP(RW_DT_PRODUCTION[[#This Row],[MATERIAL_ID]],DIM_MATERIAL[MATERIAL_ID],DIM_MATERIAL[UOM_AFTER_PROCESS])</f>
        <v>BALE</v>
      </c>
      <c r="E2722">
        <v>77</v>
      </c>
    </row>
    <row r="2723" spans="1:5" x14ac:dyDescent="0.2">
      <c r="A2723" s="3">
        <v>46022</v>
      </c>
      <c r="B2723" t="s">
        <v>1</v>
      </c>
      <c r="C2723">
        <v>1</v>
      </c>
      <c r="D2723" t="str">
        <f>_xlfn.XLOOKUP(RW_DT_PRODUCTION[[#This Row],[MATERIAL_ID]],DIM_MATERIAL[MATERIAL_ID],DIM_MATERIAL[UOM_AFTER_PROCESS])</f>
        <v>BALE</v>
      </c>
      <c r="E2723">
        <v>72</v>
      </c>
    </row>
    <row r="2724" spans="1:5" x14ac:dyDescent="0.2">
      <c r="A2724" s="3">
        <v>46022</v>
      </c>
      <c r="B2724" t="s">
        <v>1</v>
      </c>
      <c r="C2724">
        <v>1</v>
      </c>
      <c r="D2724" t="str">
        <f>_xlfn.XLOOKUP(RW_DT_PRODUCTION[[#This Row],[MATERIAL_ID]],DIM_MATERIAL[MATERIAL_ID],DIM_MATERIAL[UOM_AFTER_PROCESS])</f>
        <v>BALE</v>
      </c>
      <c r="E2724">
        <v>63</v>
      </c>
    </row>
    <row r="2725" spans="1:5" x14ac:dyDescent="0.2">
      <c r="A2725" s="3">
        <v>46027</v>
      </c>
      <c r="B2725" t="s">
        <v>1</v>
      </c>
      <c r="C2725">
        <v>1</v>
      </c>
      <c r="D2725" t="str">
        <f>_xlfn.XLOOKUP(RW_DT_PRODUCTION[[#This Row],[MATERIAL_ID]],DIM_MATERIAL[MATERIAL_ID],DIM_MATERIAL[UOM_AFTER_PROCESS])</f>
        <v>BALE</v>
      </c>
      <c r="E2725">
        <v>72</v>
      </c>
    </row>
    <row r="2726" spans="1:5" x14ac:dyDescent="0.2">
      <c r="A2726" s="3">
        <v>46027</v>
      </c>
      <c r="B2726" t="s">
        <v>1</v>
      </c>
      <c r="C2726">
        <v>1</v>
      </c>
      <c r="D2726" t="str">
        <f>_xlfn.XLOOKUP(RW_DT_PRODUCTION[[#This Row],[MATERIAL_ID]],DIM_MATERIAL[MATERIAL_ID],DIM_MATERIAL[UOM_AFTER_PROCESS])</f>
        <v>BALE</v>
      </c>
      <c r="E2726">
        <v>86</v>
      </c>
    </row>
    <row r="2727" spans="1:5" x14ac:dyDescent="0.2">
      <c r="A2727" s="3">
        <v>46027</v>
      </c>
      <c r="B2727" t="s">
        <v>1</v>
      </c>
      <c r="C2727">
        <v>1</v>
      </c>
      <c r="D2727" t="str">
        <f>_xlfn.XLOOKUP(RW_DT_PRODUCTION[[#This Row],[MATERIAL_ID]],DIM_MATERIAL[MATERIAL_ID],DIM_MATERIAL[UOM_AFTER_PROCESS])</f>
        <v>BALE</v>
      </c>
      <c r="E2727">
        <v>84</v>
      </c>
    </row>
    <row r="2728" spans="1:5" x14ac:dyDescent="0.2">
      <c r="A2728" s="3">
        <v>46027</v>
      </c>
      <c r="B2728" t="s">
        <v>1</v>
      </c>
      <c r="C2728">
        <v>1</v>
      </c>
      <c r="D2728" t="str">
        <f>_xlfn.XLOOKUP(RW_DT_PRODUCTION[[#This Row],[MATERIAL_ID]],DIM_MATERIAL[MATERIAL_ID],DIM_MATERIAL[UOM_AFTER_PROCESS])</f>
        <v>BALE</v>
      </c>
      <c r="E2728">
        <v>65</v>
      </c>
    </row>
    <row r="2729" spans="1:5" x14ac:dyDescent="0.2">
      <c r="A2729" s="3">
        <v>46027</v>
      </c>
      <c r="B2729" t="s">
        <v>1</v>
      </c>
      <c r="C2729">
        <v>1</v>
      </c>
      <c r="D2729" t="str">
        <f>_xlfn.XLOOKUP(RW_DT_PRODUCTION[[#This Row],[MATERIAL_ID]],DIM_MATERIAL[MATERIAL_ID],DIM_MATERIAL[UOM_AFTER_PROCESS])</f>
        <v>BALE</v>
      </c>
      <c r="E2729">
        <v>61</v>
      </c>
    </row>
    <row r="2730" spans="1:5" x14ac:dyDescent="0.2">
      <c r="A2730" s="3">
        <v>46027</v>
      </c>
      <c r="B2730" t="s">
        <v>1</v>
      </c>
      <c r="C2730">
        <v>1</v>
      </c>
      <c r="D2730" t="str">
        <f>_xlfn.XLOOKUP(RW_DT_PRODUCTION[[#This Row],[MATERIAL_ID]],DIM_MATERIAL[MATERIAL_ID],DIM_MATERIAL[UOM_AFTER_PROCESS])</f>
        <v>BALE</v>
      </c>
      <c r="E2730">
        <v>74</v>
      </c>
    </row>
    <row r="2731" spans="1:5" x14ac:dyDescent="0.2">
      <c r="A2731" s="3">
        <v>46027</v>
      </c>
      <c r="B2731" t="s">
        <v>1</v>
      </c>
      <c r="C2731">
        <v>1</v>
      </c>
      <c r="D2731" t="str">
        <f>_xlfn.XLOOKUP(RW_DT_PRODUCTION[[#This Row],[MATERIAL_ID]],DIM_MATERIAL[MATERIAL_ID],DIM_MATERIAL[UOM_AFTER_PROCESS])</f>
        <v>BALE</v>
      </c>
      <c r="E2731">
        <v>83</v>
      </c>
    </row>
    <row r="2732" spans="1:5" x14ac:dyDescent="0.2">
      <c r="A2732" s="3">
        <v>46027</v>
      </c>
      <c r="B2732" t="s">
        <v>1</v>
      </c>
      <c r="C2732">
        <v>1</v>
      </c>
      <c r="D2732" t="str">
        <f>_xlfn.XLOOKUP(RW_DT_PRODUCTION[[#This Row],[MATERIAL_ID]],DIM_MATERIAL[MATERIAL_ID],DIM_MATERIAL[UOM_AFTER_PROCESS])</f>
        <v>BALE</v>
      </c>
      <c r="E2732">
        <v>87</v>
      </c>
    </row>
    <row r="2733" spans="1:5" x14ac:dyDescent="0.2">
      <c r="A2733" s="3">
        <v>46027</v>
      </c>
      <c r="B2733" t="s">
        <v>1</v>
      </c>
      <c r="C2733">
        <v>1</v>
      </c>
      <c r="D2733" t="str">
        <f>_xlfn.XLOOKUP(RW_DT_PRODUCTION[[#This Row],[MATERIAL_ID]],DIM_MATERIAL[MATERIAL_ID],DIM_MATERIAL[UOM_AFTER_PROCESS])</f>
        <v>BALE</v>
      </c>
      <c r="E2733">
        <v>69</v>
      </c>
    </row>
    <row r="2734" spans="1:5" x14ac:dyDescent="0.2">
      <c r="A2734" s="3">
        <v>46027</v>
      </c>
      <c r="B2734" t="s">
        <v>1</v>
      </c>
      <c r="C2734">
        <v>1</v>
      </c>
      <c r="D2734" t="str">
        <f>_xlfn.XLOOKUP(RW_DT_PRODUCTION[[#This Row],[MATERIAL_ID]],DIM_MATERIAL[MATERIAL_ID],DIM_MATERIAL[UOM_AFTER_PROCESS])</f>
        <v>BALE</v>
      </c>
      <c r="E2734">
        <v>76</v>
      </c>
    </row>
    <row r="2735" spans="1:5" x14ac:dyDescent="0.2">
      <c r="A2735" s="3">
        <v>46027</v>
      </c>
      <c r="B2735" t="s">
        <v>1</v>
      </c>
      <c r="C2735">
        <v>1</v>
      </c>
      <c r="D2735" t="str">
        <f>_xlfn.XLOOKUP(RW_DT_PRODUCTION[[#This Row],[MATERIAL_ID]],DIM_MATERIAL[MATERIAL_ID],DIM_MATERIAL[UOM_AFTER_PROCESS])</f>
        <v>BALE</v>
      </c>
      <c r="E2735">
        <v>85</v>
      </c>
    </row>
    <row r="2736" spans="1:5" x14ac:dyDescent="0.2">
      <c r="A2736" s="3">
        <v>46027</v>
      </c>
      <c r="B2736" t="s">
        <v>1</v>
      </c>
      <c r="C2736">
        <v>1</v>
      </c>
      <c r="D2736" t="str">
        <f>_xlfn.XLOOKUP(RW_DT_PRODUCTION[[#This Row],[MATERIAL_ID]],DIM_MATERIAL[MATERIAL_ID],DIM_MATERIAL[UOM_AFTER_PROCESS])</f>
        <v>BALE</v>
      </c>
      <c r="E2736">
        <v>67</v>
      </c>
    </row>
    <row r="2737" spans="1:5" x14ac:dyDescent="0.2">
      <c r="A2737" s="3">
        <v>46027</v>
      </c>
      <c r="B2737" t="s">
        <v>1</v>
      </c>
      <c r="C2737">
        <v>1</v>
      </c>
      <c r="D2737" t="str">
        <f>_xlfn.XLOOKUP(RW_DT_PRODUCTION[[#This Row],[MATERIAL_ID]],DIM_MATERIAL[MATERIAL_ID],DIM_MATERIAL[UOM_AFTER_PROCESS])</f>
        <v>BALE</v>
      </c>
      <c r="E2737">
        <v>71</v>
      </c>
    </row>
    <row r="2738" spans="1:5" x14ac:dyDescent="0.2">
      <c r="A2738" s="3">
        <v>46027</v>
      </c>
      <c r="B2738" t="s">
        <v>1</v>
      </c>
      <c r="C2738">
        <v>1</v>
      </c>
      <c r="D2738" t="str">
        <f>_xlfn.XLOOKUP(RW_DT_PRODUCTION[[#This Row],[MATERIAL_ID]],DIM_MATERIAL[MATERIAL_ID],DIM_MATERIAL[UOM_AFTER_PROCESS])</f>
        <v>BALE</v>
      </c>
      <c r="E2738">
        <v>62</v>
      </c>
    </row>
    <row r="2739" spans="1:5" x14ac:dyDescent="0.2">
      <c r="A2739" s="3">
        <v>46028</v>
      </c>
      <c r="B2739" t="s">
        <v>1</v>
      </c>
      <c r="C2739">
        <v>1</v>
      </c>
      <c r="D2739" t="str">
        <f>_xlfn.XLOOKUP(RW_DT_PRODUCTION[[#This Row],[MATERIAL_ID]],DIM_MATERIAL[MATERIAL_ID],DIM_MATERIAL[UOM_AFTER_PROCESS])</f>
        <v>BALE</v>
      </c>
      <c r="E2739">
        <v>89</v>
      </c>
    </row>
    <row r="2740" spans="1:5" x14ac:dyDescent="0.2">
      <c r="A2740" s="3">
        <v>46028</v>
      </c>
      <c r="B2740" t="s">
        <v>1</v>
      </c>
      <c r="C2740">
        <v>1</v>
      </c>
      <c r="D2740" t="str">
        <f>_xlfn.XLOOKUP(RW_DT_PRODUCTION[[#This Row],[MATERIAL_ID]],DIM_MATERIAL[MATERIAL_ID],DIM_MATERIAL[UOM_AFTER_PROCESS])</f>
        <v>BALE</v>
      </c>
      <c r="E2740">
        <v>81</v>
      </c>
    </row>
    <row r="2741" spans="1:5" x14ac:dyDescent="0.2">
      <c r="A2741" s="3">
        <v>46028</v>
      </c>
      <c r="B2741" t="s">
        <v>1</v>
      </c>
      <c r="C2741">
        <v>1</v>
      </c>
      <c r="D2741" t="str">
        <f>_xlfn.XLOOKUP(RW_DT_PRODUCTION[[#This Row],[MATERIAL_ID]],DIM_MATERIAL[MATERIAL_ID],DIM_MATERIAL[UOM_AFTER_PROCESS])</f>
        <v>BALE</v>
      </c>
      <c r="E2741">
        <v>72</v>
      </c>
    </row>
    <row r="2742" spans="1:5" x14ac:dyDescent="0.2">
      <c r="A2742" s="3">
        <v>46028</v>
      </c>
      <c r="B2742" t="s">
        <v>1</v>
      </c>
      <c r="C2742">
        <v>1</v>
      </c>
      <c r="D2742" t="str">
        <f>_xlfn.XLOOKUP(RW_DT_PRODUCTION[[#This Row],[MATERIAL_ID]],DIM_MATERIAL[MATERIAL_ID],DIM_MATERIAL[UOM_AFTER_PROCESS])</f>
        <v>BALE</v>
      </c>
      <c r="E2742">
        <v>78</v>
      </c>
    </row>
    <row r="2743" spans="1:5" x14ac:dyDescent="0.2">
      <c r="A2743" s="3">
        <v>46028</v>
      </c>
      <c r="B2743" t="s">
        <v>1</v>
      </c>
      <c r="C2743">
        <v>1</v>
      </c>
      <c r="D2743" t="str">
        <f>_xlfn.XLOOKUP(RW_DT_PRODUCTION[[#This Row],[MATERIAL_ID]],DIM_MATERIAL[MATERIAL_ID],DIM_MATERIAL[UOM_AFTER_PROCESS])</f>
        <v>BALE</v>
      </c>
      <c r="E2743">
        <v>83</v>
      </c>
    </row>
    <row r="2744" spans="1:5" x14ac:dyDescent="0.2">
      <c r="A2744" s="3">
        <v>46028</v>
      </c>
      <c r="B2744" t="s">
        <v>1</v>
      </c>
      <c r="C2744">
        <v>1</v>
      </c>
      <c r="D2744" t="str">
        <f>_xlfn.XLOOKUP(RW_DT_PRODUCTION[[#This Row],[MATERIAL_ID]],DIM_MATERIAL[MATERIAL_ID],DIM_MATERIAL[UOM_AFTER_PROCESS])</f>
        <v>BALE</v>
      </c>
      <c r="E2744">
        <v>70</v>
      </c>
    </row>
    <row r="2745" spans="1:5" x14ac:dyDescent="0.2">
      <c r="A2745" s="3">
        <v>46028</v>
      </c>
      <c r="B2745" t="s">
        <v>1</v>
      </c>
      <c r="C2745">
        <v>1</v>
      </c>
      <c r="D2745" t="str">
        <f>_xlfn.XLOOKUP(RW_DT_PRODUCTION[[#This Row],[MATERIAL_ID]],DIM_MATERIAL[MATERIAL_ID],DIM_MATERIAL[UOM_AFTER_PROCESS])</f>
        <v>BALE</v>
      </c>
      <c r="E2745">
        <v>61</v>
      </c>
    </row>
    <row r="2746" spans="1:5" x14ac:dyDescent="0.2">
      <c r="A2746" s="3">
        <v>46028</v>
      </c>
      <c r="B2746" t="s">
        <v>1</v>
      </c>
      <c r="C2746">
        <v>1</v>
      </c>
      <c r="D2746" t="str">
        <f>_xlfn.XLOOKUP(RW_DT_PRODUCTION[[#This Row],[MATERIAL_ID]],DIM_MATERIAL[MATERIAL_ID],DIM_MATERIAL[UOM_AFTER_PROCESS])</f>
        <v>BALE</v>
      </c>
      <c r="E2746">
        <v>65</v>
      </c>
    </row>
    <row r="2747" spans="1:5" x14ac:dyDescent="0.2">
      <c r="A2747" s="3">
        <v>46028</v>
      </c>
      <c r="B2747" t="s">
        <v>1</v>
      </c>
      <c r="C2747">
        <v>1</v>
      </c>
      <c r="D2747" t="str">
        <f>_xlfn.XLOOKUP(RW_DT_PRODUCTION[[#This Row],[MATERIAL_ID]],DIM_MATERIAL[MATERIAL_ID],DIM_MATERIAL[UOM_AFTER_PROCESS])</f>
        <v>BALE</v>
      </c>
      <c r="E2747">
        <v>78</v>
      </c>
    </row>
    <row r="2748" spans="1:5" x14ac:dyDescent="0.2">
      <c r="A2748" s="3">
        <v>46028</v>
      </c>
      <c r="B2748" t="s">
        <v>1</v>
      </c>
      <c r="C2748">
        <v>1</v>
      </c>
      <c r="D2748" t="str">
        <f>_xlfn.XLOOKUP(RW_DT_PRODUCTION[[#This Row],[MATERIAL_ID]],DIM_MATERIAL[MATERIAL_ID],DIM_MATERIAL[UOM_AFTER_PROCESS])</f>
        <v>BALE</v>
      </c>
      <c r="E2748">
        <v>86</v>
      </c>
    </row>
    <row r="2749" spans="1:5" x14ac:dyDescent="0.2">
      <c r="A2749" s="3">
        <v>46029</v>
      </c>
      <c r="B2749" t="s">
        <v>1</v>
      </c>
      <c r="C2749">
        <v>1</v>
      </c>
      <c r="D2749" t="str">
        <f>_xlfn.XLOOKUP(RW_DT_PRODUCTION[[#This Row],[MATERIAL_ID]],DIM_MATERIAL[MATERIAL_ID],DIM_MATERIAL[UOM_AFTER_PROCESS])</f>
        <v>BALE</v>
      </c>
      <c r="E2749">
        <v>72</v>
      </c>
    </row>
    <row r="2750" spans="1:5" x14ac:dyDescent="0.2">
      <c r="A2750" s="3">
        <v>46029</v>
      </c>
      <c r="B2750" t="s">
        <v>1</v>
      </c>
      <c r="C2750">
        <v>1</v>
      </c>
      <c r="D2750" t="str">
        <f>_xlfn.XLOOKUP(RW_DT_PRODUCTION[[#This Row],[MATERIAL_ID]],DIM_MATERIAL[MATERIAL_ID],DIM_MATERIAL[UOM_AFTER_PROCESS])</f>
        <v>BALE</v>
      </c>
      <c r="E2750">
        <v>86</v>
      </c>
    </row>
    <row r="2751" spans="1:5" x14ac:dyDescent="0.2">
      <c r="A2751" s="3">
        <v>46029</v>
      </c>
      <c r="B2751" t="s">
        <v>1</v>
      </c>
      <c r="C2751">
        <v>1</v>
      </c>
      <c r="D2751" t="str">
        <f>_xlfn.XLOOKUP(RW_DT_PRODUCTION[[#This Row],[MATERIAL_ID]],DIM_MATERIAL[MATERIAL_ID],DIM_MATERIAL[UOM_AFTER_PROCESS])</f>
        <v>BALE</v>
      </c>
      <c r="E2751">
        <v>88</v>
      </c>
    </row>
    <row r="2752" spans="1:5" x14ac:dyDescent="0.2">
      <c r="A2752" s="3">
        <v>46029</v>
      </c>
      <c r="B2752" t="s">
        <v>1</v>
      </c>
      <c r="C2752">
        <v>1</v>
      </c>
      <c r="D2752" t="str">
        <f>_xlfn.XLOOKUP(RW_DT_PRODUCTION[[#This Row],[MATERIAL_ID]],DIM_MATERIAL[MATERIAL_ID],DIM_MATERIAL[UOM_AFTER_PROCESS])</f>
        <v>BALE</v>
      </c>
      <c r="E2752">
        <v>77</v>
      </c>
    </row>
    <row r="2753" spans="1:5" x14ac:dyDescent="0.2">
      <c r="A2753" s="3">
        <v>46029</v>
      </c>
      <c r="B2753" t="s">
        <v>1</v>
      </c>
      <c r="C2753">
        <v>1</v>
      </c>
      <c r="D2753" t="str">
        <f>_xlfn.XLOOKUP(RW_DT_PRODUCTION[[#This Row],[MATERIAL_ID]],DIM_MATERIAL[MATERIAL_ID],DIM_MATERIAL[UOM_AFTER_PROCESS])</f>
        <v>BALE</v>
      </c>
      <c r="E2753">
        <v>80</v>
      </c>
    </row>
    <row r="2754" spans="1:5" x14ac:dyDescent="0.2">
      <c r="A2754" s="3">
        <v>46029</v>
      </c>
      <c r="B2754" t="s">
        <v>1</v>
      </c>
      <c r="C2754">
        <v>1</v>
      </c>
      <c r="D2754" t="str">
        <f>_xlfn.XLOOKUP(RW_DT_PRODUCTION[[#This Row],[MATERIAL_ID]],DIM_MATERIAL[MATERIAL_ID],DIM_MATERIAL[UOM_AFTER_PROCESS])</f>
        <v>BALE</v>
      </c>
      <c r="E2754">
        <v>75</v>
      </c>
    </row>
    <row r="2755" spans="1:5" x14ac:dyDescent="0.2">
      <c r="A2755" s="3">
        <v>46029</v>
      </c>
      <c r="B2755" t="s">
        <v>1</v>
      </c>
      <c r="C2755">
        <v>1</v>
      </c>
      <c r="D2755" t="str">
        <f>_xlfn.XLOOKUP(RW_DT_PRODUCTION[[#This Row],[MATERIAL_ID]],DIM_MATERIAL[MATERIAL_ID],DIM_MATERIAL[UOM_AFTER_PROCESS])</f>
        <v>BALE</v>
      </c>
      <c r="E2755">
        <v>88</v>
      </c>
    </row>
    <row r="2756" spans="1:5" x14ac:dyDescent="0.2">
      <c r="A2756" s="3">
        <v>46029</v>
      </c>
      <c r="B2756" t="s">
        <v>1</v>
      </c>
      <c r="C2756">
        <v>1</v>
      </c>
      <c r="D2756" t="str">
        <f>_xlfn.XLOOKUP(RW_DT_PRODUCTION[[#This Row],[MATERIAL_ID]],DIM_MATERIAL[MATERIAL_ID],DIM_MATERIAL[UOM_AFTER_PROCESS])</f>
        <v>BALE</v>
      </c>
      <c r="E2756">
        <v>71</v>
      </c>
    </row>
    <row r="2757" spans="1:5" x14ac:dyDescent="0.2">
      <c r="A2757" s="3">
        <v>46029</v>
      </c>
      <c r="B2757" t="s">
        <v>1</v>
      </c>
      <c r="C2757">
        <v>1</v>
      </c>
      <c r="D2757" t="str">
        <f>_xlfn.XLOOKUP(RW_DT_PRODUCTION[[#This Row],[MATERIAL_ID]],DIM_MATERIAL[MATERIAL_ID],DIM_MATERIAL[UOM_AFTER_PROCESS])</f>
        <v>BALE</v>
      </c>
      <c r="E2757">
        <v>71</v>
      </c>
    </row>
    <row r="2758" spans="1:5" x14ac:dyDescent="0.2">
      <c r="A2758" s="3">
        <v>46029</v>
      </c>
      <c r="B2758" t="s">
        <v>1</v>
      </c>
      <c r="C2758">
        <v>1</v>
      </c>
      <c r="D2758" t="str">
        <f>_xlfn.XLOOKUP(RW_DT_PRODUCTION[[#This Row],[MATERIAL_ID]],DIM_MATERIAL[MATERIAL_ID],DIM_MATERIAL[UOM_AFTER_PROCESS])</f>
        <v>BALE</v>
      </c>
      <c r="E2758">
        <v>81</v>
      </c>
    </row>
    <row r="2759" spans="1:5" x14ac:dyDescent="0.2">
      <c r="A2759" s="3">
        <v>46029</v>
      </c>
      <c r="B2759" t="s">
        <v>1</v>
      </c>
      <c r="C2759">
        <v>1</v>
      </c>
      <c r="D2759" t="str">
        <f>_xlfn.XLOOKUP(RW_DT_PRODUCTION[[#This Row],[MATERIAL_ID]],DIM_MATERIAL[MATERIAL_ID],DIM_MATERIAL[UOM_AFTER_PROCESS])</f>
        <v>BALE</v>
      </c>
      <c r="E2759">
        <v>67</v>
      </c>
    </row>
    <row r="2760" spans="1:5" x14ac:dyDescent="0.2">
      <c r="A2760" s="3">
        <v>46029</v>
      </c>
      <c r="B2760" t="s">
        <v>1</v>
      </c>
      <c r="C2760">
        <v>1</v>
      </c>
      <c r="D2760" t="str">
        <f>_xlfn.XLOOKUP(RW_DT_PRODUCTION[[#This Row],[MATERIAL_ID]],DIM_MATERIAL[MATERIAL_ID],DIM_MATERIAL[UOM_AFTER_PROCESS])</f>
        <v>BALE</v>
      </c>
      <c r="E2760">
        <v>86</v>
      </c>
    </row>
    <row r="2761" spans="1:5" x14ac:dyDescent="0.2">
      <c r="A2761" s="3">
        <v>46029</v>
      </c>
      <c r="B2761" t="s">
        <v>2</v>
      </c>
      <c r="C2761">
        <v>1</v>
      </c>
      <c r="D2761" t="str">
        <f>_xlfn.XLOOKUP(RW_DT_PRODUCTION[[#This Row],[MATERIAL_ID]],DIM_MATERIAL[MATERIAL_ID],DIM_MATERIAL[UOM_AFTER_PROCESS])</f>
        <v>BAG</v>
      </c>
      <c r="E2761">
        <v>22</v>
      </c>
    </row>
    <row r="2762" spans="1:5" x14ac:dyDescent="0.2">
      <c r="A2762" s="3">
        <v>46029</v>
      </c>
      <c r="B2762" t="s">
        <v>2</v>
      </c>
      <c r="C2762">
        <v>1</v>
      </c>
      <c r="D2762" t="str">
        <f>_xlfn.XLOOKUP(RW_DT_PRODUCTION[[#This Row],[MATERIAL_ID]],DIM_MATERIAL[MATERIAL_ID],DIM_MATERIAL[UOM_AFTER_PROCESS])</f>
        <v>BAG</v>
      </c>
      <c r="E2762">
        <v>22</v>
      </c>
    </row>
    <row r="2763" spans="1:5" x14ac:dyDescent="0.2">
      <c r="A2763" s="3">
        <v>46029</v>
      </c>
      <c r="B2763" t="s">
        <v>2</v>
      </c>
      <c r="C2763">
        <v>1</v>
      </c>
      <c r="D2763" t="str">
        <f>_xlfn.XLOOKUP(RW_DT_PRODUCTION[[#This Row],[MATERIAL_ID]],DIM_MATERIAL[MATERIAL_ID],DIM_MATERIAL[UOM_AFTER_PROCESS])</f>
        <v>BAG</v>
      </c>
      <c r="E2763">
        <v>22</v>
      </c>
    </row>
    <row r="2764" spans="1:5" x14ac:dyDescent="0.2">
      <c r="A2764" s="3">
        <v>46029</v>
      </c>
      <c r="B2764" t="s">
        <v>2</v>
      </c>
      <c r="C2764">
        <v>1</v>
      </c>
      <c r="D2764" t="str">
        <f>_xlfn.XLOOKUP(RW_DT_PRODUCTION[[#This Row],[MATERIAL_ID]],DIM_MATERIAL[MATERIAL_ID],DIM_MATERIAL[UOM_AFTER_PROCESS])</f>
        <v>BAG</v>
      </c>
      <c r="E2764">
        <v>22</v>
      </c>
    </row>
    <row r="2765" spans="1:5" x14ac:dyDescent="0.2">
      <c r="A2765" s="3">
        <v>46030</v>
      </c>
      <c r="B2765" t="s">
        <v>1</v>
      </c>
      <c r="C2765">
        <v>1</v>
      </c>
      <c r="D2765" t="str">
        <f>_xlfn.XLOOKUP(RW_DT_PRODUCTION[[#This Row],[MATERIAL_ID]],DIM_MATERIAL[MATERIAL_ID],DIM_MATERIAL[UOM_AFTER_PROCESS])</f>
        <v>BALE</v>
      </c>
      <c r="E2765">
        <v>60</v>
      </c>
    </row>
    <row r="2766" spans="1:5" x14ac:dyDescent="0.2">
      <c r="A2766" s="3">
        <v>46030</v>
      </c>
      <c r="B2766" t="s">
        <v>1</v>
      </c>
      <c r="C2766">
        <v>1</v>
      </c>
      <c r="D2766" t="str">
        <f>_xlfn.XLOOKUP(RW_DT_PRODUCTION[[#This Row],[MATERIAL_ID]],DIM_MATERIAL[MATERIAL_ID],DIM_MATERIAL[UOM_AFTER_PROCESS])</f>
        <v>BALE</v>
      </c>
      <c r="E2766">
        <v>63</v>
      </c>
    </row>
    <row r="2767" spans="1:5" x14ac:dyDescent="0.2">
      <c r="A2767" s="3">
        <v>46030</v>
      </c>
      <c r="B2767" t="s">
        <v>1</v>
      </c>
      <c r="C2767">
        <v>1</v>
      </c>
      <c r="D2767" t="str">
        <f>_xlfn.XLOOKUP(RW_DT_PRODUCTION[[#This Row],[MATERIAL_ID]],DIM_MATERIAL[MATERIAL_ID],DIM_MATERIAL[UOM_AFTER_PROCESS])</f>
        <v>BALE</v>
      </c>
      <c r="E2767">
        <v>75</v>
      </c>
    </row>
    <row r="2768" spans="1:5" x14ac:dyDescent="0.2">
      <c r="A2768" s="3">
        <v>46030</v>
      </c>
      <c r="B2768" t="s">
        <v>1</v>
      </c>
      <c r="C2768">
        <v>1</v>
      </c>
      <c r="D2768" t="str">
        <f>_xlfn.XLOOKUP(RW_DT_PRODUCTION[[#This Row],[MATERIAL_ID]],DIM_MATERIAL[MATERIAL_ID],DIM_MATERIAL[UOM_AFTER_PROCESS])</f>
        <v>BALE</v>
      </c>
      <c r="E2768">
        <v>74</v>
      </c>
    </row>
    <row r="2769" spans="1:5" x14ac:dyDescent="0.2">
      <c r="A2769" s="3">
        <v>46030</v>
      </c>
      <c r="B2769" t="s">
        <v>1</v>
      </c>
      <c r="C2769">
        <v>1</v>
      </c>
      <c r="D2769" t="str">
        <f>_xlfn.XLOOKUP(RW_DT_PRODUCTION[[#This Row],[MATERIAL_ID]],DIM_MATERIAL[MATERIAL_ID],DIM_MATERIAL[UOM_AFTER_PROCESS])</f>
        <v>BALE</v>
      </c>
      <c r="E2769">
        <v>75</v>
      </c>
    </row>
    <row r="2770" spans="1:5" x14ac:dyDescent="0.2">
      <c r="A2770" s="3">
        <v>46030</v>
      </c>
      <c r="B2770" t="s">
        <v>1</v>
      </c>
      <c r="C2770">
        <v>1</v>
      </c>
      <c r="D2770" t="str">
        <f>_xlfn.XLOOKUP(RW_DT_PRODUCTION[[#This Row],[MATERIAL_ID]],DIM_MATERIAL[MATERIAL_ID],DIM_MATERIAL[UOM_AFTER_PROCESS])</f>
        <v>BALE</v>
      </c>
      <c r="E2770">
        <v>66</v>
      </c>
    </row>
    <row r="2771" spans="1:5" x14ac:dyDescent="0.2">
      <c r="A2771" s="3">
        <v>46030</v>
      </c>
      <c r="B2771" t="s">
        <v>1</v>
      </c>
      <c r="C2771">
        <v>1</v>
      </c>
      <c r="D2771" t="str">
        <f>_xlfn.XLOOKUP(RW_DT_PRODUCTION[[#This Row],[MATERIAL_ID]],DIM_MATERIAL[MATERIAL_ID],DIM_MATERIAL[UOM_AFTER_PROCESS])</f>
        <v>BALE</v>
      </c>
      <c r="E2771">
        <v>80</v>
      </c>
    </row>
    <row r="2772" spans="1:5" x14ac:dyDescent="0.2">
      <c r="A2772" s="3">
        <v>46030</v>
      </c>
      <c r="B2772" t="s">
        <v>1</v>
      </c>
      <c r="C2772">
        <v>1</v>
      </c>
      <c r="D2772" t="str">
        <f>_xlfn.XLOOKUP(RW_DT_PRODUCTION[[#This Row],[MATERIAL_ID]],DIM_MATERIAL[MATERIAL_ID],DIM_MATERIAL[UOM_AFTER_PROCESS])</f>
        <v>BALE</v>
      </c>
      <c r="E2772">
        <v>70</v>
      </c>
    </row>
    <row r="2773" spans="1:5" x14ac:dyDescent="0.2">
      <c r="A2773" s="3">
        <v>46030</v>
      </c>
      <c r="B2773" t="s">
        <v>1</v>
      </c>
      <c r="C2773">
        <v>1</v>
      </c>
      <c r="D2773" t="str">
        <f>_xlfn.XLOOKUP(RW_DT_PRODUCTION[[#This Row],[MATERIAL_ID]],DIM_MATERIAL[MATERIAL_ID],DIM_MATERIAL[UOM_AFTER_PROCESS])</f>
        <v>BALE</v>
      </c>
      <c r="E2773">
        <v>78</v>
      </c>
    </row>
    <row r="2774" spans="1:5" x14ac:dyDescent="0.2">
      <c r="A2774" s="3">
        <v>46030</v>
      </c>
      <c r="B2774" t="s">
        <v>1</v>
      </c>
      <c r="C2774">
        <v>1</v>
      </c>
      <c r="D2774" t="str">
        <f>_xlfn.XLOOKUP(RW_DT_PRODUCTION[[#This Row],[MATERIAL_ID]],DIM_MATERIAL[MATERIAL_ID],DIM_MATERIAL[UOM_AFTER_PROCESS])</f>
        <v>BALE</v>
      </c>
      <c r="E2774">
        <v>61</v>
      </c>
    </row>
    <row r="2775" spans="1:5" x14ac:dyDescent="0.2">
      <c r="A2775" s="3">
        <v>46030</v>
      </c>
      <c r="B2775" t="s">
        <v>1</v>
      </c>
      <c r="C2775">
        <v>1</v>
      </c>
      <c r="D2775" t="str">
        <f>_xlfn.XLOOKUP(RW_DT_PRODUCTION[[#This Row],[MATERIAL_ID]],DIM_MATERIAL[MATERIAL_ID],DIM_MATERIAL[UOM_AFTER_PROCESS])</f>
        <v>BALE</v>
      </c>
      <c r="E2775">
        <v>72</v>
      </c>
    </row>
    <row r="2776" spans="1:5" x14ac:dyDescent="0.2">
      <c r="A2776" s="3">
        <v>46031</v>
      </c>
      <c r="B2776" t="s">
        <v>1</v>
      </c>
      <c r="C2776">
        <v>1</v>
      </c>
      <c r="D2776" t="str">
        <f>_xlfn.XLOOKUP(RW_DT_PRODUCTION[[#This Row],[MATERIAL_ID]],DIM_MATERIAL[MATERIAL_ID],DIM_MATERIAL[UOM_AFTER_PROCESS])</f>
        <v>BALE</v>
      </c>
      <c r="E2776">
        <v>66</v>
      </c>
    </row>
    <row r="2777" spans="1:5" x14ac:dyDescent="0.2">
      <c r="A2777" s="3">
        <v>46031</v>
      </c>
      <c r="B2777" t="s">
        <v>1</v>
      </c>
      <c r="C2777">
        <v>1</v>
      </c>
      <c r="D2777" t="str">
        <f>_xlfn.XLOOKUP(RW_DT_PRODUCTION[[#This Row],[MATERIAL_ID]],DIM_MATERIAL[MATERIAL_ID],DIM_MATERIAL[UOM_AFTER_PROCESS])</f>
        <v>BALE</v>
      </c>
      <c r="E2777">
        <v>76</v>
      </c>
    </row>
    <row r="2778" spans="1:5" x14ac:dyDescent="0.2">
      <c r="A2778" s="3">
        <v>46031</v>
      </c>
      <c r="B2778" t="s">
        <v>1</v>
      </c>
      <c r="C2778">
        <v>1</v>
      </c>
      <c r="D2778" t="str">
        <f>_xlfn.XLOOKUP(RW_DT_PRODUCTION[[#This Row],[MATERIAL_ID]],DIM_MATERIAL[MATERIAL_ID],DIM_MATERIAL[UOM_AFTER_PROCESS])</f>
        <v>BALE</v>
      </c>
      <c r="E2778">
        <v>72</v>
      </c>
    </row>
    <row r="2779" spans="1:5" x14ac:dyDescent="0.2">
      <c r="A2779" s="3">
        <v>46031</v>
      </c>
      <c r="B2779" t="s">
        <v>1</v>
      </c>
      <c r="C2779">
        <v>1</v>
      </c>
      <c r="D2779" t="str">
        <f>_xlfn.XLOOKUP(RW_DT_PRODUCTION[[#This Row],[MATERIAL_ID]],DIM_MATERIAL[MATERIAL_ID],DIM_MATERIAL[UOM_AFTER_PROCESS])</f>
        <v>BALE</v>
      </c>
      <c r="E2779">
        <v>81</v>
      </c>
    </row>
    <row r="2780" spans="1:5" x14ac:dyDescent="0.2">
      <c r="A2780" s="3">
        <v>46031</v>
      </c>
      <c r="B2780" t="s">
        <v>1</v>
      </c>
      <c r="C2780">
        <v>1</v>
      </c>
      <c r="D2780" t="str">
        <f>_xlfn.XLOOKUP(RW_DT_PRODUCTION[[#This Row],[MATERIAL_ID]],DIM_MATERIAL[MATERIAL_ID],DIM_MATERIAL[UOM_AFTER_PROCESS])</f>
        <v>BALE</v>
      </c>
      <c r="E2780">
        <v>65</v>
      </c>
    </row>
    <row r="2781" spans="1:5" x14ac:dyDescent="0.2">
      <c r="A2781" s="3">
        <v>46031</v>
      </c>
      <c r="B2781" t="s">
        <v>2</v>
      </c>
      <c r="C2781">
        <v>1</v>
      </c>
      <c r="D2781" t="str">
        <f>_xlfn.XLOOKUP(RW_DT_PRODUCTION[[#This Row],[MATERIAL_ID]],DIM_MATERIAL[MATERIAL_ID],DIM_MATERIAL[UOM_AFTER_PROCESS])</f>
        <v>BAG</v>
      </c>
      <c r="E2781">
        <v>22</v>
      </c>
    </row>
    <row r="2782" spans="1:5" x14ac:dyDescent="0.2">
      <c r="A2782" s="3">
        <v>46031</v>
      </c>
      <c r="B2782" t="s">
        <v>2</v>
      </c>
      <c r="C2782">
        <v>1</v>
      </c>
      <c r="D2782" t="str">
        <f>_xlfn.XLOOKUP(RW_DT_PRODUCTION[[#This Row],[MATERIAL_ID]],DIM_MATERIAL[MATERIAL_ID],DIM_MATERIAL[UOM_AFTER_PROCESS])</f>
        <v>BAG</v>
      </c>
      <c r="E2782">
        <v>22</v>
      </c>
    </row>
    <row r="2783" spans="1:5" x14ac:dyDescent="0.2">
      <c r="A2783" s="3">
        <v>46031</v>
      </c>
      <c r="B2783" t="s">
        <v>2</v>
      </c>
      <c r="C2783">
        <v>1</v>
      </c>
      <c r="D2783" t="str">
        <f>_xlfn.XLOOKUP(RW_DT_PRODUCTION[[#This Row],[MATERIAL_ID]],DIM_MATERIAL[MATERIAL_ID],DIM_MATERIAL[UOM_AFTER_PROCESS])</f>
        <v>BAG</v>
      </c>
      <c r="E2783">
        <v>22</v>
      </c>
    </row>
    <row r="2784" spans="1:5" x14ac:dyDescent="0.2">
      <c r="A2784" s="3">
        <v>46034</v>
      </c>
      <c r="B2784" t="s">
        <v>1</v>
      </c>
      <c r="C2784">
        <v>1</v>
      </c>
      <c r="D2784" t="str">
        <f>_xlfn.XLOOKUP(RW_DT_PRODUCTION[[#This Row],[MATERIAL_ID]],DIM_MATERIAL[MATERIAL_ID],DIM_MATERIAL[UOM_AFTER_PROCESS])</f>
        <v>BALE</v>
      </c>
      <c r="E2784">
        <v>60</v>
      </c>
    </row>
    <row r="2785" spans="1:5" x14ac:dyDescent="0.2">
      <c r="A2785" s="3">
        <v>46034</v>
      </c>
      <c r="B2785" t="s">
        <v>1</v>
      </c>
      <c r="C2785">
        <v>1</v>
      </c>
      <c r="D2785" t="str">
        <f>_xlfn.XLOOKUP(RW_DT_PRODUCTION[[#This Row],[MATERIAL_ID]],DIM_MATERIAL[MATERIAL_ID],DIM_MATERIAL[UOM_AFTER_PROCESS])</f>
        <v>BALE</v>
      </c>
      <c r="E2785">
        <v>81</v>
      </c>
    </row>
    <row r="2786" spans="1:5" x14ac:dyDescent="0.2">
      <c r="A2786" s="3">
        <v>46034</v>
      </c>
      <c r="B2786" t="s">
        <v>1</v>
      </c>
      <c r="C2786">
        <v>1</v>
      </c>
      <c r="D2786" t="str">
        <f>_xlfn.XLOOKUP(RW_DT_PRODUCTION[[#This Row],[MATERIAL_ID]],DIM_MATERIAL[MATERIAL_ID],DIM_MATERIAL[UOM_AFTER_PROCESS])</f>
        <v>BALE</v>
      </c>
      <c r="E2786">
        <v>80</v>
      </c>
    </row>
    <row r="2787" spans="1:5" x14ac:dyDescent="0.2">
      <c r="A2787" s="3">
        <v>46034</v>
      </c>
      <c r="B2787" t="s">
        <v>1</v>
      </c>
      <c r="C2787">
        <v>1</v>
      </c>
      <c r="D2787" t="str">
        <f>_xlfn.XLOOKUP(RW_DT_PRODUCTION[[#This Row],[MATERIAL_ID]],DIM_MATERIAL[MATERIAL_ID],DIM_MATERIAL[UOM_AFTER_PROCESS])</f>
        <v>BALE</v>
      </c>
      <c r="E2787">
        <v>70</v>
      </c>
    </row>
    <row r="2788" spans="1:5" x14ac:dyDescent="0.2">
      <c r="A2788" s="3">
        <v>46034</v>
      </c>
      <c r="B2788" t="s">
        <v>1</v>
      </c>
      <c r="C2788">
        <v>1</v>
      </c>
      <c r="D2788" t="str">
        <f>_xlfn.XLOOKUP(RW_DT_PRODUCTION[[#This Row],[MATERIAL_ID]],DIM_MATERIAL[MATERIAL_ID],DIM_MATERIAL[UOM_AFTER_PROCESS])</f>
        <v>BALE</v>
      </c>
      <c r="E2788">
        <v>75</v>
      </c>
    </row>
    <row r="2789" spans="1:5" x14ac:dyDescent="0.2">
      <c r="A2789" s="3">
        <v>46034</v>
      </c>
      <c r="B2789" t="s">
        <v>1</v>
      </c>
      <c r="C2789">
        <v>1</v>
      </c>
      <c r="D2789" t="str">
        <f>_xlfn.XLOOKUP(RW_DT_PRODUCTION[[#This Row],[MATERIAL_ID]],DIM_MATERIAL[MATERIAL_ID],DIM_MATERIAL[UOM_AFTER_PROCESS])</f>
        <v>BALE</v>
      </c>
      <c r="E2789">
        <v>86</v>
      </c>
    </row>
    <row r="2790" spans="1:5" x14ac:dyDescent="0.2">
      <c r="A2790" s="3">
        <v>46034</v>
      </c>
      <c r="B2790" t="s">
        <v>1</v>
      </c>
      <c r="C2790">
        <v>1</v>
      </c>
      <c r="D2790" t="str">
        <f>_xlfn.XLOOKUP(RW_DT_PRODUCTION[[#This Row],[MATERIAL_ID]],DIM_MATERIAL[MATERIAL_ID],DIM_MATERIAL[UOM_AFTER_PROCESS])</f>
        <v>BALE</v>
      </c>
      <c r="E2790">
        <v>87</v>
      </c>
    </row>
    <row r="2791" spans="1:5" x14ac:dyDescent="0.2">
      <c r="A2791" s="3">
        <v>46034</v>
      </c>
      <c r="B2791" t="s">
        <v>1</v>
      </c>
      <c r="C2791">
        <v>1</v>
      </c>
      <c r="D2791" t="str">
        <f>_xlfn.XLOOKUP(RW_DT_PRODUCTION[[#This Row],[MATERIAL_ID]],DIM_MATERIAL[MATERIAL_ID],DIM_MATERIAL[UOM_AFTER_PROCESS])</f>
        <v>BALE</v>
      </c>
      <c r="E2791">
        <v>89</v>
      </c>
    </row>
    <row r="2792" spans="1:5" x14ac:dyDescent="0.2">
      <c r="A2792" s="3">
        <v>46034</v>
      </c>
      <c r="B2792" t="s">
        <v>1</v>
      </c>
      <c r="C2792">
        <v>1</v>
      </c>
      <c r="D2792" t="str">
        <f>_xlfn.XLOOKUP(RW_DT_PRODUCTION[[#This Row],[MATERIAL_ID]],DIM_MATERIAL[MATERIAL_ID],DIM_MATERIAL[UOM_AFTER_PROCESS])</f>
        <v>BALE</v>
      </c>
      <c r="E2792">
        <v>80</v>
      </c>
    </row>
    <row r="2793" spans="1:5" x14ac:dyDescent="0.2">
      <c r="A2793" s="3">
        <v>46034</v>
      </c>
      <c r="B2793" t="s">
        <v>1</v>
      </c>
      <c r="C2793">
        <v>1</v>
      </c>
      <c r="D2793" t="str">
        <f>_xlfn.XLOOKUP(RW_DT_PRODUCTION[[#This Row],[MATERIAL_ID]],DIM_MATERIAL[MATERIAL_ID],DIM_MATERIAL[UOM_AFTER_PROCESS])</f>
        <v>BALE</v>
      </c>
      <c r="E2793">
        <v>88</v>
      </c>
    </row>
    <row r="2794" spans="1:5" x14ac:dyDescent="0.2">
      <c r="A2794" s="3">
        <v>46034</v>
      </c>
      <c r="B2794" t="s">
        <v>1</v>
      </c>
      <c r="C2794">
        <v>1</v>
      </c>
      <c r="D2794" t="str">
        <f>_xlfn.XLOOKUP(RW_DT_PRODUCTION[[#This Row],[MATERIAL_ID]],DIM_MATERIAL[MATERIAL_ID],DIM_MATERIAL[UOM_AFTER_PROCESS])</f>
        <v>BALE</v>
      </c>
      <c r="E2794">
        <v>70</v>
      </c>
    </row>
    <row r="2795" spans="1:5" x14ac:dyDescent="0.2">
      <c r="A2795" s="3">
        <v>46034</v>
      </c>
      <c r="B2795" t="s">
        <v>2</v>
      </c>
      <c r="C2795">
        <v>1</v>
      </c>
      <c r="D2795" t="str">
        <f>_xlfn.XLOOKUP(RW_DT_PRODUCTION[[#This Row],[MATERIAL_ID]],DIM_MATERIAL[MATERIAL_ID],DIM_MATERIAL[UOM_AFTER_PROCESS])</f>
        <v>BAG</v>
      </c>
      <c r="E2795">
        <v>22</v>
      </c>
    </row>
    <row r="2796" spans="1:5" x14ac:dyDescent="0.2">
      <c r="A2796" s="3">
        <v>46036</v>
      </c>
      <c r="B2796" t="s">
        <v>1</v>
      </c>
      <c r="C2796">
        <v>1</v>
      </c>
      <c r="D2796" t="str">
        <f>_xlfn.XLOOKUP(RW_DT_PRODUCTION[[#This Row],[MATERIAL_ID]],DIM_MATERIAL[MATERIAL_ID],DIM_MATERIAL[UOM_AFTER_PROCESS])</f>
        <v>BALE</v>
      </c>
      <c r="E2796">
        <v>70</v>
      </c>
    </row>
    <row r="2797" spans="1:5" x14ac:dyDescent="0.2">
      <c r="A2797" s="3">
        <v>46036</v>
      </c>
      <c r="B2797" t="s">
        <v>1</v>
      </c>
      <c r="C2797">
        <v>1</v>
      </c>
      <c r="D2797" t="str">
        <f>_xlfn.XLOOKUP(RW_DT_PRODUCTION[[#This Row],[MATERIAL_ID]],DIM_MATERIAL[MATERIAL_ID],DIM_MATERIAL[UOM_AFTER_PROCESS])</f>
        <v>BALE</v>
      </c>
      <c r="E2797">
        <v>79</v>
      </c>
    </row>
    <row r="2798" spans="1:5" x14ac:dyDescent="0.2">
      <c r="A2798" s="3">
        <v>46036</v>
      </c>
      <c r="B2798" t="s">
        <v>1</v>
      </c>
      <c r="C2798">
        <v>1</v>
      </c>
      <c r="D2798" t="str">
        <f>_xlfn.XLOOKUP(RW_DT_PRODUCTION[[#This Row],[MATERIAL_ID]],DIM_MATERIAL[MATERIAL_ID],DIM_MATERIAL[UOM_AFTER_PROCESS])</f>
        <v>BALE</v>
      </c>
      <c r="E2798">
        <v>63</v>
      </c>
    </row>
    <row r="2799" spans="1:5" x14ac:dyDescent="0.2">
      <c r="A2799" s="3">
        <v>46036</v>
      </c>
      <c r="B2799" t="s">
        <v>1</v>
      </c>
      <c r="C2799">
        <v>1</v>
      </c>
      <c r="D2799" t="str">
        <f>_xlfn.XLOOKUP(RW_DT_PRODUCTION[[#This Row],[MATERIAL_ID]],DIM_MATERIAL[MATERIAL_ID],DIM_MATERIAL[UOM_AFTER_PROCESS])</f>
        <v>BALE</v>
      </c>
      <c r="E2799">
        <v>72</v>
      </c>
    </row>
    <row r="2800" spans="1:5" x14ac:dyDescent="0.2">
      <c r="A2800" s="3">
        <v>46036</v>
      </c>
      <c r="B2800" t="s">
        <v>1</v>
      </c>
      <c r="C2800">
        <v>1</v>
      </c>
      <c r="D2800" t="str">
        <f>_xlfn.XLOOKUP(RW_DT_PRODUCTION[[#This Row],[MATERIAL_ID]],DIM_MATERIAL[MATERIAL_ID],DIM_MATERIAL[UOM_AFTER_PROCESS])</f>
        <v>BALE</v>
      </c>
      <c r="E2800">
        <v>61</v>
      </c>
    </row>
    <row r="2801" spans="1:5" x14ac:dyDescent="0.2">
      <c r="A2801" s="3">
        <v>46036</v>
      </c>
      <c r="B2801" t="s">
        <v>1</v>
      </c>
      <c r="C2801">
        <v>1</v>
      </c>
      <c r="D2801" t="str">
        <f>_xlfn.XLOOKUP(RW_DT_PRODUCTION[[#This Row],[MATERIAL_ID]],DIM_MATERIAL[MATERIAL_ID],DIM_MATERIAL[UOM_AFTER_PROCESS])</f>
        <v>BALE</v>
      </c>
      <c r="E2801">
        <v>76</v>
      </c>
    </row>
    <row r="2802" spans="1:5" x14ac:dyDescent="0.2">
      <c r="A2802" s="3">
        <v>46036</v>
      </c>
      <c r="B2802" t="s">
        <v>1</v>
      </c>
      <c r="C2802">
        <v>1</v>
      </c>
      <c r="D2802" t="str">
        <f>_xlfn.XLOOKUP(RW_DT_PRODUCTION[[#This Row],[MATERIAL_ID]],DIM_MATERIAL[MATERIAL_ID],DIM_MATERIAL[UOM_AFTER_PROCESS])</f>
        <v>BALE</v>
      </c>
      <c r="E2802">
        <v>72</v>
      </c>
    </row>
    <row r="2803" spans="1:5" x14ac:dyDescent="0.2">
      <c r="A2803" s="3">
        <v>46036</v>
      </c>
      <c r="B2803" t="s">
        <v>1</v>
      </c>
      <c r="C2803">
        <v>1</v>
      </c>
      <c r="D2803" t="str">
        <f>_xlfn.XLOOKUP(RW_DT_PRODUCTION[[#This Row],[MATERIAL_ID]],DIM_MATERIAL[MATERIAL_ID],DIM_MATERIAL[UOM_AFTER_PROCESS])</f>
        <v>BALE</v>
      </c>
      <c r="E2803">
        <v>76</v>
      </c>
    </row>
    <row r="2804" spans="1:5" x14ac:dyDescent="0.2">
      <c r="A2804" s="3">
        <v>46036</v>
      </c>
      <c r="B2804" t="s">
        <v>1</v>
      </c>
      <c r="C2804">
        <v>1</v>
      </c>
      <c r="D2804" t="str">
        <f>_xlfn.XLOOKUP(RW_DT_PRODUCTION[[#This Row],[MATERIAL_ID]],DIM_MATERIAL[MATERIAL_ID],DIM_MATERIAL[UOM_AFTER_PROCESS])</f>
        <v>BALE</v>
      </c>
      <c r="E2804">
        <v>62</v>
      </c>
    </row>
    <row r="2805" spans="1:5" x14ac:dyDescent="0.2">
      <c r="A2805" s="3">
        <v>46036</v>
      </c>
      <c r="B2805" t="s">
        <v>1</v>
      </c>
      <c r="C2805">
        <v>1</v>
      </c>
      <c r="D2805" t="str">
        <f>_xlfn.XLOOKUP(RW_DT_PRODUCTION[[#This Row],[MATERIAL_ID]],DIM_MATERIAL[MATERIAL_ID],DIM_MATERIAL[UOM_AFTER_PROCESS])</f>
        <v>BALE</v>
      </c>
      <c r="E2805">
        <v>65</v>
      </c>
    </row>
    <row r="2806" spans="1:5" x14ac:dyDescent="0.2">
      <c r="A2806" s="3">
        <v>46037</v>
      </c>
      <c r="B2806" t="s">
        <v>1</v>
      </c>
      <c r="C2806">
        <v>1</v>
      </c>
      <c r="D2806" t="str">
        <f>_xlfn.XLOOKUP(RW_DT_PRODUCTION[[#This Row],[MATERIAL_ID]],DIM_MATERIAL[MATERIAL_ID],DIM_MATERIAL[UOM_AFTER_PROCESS])</f>
        <v>BALE</v>
      </c>
      <c r="E2806">
        <v>71</v>
      </c>
    </row>
    <row r="2807" spans="1:5" x14ac:dyDescent="0.2">
      <c r="A2807" s="3">
        <v>46037</v>
      </c>
      <c r="B2807" t="s">
        <v>1</v>
      </c>
      <c r="C2807">
        <v>1</v>
      </c>
      <c r="D2807" t="str">
        <f>_xlfn.XLOOKUP(RW_DT_PRODUCTION[[#This Row],[MATERIAL_ID]],DIM_MATERIAL[MATERIAL_ID],DIM_MATERIAL[UOM_AFTER_PROCESS])</f>
        <v>BALE</v>
      </c>
      <c r="E2807">
        <v>80</v>
      </c>
    </row>
    <row r="2808" spans="1:5" x14ac:dyDescent="0.2">
      <c r="A2808" s="3">
        <v>46037</v>
      </c>
      <c r="B2808" t="s">
        <v>1</v>
      </c>
      <c r="C2808">
        <v>1</v>
      </c>
      <c r="D2808" t="str">
        <f>_xlfn.XLOOKUP(RW_DT_PRODUCTION[[#This Row],[MATERIAL_ID]],DIM_MATERIAL[MATERIAL_ID],DIM_MATERIAL[UOM_AFTER_PROCESS])</f>
        <v>BALE</v>
      </c>
      <c r="E2808">
        <v>60</v>
      </c>
    </row>
    <row r="2809" spans="1:5" x14ac:dyDescent="0.2">
      <c r="A2809" s="3">
        <v>46037</v>
      </c>
      <c r="B2809" t="s">
        <v>1</v>
      </c>
      <c r="C2809">
        <v>1</v>
      </c>
      <c r="D2809" t="str">
        <f>_xlfn.XLOOKUP(RW_DT_PRODUCTION[[#This Row],[MATERIAL_ID]],DIM_MATERIAL[MATERIAL_ID],DIM_MATERIAL[UOM_AFTER_PROCESS])</f>
        <v>BALE</v>
      </c>
      <c r="E2809">
        <v>66</v>
      </c>
    </row>
    <row r="2810" spans="1:5" x14ac:dyDescent="0.2">
      <c r="A2810" s="3">
        <v>46037</v>
      </c>
      <c r="B2810" t="s">
        <v>1</v>
      </c>
      <c r="C2810">
        <v>1</v>
      </c>
      <c r="D2810" t="str">
        <f>_xlfn.XLOOKUP(RW_DT_PRODUCTION[[#This Row],[MATERIAL_ID]],DIM_MATERIAL[MATERIAL_ID],DIM_MATERIAL[UOM_AFTER_PROCESS])</f>
        <v>BALE</v>
      </c>
      <c r="E2810">
        <v>78</v>
      </c>
    </row>
    <row r="2811" spans="1:5" x14ac:dyDescent="0.2">
      <c r="A2811" s="3">
        <v>46037</v>
      </c>
      <c r="B2811" t="s">
        <v>1</v>
      </c>
      <c r="C2811">
        <v>1</v>
      </c>
      <c r="D2811" t="str">
        <f>_xlfn.XLOOKUP(RW_DT_PRODUCTION[[#This Row],[MATERIAL_ID]],DIM_MATERIAL[MATERIAL_ID],DIM_MATERIAL[UOM_AFTER_PROCESS])</f>
        <v>BALE</v>
      </c>
      <c r="E2811">
        <v>83</v>
      </c>
    </row>
    <row r="2812" spans="1:5" x14ac:dyDescent="0.2">
      <c r="A2812" s="3">
        <v>46037</v>
      </c>
      <c r="B2812" t="s">
        <v>1</v>
      </c>
      <c r="C2812">
        <v>1</v>
      </c>
      <c r="D2812" t="str">
        <f>_xlfn.XLOOKUP(RW_DT_PRODUCTION[[#This Row],[MATERIAL_ID]],DIM_MATERIAL[MATERIAL_ID],DIM_MATERIAL[UOM_AFTER_PROCESS])</f>
        <v>BALE</v>
      </c>
      <c r="E2812">
        <v>66</v>
      </c>
    </row>
    <row r="2813" spans="1:5" x14ac:dyDescent="0.2">
      <c r="A2813" s="3">
        <v>46037</v>
      </c>
      <c r="B2813" t="s">
        <v>1</v>
      </c>
      <c r="C2813">
        <v>1</v>
      </c>
      <c r="D2813" t="str">
        <f>_xlfn.XLOOKUP(RW_DT_PRODUCTION[[#This Row],[MATERIAL_ID]],DIM_MATERIAL[MATERIAL_ID],DIM_MATERIAL[UOM_AFTER_PROCESS])</f>
        <v>BALE</v>
      </c>
      <c r="E2813">
        <v>71</v>
      </c>
    </row>
    <row r="2814" spans="1:5" x14ac:dyDescent="0.2">
      <c r="A2814" s="3">
        <v>46037</v>
      </c>
      <c r="B2814" t="s">
        <v>1</v>
      </c>
      <c r="C2814">
        <v>1</v>
      </c>
      <c r="D2814" t="str">
        <f>_xlfn.XLOOKUP(RW_DT_PRODUCTION[[#This Row],[MATERIAL_ID]],DIM_MATERIAL[MATERIAL_ID],DIM_MATERIAL[UOM_AFTER_PROCESS])</f>
        <v>BALE</v>
      </c>
      <c r="E2814">
        <v>64</v>
      </c>
    </row>
    <row r="2815" spans="1:5" x14ac:dyDescent="0.2">
      <c r="A2815" s="3">
        <v>46037</v>
      </c>
      <c r="B2815" t="s">
        <v>1</v>
      </c>
      <c r="C2815">
        <v>1</v>
      </c>
      <c r="D2815" t="str">
        <f>_xlfn.XLOOKUP(RW_DT_PRODUCTION[[#This Row],[MATERIAL_ID]],DIM_MATERIAL[MATERIAL_ID],DIM_MATERIAL[UOM_AFTER_PROCESS])</f>
        <v>BALE</v>
      </c>
      <c r="E2815">
        <v>81</v>
      </c>
    </row>
    <row r="2816" spans="1:5" x14ac:dyDescent="0.2">
      <c r="A2816" s="3">
        <v>46037</v>
      </c>
      <c r="B2816" t="s">
        <v>1</v>
      </c>
      <c r="C2816">
        <v>1</v>
      </c>
      <c r="D2816" t="str">
        <f>_xlfn.XLOOKUP(RW_DT_PRODUCTION[[#This Row],[MATERIAL_ID]],DIM_MATERIAL[MATERIAL_ID],DIM_MATERIAL[UOM_AFTER_PROCESS])</f>
        <v>BALE</v>
      </c>
      <c r="E2816">
        <v>80</v>
      </c>
    </row>
    <row r="2817" spans="1:5" x14ac:dyDescent="0.2">
      <c r="A2817" s="3">
        <v>46037</v>
      </c>
      <c r="B2817" t="s">
        <v>1</v>
      </c>
      <c r="C2817">
        <v>1</v>
      </c>
      <c r="D2817" t="str">
        <f>_xlfn.XLOOKUP(RW_DT_PRODUCTION[[#This Row],[MATERIAL_ID]],DIM_MATERIAL[MATERIAL_ID],DIM_MATERIAL[UOM_AFTER_PROCESS])</f>
        <v>BALE</v>
      </c>
      <c r="E2817">
        <v>82</v>
      </c>
    </row>
    <row r="2818" spans="1:5" x14ac:dyDescent="0.2">
      <c r="A2818" s="3">
        <v>46037</v>
      </c>
      <c r="B2818" t="s">
        <v>1</v>
      </c>
      <c r="C2818">
        <v>1</v>
      </c>
      <c r="D2818" t="str">
        <f>_xlfn.XLOOKUP(RW_DT_PRODUCTION[[#This Row],[MATERIAL_ID]],DIM_MATERIAL[MATERIAL_ID],DIM_MATERIAL[UOM_AFTER_PROCESS])</f>
        <v>BALE</v>
      </c>
      <c r="E2818">
        <v>84</v>
      </c>
    </row>
    <row r="2819" spans="1:5" x14ac:dyDescent="0.2">
      <c r="A2819" s="3">
        <v>46038</v>
      </c>
      <c r="B2819" t="s">
        <v>1</v>
      </c>
      <c r="C2819">
        <v>1</v>
      </c>
      <c r="D2819" t="str">
        <f>_xlfn.XLOOKUP(RW_DT_PRODUCTION[[#This Row],[MATERIAL_ID]],DIM_MATERIAL[MATERIAL_ID],DIM_MATERIAL[UOM_AFTER_PROCESS])</f>
        <v>BALE</v>
      </c>
      <c r="E2819">
        <v>89</v>
      </c>
    </row>
    <row r="2820" spans="1:5" x14ac:dyDescent="0.2">
      <c r="A2820" s="3">
        <v>46038</v>
      </c>
      <c r="B2820" t="s">
        <v>1</v>
      </c>
      <c r="C2820">
        <v>1</v>
      </c>
      <c r="D2820" t="str">
        <f>_xlfn.XLOOKUP(RW_DT_PRODUCTION[[#This Row],[MATERIAL_ID]],DIM_MATERIAL[MATERIAL_ID],DIM_MATERIAL[UOM_AFTER_PROCESS])</f>
        <v>BALE</v>
      </c>
      <c r="E2820">
        <v>82</v>
      </c>
    </row>
    <row r="2821" spans="1:5" x14ac:dyDescent="0.2">
      <c r="A2821" s="3">
        <v>46038</v>
      </c>
      <c r="B2821" t="s">
        <v>1</v>
      </c>
      <c r="C2821">
        <v>1</v>
      </c>
      <c r="D2821" t="str">
        <f>_xlfn.XLOOKUP(RW_DT_PRODUCTION[[#This Row],[MATERIAL_ID]],DIM_MATERIAL[MATERIAL_ID],DIM_MATERIAL[UOM_AFTER_PROCESS])</f>
        <v>BALE</v>
      </c>
      <c r="E2821">
        <v>83</v>
      </c>
    </row>
    <row r="2822" spans="1:5" x14ac:dyDescent="0.2">
      <c r="A2822" s="3">
        <v>46038</v>
      </c>
      <c r="B2822" t="s">
        <v>1</v>
      </c>
      <c r="C2822">
        <v>1</v>
      </c>
      <c r="D2822" t="str">
        <f>_xlfn.XLOOKUP(RW_DT_PRODUCTION[[#This Row],[MATERIAL_ID]],DIM_MATERIAL[MATERIAL_ID],DIM_MATERIAL[UOM_AFTER_PROCESS])</f>
        <v>BALE</v>
      </c>
      <c r="E2822">
        <v>80</v>
      </c>
    </row>
    <row r="2823" spans="1:5" x14ac:dyDescent="0.2">
      <c r="A2823" s="3">
        <v>46038</v>
      </c>
      <c r="B2823" t="s">
        <v>1</v>
      </c>
      <c r="C2823">
        <v>1</v>
      </c>
      <c r="D2823" t="str">
        <f>_xlfn.XLOOKUP(RW_DT_PRODUCTION[[#This Row],[MATERIAL_ID]],DIM_MATERIAL[MATERIAL_ID],DIM_MATERIAL[UOM_AFTER_PROCESS])</f>
        <v>BALE</v>
      </c>
      <c r="E2823">
        <v>75</v>
      </c>
    </row>
    <row r="2824" spans="1:5" x14ac:dyDescent="0.2">
      <c r="A2824" s="3">
        <v>46038</v>
      </c>
      <c r="B2824" t="s">
        <v>1</v>
      </c>
      <c r="C2824">
        <v>1</v>
      </c>
      <c r="D2824" t="str">
        <f>_xlfn.XLOOKUP(RW_DT_PRODUCTION[[#This Row],[MATERIAL_ID]],DIM_MATERIAL[MATERIAL_ID],DIM_MATERIAL[UOM_AFTER_PROCESS])</f>
        <v>BALE</v>
      </c>
      <c r="E2824">
        <v>68</v>
      </c>
    </row>
    <row r="2825" spans="1:5" x14ac:dyDescent="0.2">
      <c r="A2825" s="3">
        <v>46038</v>
      </c>
      <c r="B2825" t="s">
        <v>1</v>
      </c>
      <c r="C2825">
        <v>1</v>
      </c>
      <c r="D2825" t="str">
        <f>_xlfn.XLOOKUP(RW_DT_PRODUCTION[[#This Row],[MATERIAL_ID]],DIM_MATERIAL[MATERIAL_ID],DIM_MATERIAL[UOM_AFTER_PROCESS])</f>
        <v>BALE</v>
      </c>
      <c r="E2825">
        <v>79</v>
      </c>
    </row>
    <row r="2826" spans="1:5" x14ac:dyDescent="0.2">
      <c r="A2826" s="3">
        <v>46038</v>
      </c>
      <c r="B2826" t="s">
        <v>2</v>
      </c>
      <c r="C2826">
        <v>1</v>
      </c>
      <c r="D2826" t="str">
        <f>_xlfn.XLOOKUP(RW_DT_PRODUCTION[[#This Row],[MATERIAL_ID]],DIM_MATERIAL[MATERIAL_ID],DIM_MATERIAL[UOM_AFTER_PROCESS])</f>
        <v>BAG</v>
      </c>
      <c r="E2826">
        <v>22</v>
      </c>
    </row>
    <row r="2827" spans="1:5" x14ac:dyDescent="0.2">
      <c r="A2827" s="3">
        <v>46038</v>
      </c>
      <c r="B2827" t="s">
        <v>2</v>
      </c>
      <c r="C2827">
        <v>1</v>
      </c>
      <c r="D2827" t="str">
        <f>_xlfn.XLOOKUP(RW_DT_PRODUCTION[[#This Row],[MATERIAL_ID]],DIM_MATERIAL[MATERIAL_ID],DIM_MATERIAL[UOM_AFTER_PROCESS])</f>
        <v>BAG</v>
      </c>
      <c r="E2827">
        <v>22</v>
      </c>
    </row>
    <row r="2828" spans="1:5" x14ac:dyDescent="0.2">
      <c r="A2828" s="3">
        <v>46038</v>
      </c>
      <c r="B2828" t="s">
        <v>2</v>
      </c>
      <c r="C2828">
        <v>1</v>
      </c>
      <c r="D2828" t="str">
        <f>_xlfn.XLOOKUP(RW_DT_PRODUCTION[[#This Row],[MATERIAL_ID]],DIM_MATERIAL[MATERIAL_ID],DIM_MATERIAL[UOM_AFTER_PROCESS])</f>
        <v>BAG</v>
      </c>
      <c r="E2828">
        <v>22</v>
      </c>
    </row>
    <row r="2829" spans="1:5" x14ac:dyDescent="0.2">
      <c r="A2829" s="3">
        <v>46038</v>
      </c>
      <c r="B2829" t="s">
        <v>2</v>
      </c>
      <c r="C2829">
        <v>1</v>
      </c>
      <c r="D2829" t="str">
        <f>_xlfn.XLOOKUP(RW_DT_PRODUCTION[[#This Row],[MATERIAL_ID]],DIM_MATERIAL[MATERIAL_ID],DIM_MATERIAL[UOM_AFTER_PROCESS])</f>
        <v>BAG</v>
      </c>
      <c r="E2829">
        <v>22</v>
      </c>
    </row>
    <row r="2830" spans="1:5" x14ac:dyDescent="0.2">
      <c r="A2830" s="3">
        <v>46038</v>
      </c>
      <c r="B2830" t="s">
        <v>2</v>
      </c>
      <c r="C2830">
        <v>1</v>
      </c>
      <c r="D2830" t="str">
        <f>_xlfn.XLOOKUP(RW_DT_PRODUCTION[[#This Row],[MATERIAL_ID]],DIM_MATERIAL[MATERIAL_ID],DIM_MATERIAL[UOM_AFTER_PROCESS])</f>
        <v>BAG</v>
      </c>
      <c r="E2830">
        <v>22</v>
      </c>
    </row>
    <row r="2831" spans="1:5" x14ac:dyDescent="0.2">
      <c r="A2831" s="3">
        <v>46041</v>
      </c>
      <c r="B2831" t="s">
        <v>1</v>
      </c>
      <c r="C2831">
        <v>1</v>
      </c>
      <c r="D2831" t="str">
        <f>_xlfn.XLOOKUP(RW_DT_PRODUCTION[[#This Row],[MATERIAL_ID]],DIM_MATERIAL[MATERIAL_ID],DIM_MATERIAL[UOM_AFTER_PROCESS])</f>
        <v>BALE</v>
      </c>
      <c r="E2831">
        <v>82</v>
      </c>
    </row>
    <row r="2832" spans="1:5" x14ac:dyDescent="0.2">
      <c r="A2832" s="3">
        <v>46041</v>
      </c>
      <c r="B2832" t="s">
        <v>1</v>
      </c>
      <c r="C2832">
        <v>1</v>
      </c>
      <c r="D2832" t="str">
        <f>_xlfn.XLOOKUP(RW_DT_PRODUCTION[[#This Row],[MATERIAL_ID]],DIM_MATERIAL[MATERIAL_ID],DIM_MATERIAL[UOM_AFTER_PROCESS])</f>
        <v>BALE</v>
      </c>
      <c r="E2832">
        <v>68</v>
      </c>
    </row>
    <row r="2833" spans="1:5" x14ac:dyDescent="0.2">
      <c r="A2833" s="3">
        <v>46041</v>
      </c>
      <c r="B2833" t="s">
        <v>1</v>
      </c>
      <c r="C2833">
        <v>1</v>
      </c>
      <c r="D2833" t="str">
        <f>_xlfn.XLOOKUP(RW_DT_PRODUCTION[[#This Row],[MATERIAL_ID]],DIM_MATERIAL[MATERIAL_ID],DIM_MATERIAL[UOM_AFTER_PROCESS])</f>
        <v>BALE</v>
      </c>
      <c r="E2833">
        <v>83</v>
      </c>
    </row>
    <row r="2834" spans="1:5" x14ac:dyDescent="0.2">
      <c r="A2834" s="3">
        <v>46041</v>
      </c>
      <c r="B2834" t="s">
        <v>1</v>
      </c>
      <c r="C2834">
        <v>1</v>
      </c>
      <c r="D2834" t="str">
        <f>_xlfn.XLOOKUP(RW_DT_PRODUCTION[[#This Row],[MATERIAL_ID]],DIM_MATERIAL[MATERIAL_ID],DIM_MATERIAL[UOM_AFTER_PROCESS])</f>
        <v>BALE</v>
      </c>
      <c r="E2834">
        <v>88</v>
      </c>
    </row>
    <row r="2835" spans="1:5" x14ac:dyDescent="0.2">
      <c r="A2835" s="3">
        <v>46041</v>
      </c>
      <c r="B2835" t="s">
        <v>1</v>
      </c>
      <c r="C2835">
        <v>1</v>
      </c>
      <c r="D2835" t="str">
        <f>_xlfn.XLOOKUP(RW_DT_PRODUCTION[[#This Row],[MATERIAL_ID]],DIM_MATERIAL[MATERIAL_ID],DIM_MATERIAL[UOM_AFTER_PROCESS])</f>
        <v>BALE</v>
      </c>
      <c r="E2835">
        <v>66</v>
      </c>
    </row>
    <row r="2836" spans="1:5" x14ac:dyDescent="0.2">
      <c r="A2836" s="3">
        <v>46041</v>
      </c>
      <c r="B2836" t="s">
        <v>1</v>
      </c>
      <c r="C2836">
        <v>1</v>
      </c>
      <c r="D2836" t="str">
        <f>_xlfn.XLOOKUP(RW_DT_PRODUCTION[[#This Row],[MATERIAL_ID]],DIM_MATERIAL[MATERIAL_ID],DIM_MATERIAL[UOM_AFTER_PROCESS])</f>
        <v>BALE</v>
      </c>
      <c r="E2836">
        <v>72</v>
      </c>
    </row>
    <row r="2837" spans="1:5" x14ac:dyDescent="0.2">
      <c r="A2837" s="3">
        <v>46041</v>
      </c>
      <c r="B2837" t="s">
        <v>1</v>
      </c>
      <c r="C2837">
        <v>1</v>
      </c>
      <c r="D2837" t="str">
        <f>_xlfn.XLOOKUP(RW_DT_PRODUCTION[[#This Row],[MATERIAL_ID]],DIM_MATERIAL[MATERIAL_ID],DIM_MATERIAL[UOM_AFTER_PROCESS])</f>
        <v>BALE</v>
      </c>
      <c r="E2837">
        <v>69</v>
      </c>
    </row>
    <row r="2838" spans="1:5" x14ac:dyDescent="0.2">
      <c r="A2838" s="3">
        <v>46041</v>
      </c>
      <c r="B2838" t="s">
        <v>1</v>
      </c>
      <c r="C2838">
        <v>1</v>
      </c>
      <c r="D2838" t="str">
        <f>_xlfn.XLOOKUP(RW_DT_PRODUCTION[[#This Row],[MATERIAL_ID]],DIM_MATERIAL[MATERIAL_ID],DIM_MATERIAL[UOM_AFTER_PROCESS])</f>
        <v>BALE</v>
      </c>
      <c r="E2838">
        <v>65</v>
      </c>
    </row>
    <row r="2839" spans="1:5" x14ac:dyDescent="0.2">
      <c r="A2839" s="3">
        <v>46041</v>
      </c>
      <c r="B2839" t="s">
        <v>1</v>
      </c>
      <c r="C2839">
        <v>1</v>
      </c>
      <c r="D2839" t="str">
        <f>_xlfn.XLOOKUP(RW_DT_PRODUCTION[[#This Row],[MATERIAL_ID]],DIM_MATERIAL[MATERIAL_ID],DIM_MATERIAL[UOM_AFTER_PROCESS])</f>
        <v>BALE</v>
      </c>
      <c r="E2839">
        <v>80</v>
      </c>
    </row>
    <row r="2840" spans="1:5" x14ac:dyDescent="0.2">
      <c r="A2840" s="3">
        <v>46042</v>
      </c>
      <c r="B2840" t="s">
        <v>1</v>
      </c>
      <c r="C2840">
        <v>1</v>
      </c>
      <c r="D2840" t="str">
        <f>_xlfn.XLOOKUP(RW_DT_PRODUCTION[[#This Row],[MATERIAL_ID]],DIM_MATERIAL[MATERIAL_ID],DIM_MATERIAL[UOM_AFTER_PROCESS])</f>
        <v>BALE</v>
      </c>
      <c r="E2840">
        <v>64</v>
      </c>
    </row>
    <row r="2841" spans="1:5" x14ac:dyDescent="0.2">
      <c r="A2841" s="3">
        <v>46042</v>
      </c>
      <c r="B2841" t="s">
        <v>1</v>
      </c>
      <c r="C2841">
        <v>1</v>
      </c>
      <c r="D2841" t="str">
        <f>_xlfn.XLOOKUP(RW_DT_PRODUCTION[[#This Row],[MATERIAL_ID]],DIM_MATERIAL[MATERIAL_ID],DIM_MATERIAL[UOM_AFTER_PROCESS])</f>
        <v>BALE</v>
      </c>
      <c r="E2841">
        <v>62</v>
      </c>
    </row>
    <row r="2842" spans="1:5" x14ac:dyDescent="0.2">
      <c r="A2842" s="3">
        <v>46042</v>
      </c>
      <c r="B2842" t="s">
        <v>1</v>
      </c>
      <c r="C2842">
        <v>1</v>
      </c>
      <c r="D2842" t="str">
        <f>_xlfn.XLOOKUP(RW_DT_PRODUCTION[[#This Row],[MATERIAL_ID]],DIM_MATERIAL[MATERIAL_ID],DIM_MATERIAL[UOM_AFTER_PROCESS])</f>
        <v>BALE</v>
      </c>
      <c r="E2842">
        <v>85</v>
      </c>
    </row>
    <row r="2843" spans="1:5" x14ac:dyDescent="0.2">
      <c r="A2843" s="3">
        <v>46042</v>
      </c>
      <c r="B2843" t="s">
        <v>1</v>
      </c>
      <c r="C2843">
        <v>1</v>
      </c>
      <c r="D2843" t="str">
        <f>_xlfn.XLOOKUP(RW_DT_PRODUCTION[[#This Row],[MATERIAL_ID]],DIM_MATERIAL[MATERIAL_ID],DIM_MATERIAL[UOM_AFTER_PROCESS])</f>
        <v>BALE</v>
      </c>
      <c r="E2843">
        <v>71</v>
      </c>
    </row>
    <row r="2844" spans="1:5" x14ac:dyDescent="0.2">
      <c r="A2844" s="3">
        <v>46042</v>
      </c>
      <c r="B2844" t="s">
        <v>1</v>
      </c>
      <c r="C2844">
        <v>1</v>
      </c>
      <c r="D2844" t="str">
        <f>_xlfn.XLOOKUP(RW_DT_PRODUCTION[[#This Row],[MATERIAL_ID]],DIM_MATERIAL[MATERIAL_ID],DIM_MATERIAL[UOM_AFTER_PROCESS])</f>
        <v>BALE</v>
      </c>
      <c r="E2844">
        <v>63</v>
      </c>
    </row>
    <row r="2845" spans="1:5" x14ac:dyDescent="0.2">
      <c r="A2845" s="3">
        <v>46042</v>
      </c>
      <c r="B2845" t="s">
        <v>1</v>
      </c>
      <c r="C2845">
        <v>1</v>
      </c>
      <c r="D2845" t="str">
        <f>_xlfn.XLOOKUP(RW_DT_PRODUCTION[[#This Row],[MATERIAL_ID]],DIM_MATERIAL[MATERIAL_ID],DIM_MATERIAL[UOM_AFTER_PROCESS])</f>
        <v>BALE</v>
      </c>
      <c r="E2845">
        <v>84</v>
      </c>
    </row>
    <row r="2846" spans="1:5" x14ac:dyDescent="0.2">
      <c r="A2846" s="3">
        <v>46042</v>
      </c>
      <c r="B2846" t="s">
        <v>1</v>
      </c>
      <c r="C2846">
        <v>1</v>
      </c>
      <c r="D2846" t="str">
        <f>_xlfn.XLOOKUP(RW_DT_PRODUCTION[[#This Row],[MATERIAL_ID]],DIM_MATERIAL[MATERIAL_ID],DIM_MATERIAL[UOM_AFTER_PROCESS])</f>
        <v>BALE</v>
      </c>
      <c r="E2846">
        <v>85</v>
      </c>
    </row>
    <row r="2847" spans="1:5" x14ac:dyDescent="0.2">
      <c r="A2847" s="3">
        <v>46042</v>
      </c>
      <c r="B2847" t="s">
        <v>1</v>
      </c>
      <c r="C2847">
        <v>1</v>
      </c>
      <c r="D2847" t="str">
        <f>_xlfn.XLOOKUP(RW_DT_PRODUCTION[[#This Row],[MATERIAL_ID]],DIM_MATERIAL[MATERIAL_ID],DIM_MATERIAL[UOM_AFTER_PROCESS])</f>
        <v>BALE</v>
      </c>
      <c r="E2847">
        <v>67</v>
      </c>
    </row>
    <row r="2848" spans="1:5" x14ac:dyDescent="0.2">
      <c r="A2848" s="3">
        <v>46042</v>
      </c>
      <c r="B2848" t="s">
        <v>1</v>
      </c>
      <c r="C2848">
        <v>1</v>
      </c>
      <c r="D2848" t="str">
        <f>_xlfn.XLOOKUP(RW_DT_PRODUCTION[[#This Row],[MATERIAL_ID]],DIM_MATERIAL[MATERIAL_ID],DIM_MATERIAL[UOM_AFTER_PROCESS])</f>
        <v>BALE</v>
      </c>
      <c r="E2848">
        <v>88</v>
      </c>
    </row>
    <row r="2849" spans="1:5" x14ac:dyDescent="0.2">
      <c r="A2849" s="3">
        <v>46042</v>
      </c>
      <c r="B2849" t="s">
        <v>1</v>
      </c>
      <c r="C2849">
        <v>1</v>
      </c>
      <c r="D2849" t="str">
        <f>_xlfn.XLOOKUP(RW_DT_PRODUCTION[[#This Row],[MATERIAL_ID]],DIM_MATERIAL[MATERIAL_ID],DIM_MATERIAL[UOM_AFTER_PROCESS])</f>
        <v>BALE</v>
      </c>
      <c r="E2849">
        <v>65</v>
      </c>
    </row>
    <row r="2850" spans="1:5" x14ac:dyDescent="0.2">
      <c r="A2850" s="3">
        <v>46043</v>
      </c>
      <c r="B2850" t="s">
        <v>1</v>
      </c>
      <c r="C2850">
        <v>1</v>
      </c>
      <c r="D2850" t="str">
        <f>_xlfn.XLOOKUP(RW_DT_PRODUCTION[[#This Row],[MATERIAL_ID]],DIM_MATERIAL[MATERIAL_ID],DIM_MATERIAL[UOM_AFTER_PROCESS])</f>
        <v>BALE</v>
      </c>
      <c r="E2850">
        <v>75</v>
      </c>
    </row>
    <row r="2851" spans="1:5" x14ac:dyDescent="0.2">
      <c r="A2851" s="3">
        <v>46043</v>
      </c>
      <c r="B2851" t="s">
        <v>1</v>
      </c>
      <c r="C2851">
        <v>1</v>
      </c>
      <c r="D2851" t="str">
        <f>_xlfn.XLOOKUP(RW_DT_PRODUCTION[[#This Row],[MATERIAL_ID]],DIM_MATERIAL[MATERIAL_ID],DIM_MATERIAL[UOM_AFTER_PROCESS])</f>
        <v>BALE</v>
      </c>
      <c r="E2851">
        <v>82</v>
      </c>
    </row>
    <row r="2852" spans="1:5" x14ac:dyDescent="0.2">
      <c r="A2852" s="3">
        <v>46043</v>
      </c>
      <c r="B2852" t="s">
        <v>1</v>
      </c>
      <c r="C2852">
        <v>1</v>
      </c>
      <c r="D2852" t="str">
        <f>_xlfn.XLOOKUP(RW_DT_PRODUCTION[[#This Row],[MATERIAL_ID]],DIM_MATERIAL[MATERIAL_ID],DIM_MATERIAL[UOM_AFTER_PROCESS])</f>
        <v>BALE</v>
      </c>
      <c r="E2852">
        <v>73</v>
      </c>
    </row>
    <row r="2853" spans="1:5" x14ac:dyDescent="0.2">
      <c r="A2853" s="3">
        <v>46043</v>
      </c>
      <c r="B2853" t="s">
        <v>1</v>
      </c>
      <c r="C2853">
        <v>1</v>
      </c>
      <c r="D2853" t="str">
        <f>_xlfn.XLOOKUP(RW_DT_PRODUCTION[[#This Row],[MATERIAL_ID]],DIM_MATERIAL[MATERIAL_ID],DIM_MATERIAL[UOM_AFTER_PROCESS])</f>
        <v>BALE</v>
      </c>
      <c r="E2853">
        <v>77</v>
      </c>
    </row>
    <row r="2854" spans="1:5" x14ac:dyDescent="0.2">
      <c r="A2854" s="3">
        <v>46043</v>
      </c>
      <c r="B2854" t="s">
        <v>2</v>
      </c>
      <c r="C2854">
        <v>1</v>
      </c>
      <c r="D2854" t="str">
        <f>_xlfn.XLOOKUP(RW_DT_PRODUCTION[[#This Row],[MATERIAL_ID]],DIM_MATERIAL[MATERIAL_ID],DIM_MATERIAL[UOM_AFTER_PROCESS])</f>
        <v>BAG</v>
      </c>
      <c r="E2854">
        <v>22</v>
      </c>
    </row>
    <row r="2855" spans="1:5" x14ac:dyDescent="0.2">
      <c r="A2855" s="3">
        <v>46044</v>
      </c>
      <c r="B2855" t="s">
        <v>1</v>
      </c>
      <c r="C2855">
        <v>1</v>
      </c>
      <c r="D2855" t="str">
        <f>_xlfn.XLOOKUP(RW_DT_PRODUCTION[[#This Row],[MATERIAL_ID]],DIM_MATERIAL[MATERIAL_ID],DIM_MATERIAL[UOM_AFTER_PROCESS])</f>
        <v>BALE</v>
      </c>
      <c r="E2855">
        <v>86</v>
      </c>
    </row>
    <row r="2856" spans="1:5" x14ac:dyDescent="0.2">
      <c r="A2856" s="3">
        <v>46044</v>
      </c>
      <c r="B2856" t="s">
        <v>1</v>
      </c>
      <c r="C2856">
        <v>1</v>
      </c>
      <c r="D2856" t="str">
        <f>_xlfn.XLOOKUP(RW_DT_PRODUCTION[[#This Row],[MATERIAL_ID]],DIM_MATERIAL[MATERIAL_ID],DIM_MATERIAL[UOM_AFTER_PROCESS])</f>
        <v>BALE</v>
      </c>
      <c r="E2856">
        <v>68</v>
      </c>
    </row>
    <row r="2857" spans="1:5" x14ac:dyDescent="0.2">
      <c r="A2857" s="3">
        <v>46044</v>
      </c>
      <c r="B2857" t="s">
        <v>1</v>
      </c>
      <c r="C2857">
        <v>1</v>
      </c>
      <c r="D2857" t="str">
        <f>_xlfn.XLOOKUP(RW_DT_PRODUCTION[[#This Row],[MATERIAL_ID]],DIM_MATERIAL[MATERIAL_ID],DIM_MATERIAL[UOM_AFTER_PROCESS])</f>
        <v>BALE</v>
      </c>
      <c r="E2857">
        <v>65</v>
      </c>
    </row>
    <row r="2858" spans="1:5" x14ac:dyDescent="0.2">
      <c r="A2858" s="3">
        <v>46044</v>
      </c>
      <c r="B2858" t="s">
        <v>1</v>
      </c>
      <c r="C2858">
        <v>1</v>
      </c>
      <c r="D2858" t="str">
        <f>_xlfn.XLOOKUP(RW_DT_PRODUCTION[[#This Row],[MATERIAL_ID]],DIM_MATERIAL[MATERIAL_ID],DIM_MATERIAL[UOM_AFTER_PROCESS])</f>
        <v>BALE</v>
      </c>
      <c r="E2858">
        <v>68</v>
      </c>
    </row>
    <row r="2859" spans="1:5" x14ac:dyDescent="0.2">
      <c r="A2859" s="3">
        <v>46044</v>
      </c>
      <c r="B2859" t="s">
        <v>1</v>
      </c>
      <c r="C2859">
        <v>1</v>
      </c>
      <c r="D2859" t="str">
        <f>_xlfn.XLOOKUP(RW_DT_PRODUCTION[[#This Row],[MATERIAL_ID]],DIM_MATERIAL[MATERIAL_ID],DIM_MATERIAL[UOM_AFTER_PROCESS])</f>
        <v>BALE</v>
      </c>
      <c r="E2859">
        <v>67</v>
      </c>
    </row>
    <row r="2860" spans="1:5" x14ac:dyDescent="0.2">
      <c r="A2860" s="3">
        <v>46044</v>
      </c>
      <c r="B2860" t="s">
        <v>1</v>
      </c>
      <c r="C2860">
        <v>1</v>
      </c>
      <c r="D2860" t="str">
        <f>_xlfn.XLOOKUP(RW_DT_PRODUCTION[[#This Row],[MATERIAL_ID]],DIM_MATERIAL[MATERIAL_ID],DIM_MATERIAL[UOM_AFTER_PROCESS])</f>
        <v>BALE</v>
      </c>
      <c r="E2860">
        <v>76</v>
      </c>
    </row>
    <row r="2861" spans="1:5" x14ac:dyDescent="0.2">
      <c r="A2861" s="3">
        <v>46044</v>
      </c>
      <c r="B2861" t="s">
        <v>1</v>
      </c>
      <c r="C2861">
        <v>1</v>
      </c>
      <c r="D2861" t="str">
        <f>_xlfn.XLOOKUP(RW_DT_PRODUCTION[[#This Row],[MATERIAL_ID]],DIM_MATERIAL[MATERIAL_ID],DIM_MATERIAL[UOM_AFTER_PROCESS])</f>
        <v>BALE</v>
      </c>
      <c r="E2861">
        <v>65</v>
      </c>
    </row>
    <row r="2862" spans="1:5" x14ac:dyDescent="0.2">
      <c r="A2862" s="3">
        <v>46044</v>
      </c>
      <c r="B2862" t="s">
        <v>1</v>
      </c>
      <c r="C2862">
        <v>1</v>
      </c>
      <c r="D2862" t="str">
        <f>_xlfn.XLOOKUP(RW_DT_PRODUCTION[[#This Row],[MATERIAL_ID]],DIM_MATERIAL[MATERIAL_ID],DIM_MATERIAL[UOM_AFTER_PROCESS])</f>
        <v>BALE</v>
      </c>
      <c r="E2862">
        <v>85</v>
      </c>
    </row>
    <row r="2863" spans="1:5" x14ac:dyDescent="0.2">
      <c r="A2863" s="3">
        <v>46044</v>
      </c>
      <c r="B2863" t="s">
        <v>1</v>
      </c>
      <c r="C2863">
        <v>1</v>
      </c>
      <c r="D2863" t="str">
        <f>_xlfn.XLOOKUP(RW_DT_PRODUCTION[[#This Row],[MATERIAL_ID]],DIM_MATERIAL[MATERIAL_ID],DIM_MATERIAL[UOM_AFTER_PROCESS])</f>
        <v>BALE</v>
      </c>
      <c r="E2863">
        <v>70</v>
      </c>
    </row>
    <row r="2864" spans="1:5" x14ac:dyDescent="0.2">
      <c r="A2864" s="3">
        <v>46044</v>
      </c>
      <c r="B2864" t="s">
        <v>1</v>
      </c>
      <c r="C2864">
        <v>1</v>
      </c>
      <c r="D2864" t="str">
        <f>_xlfn.XLOOKUP(RW_DT_PRODUCTION[[#This Row],[MATERIAL_ID]],DIM_MATERIAL[MATERIAL_ID],DIM_MATERIAL[UOM_AFTER_PROCESS])</f>
        <v>BALE</v>
      </c>
      <c r="E2864">
        <v>83</v>
      </c>
    </row>
    <row r="2865" spans="1:5" x14ac:dyDescent="0.2">
      <c r="A2865" s="3">
        <v>46044</v>
      </c>
      <c r="B2865" t="s">
        <v>1</v>
      </c>
      <c r="C2865">
        <v>1</v>
      </c>
      <c r="D2865" t="str">
        <f>_xlfn.XLOOKUP(RW_DT_PRODUCTION[[#This Row],[MATERIAL_ID]],DIM_MATERIAL[MATERIAL_ID],DIM_MATERIAL[UOM_AFTER_PROCESS])</f>
        <v>BALE</v>
      </c>
      <c r="E2865">
        <v>82</v>
      </c>
    </row>
    <row r="2866" spans="1:5" x14ac:dyDescent="0.2">
      <c r="A2866" s="3">
        <v>46045</v>
      </c>
      <c r="B2866" t="s">
        <v>1</v>
      </c>
      <c r="C2866">
        <v>1</v>
      </c>
      <c r="D2866" t="str">
        <f>_xlfn.XLOOKUP(RW_DT_PRODUCTION[[#This Row],[MATERIAL_ID]],DIM_MATERIAL[MATERIAL_ID],DIM_MATERIAL[UOM_AFTER_PROCESS])</f>
        <v>BALE</v>
      </c>
      <c r="E2866">
        <v>81</v>
      </c>
    </row>
    <row r="2867" spans="1:5" x14ac:dyDescent="0.2">
      <c r="A2867" s="3">
        <v>46045</v>
      </c>
      <c r="B2867" t="s">
        <v>1</v>
      </c>
      <c r="C2867">
        <v>1</v>
      </c>
      <c r="D2867" t="str">
        <f>_xlfn.XLOOKUP(RW_DT_PRODUCTION[[#This Row],[MATERIAL_ID]],DIM_MATERIAL[MATERIAL_ID],DIM_MATERIAL[UOM_AFTER_PROCESS])</f>
        <v>BALE</v>
      </c>
      <c r="E2867">
        <v>88</v>
      </c>
    </row>
    <row r="2868" spans="1:5" x14ac:dyDescent="0.2">
      <c r="A2868" s="3">
        <v>46045</v>
      </c>
      <c r="B2868" t="s">
        <v>1</v>
      </c>
      <c r="C2868">
        <v>1</v>
      </c>
      <c r="D2868" t="str">
        <f>_xlfn.XLOOKUP(RW_DT_PRODUCTION[[#This Row],[MATERIAL_ID]],DIM_MATERIAL[MATERIAL_ID],DIM_MATERIAL[UOM_AFTER_PROCESS])</f>
        <v>BALE</v>
      </c>
      <c r="E2868">
        <v>78</v>
      </c>
    </row>
    <row r="2869" spans="1:5" x14ac:dyDescent="0.2">
      <c r="A2869" s="3">
        <v>46045</v>
      </c>
      <c r="B2869" t="s">
        <v>1</v>
      </c>
      <c r="C2869">
        <v>1</v>
      </c>
      <c r="D2869" t="str">
        <f>_xlfn.XLOOKUP(RW_DT_PRODUCTION[[#This Row],[MATERIAL_ID]],DIM_MATERIAL[MATERIAL_ID],DIM_MATERIAL[UOM_AFTER_PROCESS])</f>
        <v>BALE</v>
      </c>
      <c r="E2869">
        <v>66</v>
      </c>
    </row>
    <row r="2870" spans="1:5" x14ac:dyDescent="0.2">
      <c r="A2870" s="3">
        <v>46045</v>
      </c>
      <c r="B2870" t="s">
        <v>1</v>
      </c>
      <c r="C2870">
        <v>1</v>
      </c>
      <c r="D2870" t="str">
        <f>_xlfn.XLOOKUP(RW_DT_PRODUCTION[[#This Row],[MATERIAL_ID]],DIM_MATERIAL[MATERIAL_ID],DIM_MATERIAL[UOM_AFTER_PROCESS])</f>
        <v>BALE</v>
      </c>
      <c r="E2870">
        <v>82</v>
      </c>
    </row>
    <row r="2871" spans="1:5" x14ac:dyDescent="0.2">
      <c r="A2871" s="3">
        <v>46045</v>
      </c>
      <c r="B2871" t="s">
        <v>1</v>
      </c>
      <c r="C2871">
        <v>1</v>
      </c>
      <c r="D2871" t="str">
        <f>_xlfn.XLOOKUP(RW_DT_PRODUCTION[[#This Row],[MATERIAL_ID]],DIM_MATERIAL[MATERIAL_ID],DIM_MATERIAL[UOM_AFTER_PROCESS])</f>
        <v>BALE</v>
      </c>
      <c r="E2871">
        <v>60</v>
      </c>
    </row>
    <row r="2872" spans="1:5" x14ac:dyDescent="0.2">
      <c r="A2872" s="3">
        <v>46045</v>
      </c>
      <c r="B2872" t="s">
        <v>1</v>
      </c>
      <c r="C2872">
        <v>1</v>
      </c>
      <c r="D2872" t="str">
        <f>_xlfn.XLOOKUP(RW_DT_PRODUCTION[[#This Row],[MATERIAL_ID]],DIM_MATERIAL[MATERIAL_ID],DIM_MATERIAL[UOM_AFTER_PROCESS])</f>
        <v>BALE</v>
      </c>
      <c r="E2872">
        <v>73</v>
      </c>
    </row>
    <row r="2873" spans="1:5" x14ac:dyDescent="0.2">
      <c r="A2873" s="3">
        <v>46045</v>
      </c>
      <c r="B2873" t="s">
        <v>1</v>
      </c>
      <c r="C2873">
        <v>1</v>
      </c>
      <c r="D2873" t="str">
        <f>_xlfn.XLOOKUP(RW_DT_PRODUCTION[[#This Row],[MATERIAL_ID]],DIM_MATERIAL[MATERIAL_ID],DIM_MATERIAL[UOM_AFTER_PROCESS])</f>
        <v>BALE</v>
      </c>
      <c r="E2873">
        <v>60</v>
      </c>
    </row>
    <row r="2874" spans="1:5" x14ac:dyDescent="0.2">
      <c r="A2874" s="3">
        <v>46048</v>
      </c>
      <c r="B2874" t="s">
        <v>1</v>
      </c>
      <c r="C2874">
        <v>1</v>
      </c>
      <c r="D2874" t="str">
        <f>_xlfn.XLOOKUP(RW_DT_PRODUCTION[[#This Row],[MATERIAL_ID]],DIM_MATERIAL[MATERIAL_ID],DIM_MATERIAL[UOM_AFTER_PROCESS])</f>
        <v>BALE</v>
      </c>
      <c r="E2874">
        <v>73</v>
      </c>
    </row>
    <row r="2875" spans="1:5" x14ac:dyDescent="0.2">
      <c r="A2875" s="3">
        <v>46048</v>
      </c>
      <c r="B2875" t="s">
        <v>1</v>
      </c>
      <c r="C2875">
        <v>1</v>
      </c>
      <c r="D2875" t="str">
        <f>_xlfn.XLOOKUP(RW_DT_PRODUCTION[[#This Row],[MATERIAL_ID]],DIM_MATERIAL[MATERIAL_ID],DIM_MATERIAL[UOM_AFTER_PROCESS])</f>
        <v>BALE</v>
      </c>
      <c r="E2875">
        <v>82</v>
      </c>
    </row>
    <row r="2876" spans="1:5" x14ac:dyDescent="0.2">
      <c r="A2876" s="3">
        <v>46048</v>
      </c>
      <c r="B2876" t="s">
        <v>1</v>
      </c>
      <c r="C2876">
        <v>1</v>
      </c>
      <c r="D2876" t="str">
        <f>_xlfn.XLOOKUP(RW_DT_PRODUCTION[[#This Row],[MATERIAL_ID]],DIM_MATERIAL[MATERIAL_ID],DIM_MATERIAL[UOM_AFTER_PROCESS])</f>
        <v>BALE</v>
      </c>
      <c r="E2876">
        <v>78</v>
      </c>
    </row>
    <row r="2877" spans="1:5" x14ac:dyDescent="0.2">
      <c r="A2877" s="3">
        <v>46048</v>
      </c>
      <c r="B2877" t="s">
        <v>1</v>
      </c>
      <c r="C2877">
        <v>1</v>
      </c>
      <c r="D2877" t="str">
        <f>_xlfn.XLOOKUP(RW_DT_PRODUCTION[[#This Row],[MATERIAL_ID]],DIM_MATERIAL[MATERIAL_ID],DIM_MATERIAL[UOM_AFTER_PROCESS])</f>
        <v>BALE</v>
      </c>
      <c r="E2877">
        <v>87</v>
      </c>
    </row>
    <row r="2878" spans="1:5" x14ac:dyDescent="0.2">
      <c r="A2878" s="3">
        <v>46048</v>
      </c>
      <c r="B2878" t="s">
        <v>1</v>
      </c>
      <c r="C2878">
        <v>1</v>
      </c>
      <c r="D2878" t="str">
        <f>_xlfn.XLOOKUP(RW_DT_PRODUCTION[[#This Row],[MATERIAL_ID]],DIM_MATERIAL[MATERIAL_ID],DIM_MATERIAL[UOM_AFTER_PROCESS])</f>
        <v>BALE</v>
      </c>
      <c r="E2878">
        <v>75</v>
      </c>
    </row>
    <row r="2879" spans="1:5" x14ac:dyDescent="0.2">
      <c r="A2879" s="3">
        <v>46048</v>
      </c>
      <c r="B2879" t="s">
        <v>1</v>
      </c>
      <c r="C2879">
        <v>1</v>
      </c>
      <c r="D2879" t="str">
        <f>_xlfn.XLOOKUP(RW_DT_PRODUCTION[[#This Row],[MATERIAL_ID]],DIM_MATERIAL[MATERIAL_ID],DIM_MATERIAL[UOM_AFTER_PROCESS])</f>
        <v>BALE</v>
      </c>
      <c r="E2879">
        <v>77</v>
      </c>
    </row>
    <row r="2880" spans="1:5" x14ac:dyDescent="0.2">
      <c r="A2880" s="3">
        <v>46048</v>
      </c>
      <c r="B2880" t="s">
        <v>1</v>
      </c>
      <c r="C2880">
        <v>1</v>
      </c>
      <c r="D2880" t="str">
        <f>_xlfn.XLOOKUP(RW_DT_PRODUCTION[[#This Row],[MATERIAL_ID]],DIM_MATERIAL[MATERIAL_ID],DIM_MATERIAL[UOM_AFTER_PROCESS])</f>
        <v>BALE</v>
      </c>
      <c r="E2880">
        <v>63</v>
      </c>
    </row>
    <row r="2881" spans="1:5" x14ac:dyDescent="0.2">
      <c r="A2881" s="3">
        <v>46048</v>
      </c>
      <c r="B2881" t="s">
        <v>1</v>
      </c>
      <c r="C2881">
        <v>1</v>
      </c>
      <c r="D2881" t="str">
        <f>_xlfn.XLOOKUP(RW_DT_PRODUCTION[[#This Row],[MATERIAL_ID]],DIM_MATERIAL[MATERIAL_ID],DIM_MATERIAL[UOM_AFTER_PROCESS])</f>
        <v>BALE</v>
      </c>
      <c r="E2881">
        <v>67</v>
      </c>
    </row>
    <row r="2882" spans="1:5" x14ac:dyDescent="0.2">
      <c r="A2882" s="3">
        <v>46048</v>
      </c>
      <c r="B2882" t="s">
        <v>1</v>
      </c>
      <c r="C2882">
        <v>1</v>
      </c>
      <c r="D2882" t="str">
        <f>_xlfn.XLOOKUP(RW_DT_PRODUCTION[[#This Row],[MATERIAL_ID]],DIM_MATERIAL[MATERIAL_ID],DIM_MATERIAL[UOM_AFTER_PROCESS])</f>
        <v>BALE</v>
      </c>
      <c r="E2882">
        <v>68</v>
      </c>
    </row>
    <row r="2883" spans="1:5" x14ac:dyDescent="0.2">
      <c r="A2883" s="3">
        <v>46048</v>
      </c>
      <c r="B2883" t="s">
        <v>1</v>
      </c>
      <c r="C2883">
        <v>1</v>
      </c>
      <c r="D2883" t="str">
        <f>_xlfn.XLOOKUP(RW_DT_PRODUCTION[[#This Row],[MATERIAL_ID]],DIM_MATERIAL[MATERIAL_ID],DIM_MATERIAL[UOM_AFTER_PROCESS])</f>
        <v>BALE</v>
      </c>
      <c r="E2883">
        <v>81</v>
      </c>
    </row>
    <row r="2884" spans="1:5" x14ac:dyDescent="0.2">
      <c r="A2884" s="3">
        <v>46048</v>
      </c>
      <c r="B2884" t="s">
        <v>2</v>
      </c>
      <c r="C2884">
        <v>1</v>
      </c>
      <c r="D2884" t="str">
        <f>_xlfn.XLOOKUP(RW_DT_PRODUCTION[[#This Row],[MATERIAL_ID]],DIM_MATERIAL[MATERIAL_ID],DIM_MATERIAL[UOM_AFTER_PROCESS])</f>
        <v>BAG</v>
      </c>
      <c r="E2884">
        <v>22</v>
      </c>
    </row>
    <row r="2885" spans="1:5" x14ac:dyDescent="0.2">
      <c r="A2885" s="3">
        <v>46049</v>
      </c>
      <c r="B2885" t="s">
        <v>1</v>
      </c>
      <c r="C2885">
        <v>1</v>
      </c>
      <c r="D2885" t="str">
        <f>_xlfn.XLOOKUP(RW_DT_PRODUCTION[[#This Row],[MATERIAL_ID]],DIM_MATERIAL[MATERIAL_ID],DIM_MATERIAL[UOM_AFTER_PROCESS])</f>
        <v>BALE</v>
      </c>
      <c r="E2885">
        <v>61</v>
      </c>
    </row>
    <row r="2886" spans="1:5" x14ac:dyDescent="0.2">
      <c r="A2886" s="3">
        <v>46049</v>
      </c>
      <c r="B2886" t="s">
        <v>1</v>
      </c>
      <c r="C2886">
        <v>1</v>
      </c>
      <c r="D2886" t="str">
        <f>_xlfn.XLOOKUP(RW_DT_PRODUCTION[[#This Row],[MATERIAL_ID]],DIM_MATERIAL[MATERIAL_ID],DIM_MATERIAL[UOM_AFTER_PROCESS])</f>
        <v>BALE</v>
      </c>
      <c r="E2886">
        <v>78</v>
      </c>
    </row>
    <row r="2887" spans="1:5" x14ac:dyDescent="0.2">
      <c r="A2887" s="3">
        <v>46049</v>
      </c>
      <c r="B2887" t="s">
        <v>1</v>
      </c>
      <c r="C2887">
        <v>1</v>
      </c>
      <c r="D2887" t="str">
        <f>_xlfn.XLOOKUP(RW_DT_PRODUCTION[[#This Row],[MATERIAL_ID]],DIM_MATERIAL[MATERIAL_ID],DIM_MATERIAL[UOM_AFTER_PROCESS])</f>
        <v>BALE</v>
      </c>
      <c r="E2887">
        <v>85</v>
      </c>
    </row>
    <row r="2888" spans="1:5" x14ac:dyDescent="0.2">
      <c r="A2888" s="3">
        <v>46049</v>
      </c>
      <c r="B2888" t="s">
        <v>1</v>
      </c>
      <c r="C2888">
        <v>1</v>
      </c>
      <c r="D2888" t="str">
        <f>_xlfn.XLOOKUP(RW_DT_PRODUCTION[[#This Row],[MATERIAL_ID]],DIM_MATERIAL[MATERIAL_ID],DIM_MATERIAL[UOM_AFTER_PROCESS])</f>
        <v>BALE</v>
      </c>
      <c r="E2888">
        <v>84</v>
      </c>
    </row>
    <row r="2889" spans="1:5" x14ac:dyDescent="0.2">
      <c r="A2889" s="3">
        <v>46049</v>
      </c>
      <c r="B2889" t="s">
        <v>1</v>
      </c>
      <c r="C2889">
        <v>1</v>
      </c>
      <c r="D2889" t="str">
        <f>_xlfn.XLOOKUP(RW_DT_PRODUCTION[[#This Row],[MATERIAL_ID]],DIM_MATERIAL[MATERIAL_ID],DIM_MATERIAL[UOM_AFTER_PROCESS])</f>
        <v>BALE</v>
      </c>
      <c r="E2889">
        <v>74</v>
      </c>
    </row>
    <row r="2890" spans="1:5" x14ac:dyDescent="0.2">
      <c r="A2890" s="3">
        <v>46049</v>
      </c>
      <c r="B2890" t="s">
        <v>1</v>
      </c>
      <c r="C2890">
        <v>1</v>
      </c>
      <c r="D2890" t="str">
        <f>_xlfn.XLOOKUP(RW_DT_PRODUCTION[[#This Row],[MATERIAL_ID]],DIM_MATERIAL[MATERIAL_ID],DIM_MATERIAL[UOM_AFTER_PROCESS])</f>
        <v>BALE</v>
      </c>
      <c r="E2890">
        <v>84</v>
      </c>
    </row>
    <row r="2891" spans="1:5" x14ac:dyDescent="0.2">
      <c r="A2891" s="3">
        <v>46049</v>
      </c>
      <c r="B2891" t="s">
        <v>1</v>
      </c>
      <c r="C2891">
        <v>1</v>
      </c>
      <c r="D2891" t="str">
        <f>_xlfn.XLOOKUP(RW_DT_PRODUCTION[[#This Row],[MATERIAL_ID]],DIM_MATERIAL[MATERIAL_ID],DIM_MATERIAL[UOM_AFTER_PROCESS])</f>
        <v>BALE</v>
      </c>
      <c r="E2891">
        <v>63</v>
      </c>
    </row>
    <row r="2892" spans="1:5" x14ac:dyDescent="0.2">
      <c r="A2892" s="3">
        <v>46049</v>
      </c>
      <c r="B2892" t="s">
        <v>1</v>
      </c>
      <c r="C2892">
        <v>1</v>
      </c>
      <c r="D2892" t="str">
        <f>_xlfn.XLOOKUP(RW_DT_PRODUCTION[[#This Row],[MATERIAL_ID]],DIM_MATERIAL[MATERIAL_ID],DIM_MATERIAL[UOM_AFTER_PROCESS])</f>
        <v>BALE</v>
      </c>
      <c r="E2892">
        <v>75</v>
      </c>
    </row>
    <row r="2893" spans="1:5" x14ac:dyDescent="0.2">
      <c r="A2893" s="3">
        <v>46049</v>
      </c>
      <c r="B2893" t="s">
        <v>1</v>
      </c>
      <c r="C2893">
        <v>1</v>
      </c>
      <c r="D2893" t="str">
        <f>_xlfn.XLOOKUP(RW_DT_PRODUCTION[[#This Row],[MATERIAL_ID]],DIM_MATERIAL[MATERIAL_ID],DIM_MATERIAL[UOM_AFTER_PROCESS])</f>
        <v>BALE</v>
      </c>
      <c r="E2893">
        <v>73</v>
      </c>
    </row>
    <row r="2894" spans="1:5" x14ac:dyDescent="0.2">
      <c r="A2894" s="3">
        <v>46049</v>
      </c>
      <c r="B2894" t="s">
        <v>1</v>
      </c>
      <c r="C2894">
        <v>1</v>
      </c>
      <c r="D2894" t="str">
        <f>_xlfn.XLOOKUP(RW_DT_PRODUCTION[[#This Row],[MATERIAL_ID]],DIM_MATERIAL[MATERIAL_ID],DIM_MATERIAL[UOM_AFTER_PROCESS])</f>
        <v>BALE</v>
      </c>
      <c r="E2894">
        <v>62</v>
      </c>
    </row>
    <row r="2895" spans="1:5" x14ac:dyDescent="0.2">
      <c r="A2895" s="3">
        <v>46049</v>
      </c>
      <c r="B2895" t="s">
        <v>2</v>
      </c>
      <c r="C2895">
        <v>1</v>
      </c>
      <c r="D2895" t="str">
        <f>_xlfn.XLOOKUP(RW_DT_PRODUCTION[[#This Row],[MATERIAL_ID]],DIM_MATERIAL[MATERIAL_ID],DIM_MATERIAL[UOM_AFTER_PROCESS])</f>
        <v>BAG</v>
      </c>
      <c r="E2895">
        <v>22</v>
      </c>
    </row>
    <row r="2896" spans="1:5" x14ac:dyDescent="0.2">
      <c r="A2896" s="3">
        <v>46049</v>
      </c>
      <c r="B2896" t="s">
        <v>2</v>
      </c>
      <c r="C2896">
        <v>1</v>
      </c>
      <c r="D2896" t="str">
        <f>_xlfn.XLOOKUP(RW_DT_PRODUCTION[[#This Row],[MATERIAL_ID]],DIM_MATERIAL[MATERIAL_ID],DIM_MATERIAL[UOM_AFTER_PROCESS])</f>
        <v>BAG</v>
      </c>
      <c r="E2896">
        <v>22</v>
      </c>
    </row>
    <row r="2897" spans="1:5" x14ac:dyDescent="0.2">
      <c r="A2897" s="3">
        <v>46049</v>
      </c>
      <c r="B2897" t="s">
        <v>2</v>
      </c>
      <c r="C2897">
        <v>1</v>
      </c>
      <c r="D2897" t="str">
        <f>_xlfn.XLOOKUP(RW_DT_PRODUCTION[[#This Row],[MATERIAL_ID]],DIM_MATERIAL[MATERIAL_ID],DIM_MATERIAL[UOM_AFTER_PROCESS])</f>
        <v>BAG</v>
      </c>
      <c r="E2897">
        <v>22</v>
      </c>
    </row>
    <row r="2898" spans="1:5" x14ac:dyDescent="0.2">
      <c r="A2898" s="3">
        <v>46050</v>
      </c>
      <c r="B2898" t="s">
        <v>1</v>
      </c>
      <c r="C2898">
        <v>1</v>
      </c>
      <c r="D2898" t="str">
        <f>_xlfn.XLOOKUP(RW_DT_PRODUCTION[[#This Row],[MATERIAL_ID]],DIM_MATERIAL[MATERIAL_ID],DIM_MATERIAL[UOM_AFTER_PROCESS])</f>
        <v>BALE</v>
      </c>
      <c r="E2898">
        <v>75</v>
      </c>
    </row>
    <row r="2899" spans="1:5" x14ac:dyDescent="0.2">
      <c r="A2899" s="3">
        <v>46050</v>
      </c>
      <c r="B2899" t="s">
        <v>1</v>
      </c>
      <c r="C2899">
        <v>1</v>
      </c>
      <c r="D2899" t="str">
        <f>_xlfn.XLOOKUP(RW_DT_PRODUCTION[[#This Row],[MATERIAL_ID]],DIM_MATERIAL[MATERIAL_ID],DIM_MATERIAL[UOM_AFTER_PROCESS])</f>
        <v>BALE</v>
      </c>
      <c r="E2899">
        <v>68</v>
      </c>
    </row>
    <row r="2900" spans="1:5" x14ac:dyDescent="0.2">
      <c r="A2900" s="3">
        <v>46050</v>
      </c>
      <c r="B2900" t="s">
        <v>1</v>
      </c>
      <c r="C2900">
        <v>1</v>
      </c>
      <c r="D2900" t="str">
        <f>_xlfn.XLOOKUP(RW_DT_PRODUCTION[[#This Row],[MATERIAL_ID]],DIM_MATERIAL[MATERIAL_ID],DIM_MATERIAL[UOM_AFTER_PROCESS])</f>
        <v>BALE</v>
      </c>
      <c r="E2900">
        <v>66</v>
      </c>
    </row>
    <row r="2901" spans="1:5" x14ac:dyDescent="0.2">
      <c r="A2901" s="3">
        <v>46050</v>
      </c>
      <c r="B2901" t="s">
        <v>1</v>
      </c>
      <c r="C2901">
        <v>1</v>
      </c>
      <c r="D2901" t="str">
        <f>_xlfn.XLOOKUP(RW_DT_PRODUCTION[[#This Row],[MATERIAL_ID]],DIM_MATERIAL[MATERIAL_ID],DIM_MATERIAL[UOM_AFTER_PROCESS])</f>
        <v>BALE</v>
      </c>
      <c r="E2901">
        <v>84</v>
      </c>
    </row>
    <row r="2902" spans="1:5" x14ac:dyDescent="0.2">
      <c r="A2902" s="3">
        <v>46050</v>
      </c>
      <c r="B2902" t="s">
        <v>1</v>
      </c>
      <c r="C2902">
        <v>1</v>
      </c>
      <c r="D2902" t="str">
        <f>_xlfn.XLOOKUP(RW_DT_PRODUCTION[[#This Row],[MATERIAL_ID]],DIM_MATERIAL[MATERIAL_ID],DIM_MATERIAL[UOM_AFTER_PROCESS])</f>
        <v>BALE</v>
      </c>
      <c r="E2902">
        <v>76</v>
      </c>
    </row>
    <row r="2903" spans="1:5" x14ac:dyDescent="0.2">
      <c r="A2903" s="3">
        <v>46050</v>
      </c>
      <c r="B2903" t="s">
        <v>1</v>
      </c>
      <c r="C2903">
        <v>1</v>
      </c>
      <c r="D2903" t="str">
        <f>_xlfn.XLOOKUP(RW_DT_PRODUCTION[[#This Row],[MATERIAL_ID]],DIM_MATERIAL[MATERIAL_ID],DIM_MATERIAL[UOM_AFTER_PROCESS])</f>
        <v>BALE</v>
      </c>
      <c r="E2903">
        <v>69</v>
      </c>
    </row>
    <row r="2904" spans="1:5" x14ac:dyDescent="0.2">
      <c r="A2904" s="3">
        <v>46051</v>
      </c>
      <c r="B2904" t="s">
        <v>1</v>
      </c>
      <c r="C2904">
        <v>1</v>
      </c>
      <c r="D2904" t="str">
        <f>_xlfn.XLOOKUP(RW_DT_PRODUCTION[[#This Row],[MATERIAL_ID]],DIM_MATERIAL[MATERIAL_ID],DIM_MATERIAL[UOM_AFTER_PROCESS])</f>
        <v>BALE</v>
      </c>
      <c r="E2904">
        <v>61</v>
      </c>
    </row>
    <row r="2905" spans="1:5" x14ac:dyDescent="0.2">
      <c r="A2905" s="3">
        <v>46051</v>
      </c>
      <c r="B2905" t="s">
        <v>1</v>
      </c>
      <c r="C2905">
        <v>1</v>
      </c>
      <c r="D2905" t="str">
        <f>_xlfn.XLOOKUP(RW_DT_PRODUCTION[[#This Row],[MATERIAL_ID]],DIM_MATERIAL[MATERIAL_ID],DIM_MATERIAL[UOM_AFTER_PROCESS])</f>
        <v>BALE</v>
      </c>
      <c r="E2905">
        <v>80</v>
      </c>
    </row>
    <row r="2906" spans="1:5" x14ac:dyDescent="0.2">
      <c r="A2906" s="3">
        <v>46051</v>
      </c>
      <c r="B2906" t="s">
        <v>1</v>
      </c>
      <c r="C2906">
        <v>1</v>
      </c>
      <c r="D2906" t="str">
        <f>_xlfn.XLOOKUP(RW_DT_PRODUCTION[[#This Row],[MATERIAL_ID]],DIM_MATERIAL[MATERIAL_ID],DIM_MATERIAL[UOM_AFTER_PROCESS])</f>
        <v>BALE</v>
      </c>
      <c r="E2906">
        <v>64</v>
      </c>
    </row>
    <row r="2907" spans="1:5" x14ac:dyDescent="0.2">
      <c r="A2907" s="3">
        <v>46051</v>
      </c>
      <c r="B2907" t="s">
        <v>1</v>
      </c>
      <c r="C2907">
        <v>1</v>
      </c>
      <c r="D2907" t="str">
        <f>_xlfn.XLOOKUP(RW_DT_PRODUCTION[[#This Row],[MATERIAL_ID]],DIM_MATERIAL[MATERIAL_ID],DIM_MATERIAL[UOM_AFTER_PROCESS])</f>
        <v>BALE</v>
      </c>
      <c r="E2907">
        <v>68</v>
      </c>
    </row>
    <row r="2908" spans="1:5" x14ac:dyDescent="0.2">
      <c r="A2908" s="3">
        <v>46051</v>
      </c>
      <c r="B2908" t="s">
        <v>1</v>
      </c>
      <c r="C2908">
        <v>1</v>
      </c>
      <c r="D2908" t="str">
        <f>_xlfn.XLOOKUP(RW_DT_PRODUCTION[[#This Row],[MATERIAL_ID]],DIM_MATERIAL[MATERIAL_ID],DIM_MATERIAL[UOM_AFTER_PROCESS])</f>
        <v>BALE</v>
      </c>
      <c r="E2908">
        <v>60</v>
      </c>
    </row>
    <row r="2909" spans="1:5" x14ac:dyDescent="0.2">
      <c r="A2909" s="3">
        <v>46051</v>
      </c>
      <c r="B2909" t="s">
        <v>1</v>
      </c>
      <c r="C2909">
        <v>1</v>
      </c>
      <c r="D2909" t="str">
        <f>_xlfn.XLOOKUP(RW_DT_PRODUCTION[[#This Row],[MATERIAL_ID]],DIM_MATERIAL[MATERIAL_ID],DIM_MATERIAL[UOM_AFTER_PROCESS])</f>
        <v>BALE</v>
      </c>
      <c r="E2909">
        <v>67</v>
      </c>
    </row>
    <row r="2910" spans="1:5" x14ac:dyDescent="0.2">
      <c r="A2910" s="3">
        <v>46051</v>
      </c>
      <c r="B2910" t="s">
        <v>1</v>
      </c>
      <c r="C2910">
        <v>1</v>
      </c>
      <c r="D2910" t="str">
        <f>_xlfn.XLOOKUP(RW_DT_PRODUCTION[[#This Row],[MATERIAL_ID]],DIM_MATERIAL[MATERIAL_ID],DIM_MATERIAL[UOM_AFTER_PROCESS])</f>
        <v>BALE</v>
      </c>
      <c r="E2910">
        <v>78</v>
      </c>
    </row>
    <row r="2911" spans="1:5" x14ac:dyDescent="0.2">
      <c r="A2911" s="3">
        <v>46051</v>
      </c>
      <c r="B2911" t="s">
        <v>1</v>
      </c>
      <c r="C2911">
        <v>1</v>
      </c>
      <c r="D2911" t="str">
        <f>_xlfn.XLOOKUP(RW_DT_PRODUCTION[[#This Row],[MATERIAL_ID]],DIM_MATERIAL[MATERIAL_ID],DIM_MATERIAL[UOM_AFTER_PROCESS])</f>
        <v>BALE</v>
      </c>
      <c r="E2911">
        <v>62</v>
      </c>
    </row>
    <row r="2912" spans="1:5" x14ac:dyDescent="0.2">
      <c r="A2912" s="3">
        <v>46051</v>
      </c>
      <c r="B2912" t="s">
        <v>1</v>
      </c>
      <c r="C2912">
        <v>1</v>
      </c>
      <c r="D2912" t="str">
        <f>_xlfn.XLOOKUP(RW_DT_PRODUCTION[[#This Row],[MATERIAL_ID]],DIM_MATERIAL[MATERIAL_ID],DIM_MATERIAL[UOM_AFTER_PROCESS])</f>
        <v>BALE</v>
      </c>
      <c r="E2912">
        <v>70</v>
      </c>
    </row>
    <row r="2913" spans="1:5" x14ac:dyDescent="0.2">
      <c r="A2913" s="3">
        <v>46051</v>
      </c>
      <c r="B2913" t="s">
        <v>1</v>
      </c>
      <c r="C2913">
        <v>1</v>
      </c>
      <c r="D2913" t="str">
        <f>_xlfn.XLOOKUP(RW_DT_PRODUCTION[[#This Row],[MATERIAL_ID]],DIM_MATERIAL[MATERIAL_ID],DIM_MATERIAL[UOM_AFTER_PROCESS])</f>
        <v>BALE</v>
      </c>
      <c r="E2913">
        <v>69</v>
      </c>
    </row>
    <row r="2914" spans="1:5" x14ac:dyDescent="0.2">
      <c r="A2914" s="3">
        <v>46052</v>
      </c>
      <c r="B2914" t="s">
        <v>1</v>
      </c>
      <c r="C2914">
        <v>1</v>
      </c>
      <c r="D2914" t="str">
        <f>_xlfn.XLOOKUP(RW_DT_PRODUCTION[[#This Row],[MATERIAL_ID]],DIM_MATERIAL[MATERIAL_ID],DIM_MATERIAL[UOM_AFTER_PROCESS])</f>
        <v>BALE</v>
      </c>
      <c r="E2914">
        <v>69</v>
      </c>
    </row>
    <row r="2915" spans="1:5" x14ac:dyDescent="0.2">
      <c r="A2915" s="3">
        <v>46052</v>
      </c>
      <c r="B2915" t="s">
        <v>1</v>
      </c>
      <c r="C2915">
        <v>1</v>
      </c>
      <c r="D2915" t="str">
        <f>_xlfn.XLOOKUP(RW_DT_PRODUCTION[[#This Row],[MATERIAL_ID]],DIM_MATERIAL[MATERIAL_ID],DIM_MATERIAL[UOM_AFTER_PROCESS])</f>
        <v>BALE</v>
      </c>
      <c r="E2915">
        <v>85</v>
      </c>
    </row>
    <row r="2916" spans="1:5" x14ac:dyDescent="0.2">
      <c r="A2916" s="3">
        <v>46052</v>
      </c>
      <c r="B2916" t="s">
        <v>1</v>
      </c>
      <c r="C2916">
        <v>1</v>
      </c>
      <c r="D2916" t="str">
        <f>_xlfn.XLOOKUP(RW_DT_PRODUCTION[[#This Row],[MATERIAL_ID]],DIM_MATERIAL[MATERIAL_ID],DIM_MATERIAL[UOM_AFTER_PROCESS])</f>
        <v>BALE</v>
      </c>
      <c r="E2916">
        <v>63</v>
      </c>
    </row>
    <row r="2917" spans="1:5" x14ac:dyDescent="0.2">
      <c r="A2917" s="3">
        <v>46052</v>
      </c>
      <c r="B2917" t="s">
        <v>1</v>
      </c>
      <c r="C2917">
        <v>1</v>
      </c>
      <c r="D2917" t="str">
        <f>_xlfn.XLOOKUP(RW_DT_PRODUCTION[[#This Row],[MATERIAL_ID]],DIM_MATERIAL[MATERIAL_ID],DIM_MATERIAL[UOM_AFTER_PROCESS])</f>
        <v>BALE</v>
      </c>
      <c r="E2917">
        <v>88</v>
      </c>
    </row>
    <row r="2918" spans="1:5" x14ac:dyDescent="0.2">
      <c r="A2918" s="3">
        <v>46052</v>
      </c>
      <c r="B2918" t="s">
        <v>1</v>
      </c>
      <c r="C2918">
        <v>1</v>
      </c>
      <c r="D2918" t="str">
        <f>_xlfn.XLOOKUP(RW_DT_PRODUCTION[[#This Row],[MATERIAL_ID]],DIM_MATERIAL[MATERIAL_ID],DIM_MATERIAL[UOM_AFTER_PROCESS])</f>
        <v>BALE</v>
      </c>
      <c r="E2918">
        <v>75</v>
      </c>
    </row>
    <row r="2919" spans="1:5" x14ac:dyDescent="0.2">
      <c r="A2919" s="3">
        <v>46052</v>
      </c>
      <c r="B2919" t="s">
        <v>1</v>
      </c>
      <c r="C2919">
        <v>1</v>
      </c>
      <c r="D2919" t="str">
        <f>_xlfn.XLOOKUP(RW_DT_PRODUCTION[[#This Row],[MATERIAL_ID]],DIM_MATERIAL[MATERIAL_ID],DIM_MATERIAL[UOM_AFTER_PROCESS])</f>
        <v>BALE</v>
      </c>
      <c r="E2919">
        <v>78</v>
      </c>
    </row>
    <row r="2920" spans="1:5" x14ac:dyDescent="0.2">
      <c r="A2920" s="3">
        <v>46052</v>
      </c>
      <c r="B2920" t="s">
        <v>1</v>
      </c>
      <c r="C2920">
        <v>1</v>
      </c>
      <c r="D2920" t="str">
        <f>_xlfn.XLOOKUP(RW_DT_PRODUCTION[[#This Row],[MATERIAL_ID]],DIM_MATERIAL[MATERIAL_ID],DIM_MATERIAL[UOM_AFTER_PROCESS])</f>
        <v>BALE</v>
      </c>
      <c r="E2920">
        <v>65</v>
      </c>
    </row>
    <row r="2921" spans="1:5" x14ac:dyDescent="0.2">
      <c r="A2921" s="3">
        <v>46055</v>
      </c>
      <c r="B2921" t="s">
        <v>1</v>
      </c>
      <c r="C2921">
        <v>1</v>
      </c>
      <c r="D2921" t="str">
        <f>_xlfn.XLOOKUP(RW_DT_PRODUCTION[[#This Row],[MATERIAL_ID]],DIM_MATERIAL[MATERIAL_ID],DIM_MATERIAL[UOM_AFTER_PROCESS])</f>
        <v>BALE</v>
      </c>
      <c r="E2921">
        <v>88</v>
      </c>
    </row>
    <row r="2922" spans="1:5" x14ac:dyDescent="0.2">
      <c r="A2922" s="3">
        <v>46055</v>
      </c>
      <c r="B2922" t="s">
        <v>1</v>
      </c>
      <c r="C2922">
        <v>1</v>
      </c>
      <c r="D2922" t="str">
        <f>_xlfn.XLOOKUP(RW_DT_PRODUCTION[[#This Row],[MATERIAL_ID]],DIM_MATERIAL[MATERIAL_ID],DIM_MATERIAL[UOM_AFTER_PROCESS])</f>
        <v>BALE</v>
      </c>
      <c r="E2922">
        <v>81</v>
      </c>
    </row>
    <row r="2923" spans="1:5" x14ac:dyDescent="0.2">
      <c r="A2923" s="3">
        <v>46055</v>
      </c>
      <c r="B2923" t="s">
        <v>1</v>
      </c>
      <c r="C2923">
        <v>1</v>
      </c>
      <c r="D2923" t="str">
        <f>_xlfn.XLOOKUP(RW_DT_PRODUCTION[[#This Row],[MATERIAL_ID]],DIM_MATERIAL[MATERIAL_ID],DIM_MATERIAL[UOM_AFTER_PROCESS])</f>
        <v>BALE</v>
      </c>
      <c r="E2923">
        <v>64</v>
      </c>
    </row>
    <row r="2924" spans="1:5" x14ac:dyDescent="0.2">
      <c r="A2924" s="3">
        <v>46055</v>
      </c>
      <c r="B2924" t="s">
        <v>1</v>
      </c>
      <c r="C2924">
        <v>1</v>
      </c>
      <c r="D2924" t="str">
        <f>_xlfn.XLOOKUP(RW_DT_PRODUCTION[[#This Row],[MATERIAL_ID]],DIM_MATERIAL[MATERIAL_ID],DIM_MATERIAL[UOM_AFTER_PROCESS])</f>
        <v>BALE</v>
      </c>
      <c r="E2924">
        <v>77</v>
      </c>
    </row>
    <row r="2925" spans="1:5" x14ac:dyDescent="0.2">
      <c r="A2925" s="3">
        <v>46055</v>
      </c>
      <c r="B2925" t="s">
        <v>1</v>
      </c>
      <c r="C2925">
        <v>1</v>
      </c>
      <c r="D2925" t="str">
        <f>_xlfn.XLOOKUP(RW_DT_PRODUCTION[[#This Row],[MATERIAL_ID]],DIM_MATERIAL[MATERIAL_ID],DIM_MATERIAL[UOM_AFTER_PROCESS])</f>
        <v>BALE</v>
      </c>
      <c r="E2925">
        <v>78</v>
      </c>
    </row>
    <row r="2926" spans="1:5" x14ac:dyDescent="0.2">
      <c r="A2926" s="3">
        <v>46055</v>
      </c>
      <c r="B2926" t="s">
        <v>1</v>
      </c>
      <c r="C2926">
        <v>1</v>
      </c>
      <c r="D2926" t="str">
        <f>_xlfn.XLOOKUP(RW_DT_PRODUCTION[[#This Row],[MATERIAL_ID]],DIM_MATERIAL[MATERIAL_ID],DIM_MATERIAL[UOM_AFTER_PROCESS])</f>
        <v>BALE</v>
      </c>
      <c r="E2926">
        <v>61</v>
      </c>
    </row>
    <row r="2927" spans="1:5" x14ac:dyDescent="0.2">
      <c r="A2927" s="3">
        <v>46055</v>
      </c>
      <c r="B2927" t="s">
        <v>1</v>
      </c>
      <c r="C2927">
        <v>1</v>
      </c>
      <c r="D2927" t="str">
        <f>_xlfn.XLOOKUP(RW_DT_PRODUCTION[[#This Row],[MATERIAL_ID]],DIM_MATERIAL[MATERIAL_ID],DIM_MATERIAL[UOM_AFTER_PROCESS])</f>
        <v>BALE</v>
      </c>
      <c r="E2927">
        <v>79</v>
      </c>
    </row>
    <row r="2928" spans="1:5" x14ac:dyDescent="0.2">
      <c r="A2928" s="3">
        <v>46055</v>
      </c>
      <c r="B2928" t="s">
        <v>1</v>
      </c>
      <c r="C2928">
        <v>1</v>
      </c>
      <c r="D2928" t="str">
        <f>_xlfn.XLOOKUP(RW_DT_PRODUCTION[[#This Row],[MATERIAL_ID]],DIM_MATERIAL[MATERIAL_ID],DIM_MATERIAL[UOM_AFTER_PROCESS])</f>
        <v>BALE</v>
      </c>
      <c r="E2928">
        <v>61</v>
      </c>
    </row>
    <row r="2929" spans="1:5" x14ac:dyDescent="0.2">
      <c r="A2929" s="3">
        <v>46055</v>
      </c>
      <c r="B2929" t="s">
        <v>2</v>
      </c>
      <c r="C2929">
        <v>1</v>
      </c>
      <c r="D2929" t="str">
        <f>_xlfn.XLOOKUP(RW_DT_PRODUCTION[[#This Row],[MATERIAL_ID]],DIM_MATERIAL[MATERIAL_ID],DIM_MATERIAL[UOM_AFTER_PROCESS])</f>
        <v>BAG</v>
      </c>
      <c r="E2929">
        <v>22</v>
      </c>
    </row>
    <row r="2930" spans="1:5" x14ac:dyDescent="0.2">
      <c r="A2930" s="3">
        <v>46055</v>
      </c>
      <c r="B2930" t="s">
        <v>2</v>
      </c>
      <c r="C2930">
        <v>1</v>
      </c>
      <c r="D2930" t="str">
        <f>_xlfn.XLOOKUP(RW_DT_PRODUCTION[[#This Row],[MATERIAL_ID]],DIM_MATERIAL[MATERIAL_ID],DIM_MATERIAL[UOM_AFTER_PROCESS])</f>
        <v>BAG</v>
      </c>
      <c r="E2930">
        <v>22</v>
      </c>
    </row>
    <row r="2931" spans="1:5" x14ac:dyDescent="0.2">
      <c r="A2931" s="3">
        <v>46056</v>
      </c>
      <c r="B2931" t="s">
        <v>1</v>
      </c>
      <c r="C2931">
        <v>1</v>
      </c>
      <c r="D2931" t="str">
        <f>_xlfn.XLOOKUP(RW_DT_PRODUCTION[[#This Row],[MATERIAL_ID]],DIM_MATERIAL[MATERIAL_ID],DIM_MATERIAL[UOM_AFTER_PROCESS])</f>
        <v>BALE</v>
      </c>
      <c r="E2931">
        <v>62</v>
      </c>
    </row>
    <row r="2932" spans="1:5" x14ac:dyDescent="0.2">
      <c r="A2932" s="3">
        <v>46056</v>
      </c>
      <c r="B2932" t="s">
        <v>1</v>
      </c>
      <c r="C2932">
        <v>1</v>
      </c>
      <c r="D2932" t="str">
        <f>_xlfn.XLOOKUP(RW_DT_PRODUCTION[[#This Row],[MATERIAL_ID]],DIM_MATERIAL[MATERIAL_ID],DIM_MATERIAL[UOM_AFTER_PROCESS])</f>
        <v>BALE</v>
      </c>
      <c r="E2932">
        <v>71</v>
      </c>
    </row>
    <row r="2933" spans="1:5" x14ac:dyDescent="0.2">
      <c r="A2933" s="3">
        <v>46056</v>
      </c>
      <c r="B2933" t="s">
        <v>1</v>
      </c>
      <c r="C2933">
        <v>1</v>
      </c>
      <c r="D2933" t="str">
        <f>_xlfn.XLOOKUP(RW_DT_PRODUCTION[[#This Row],[MATERIAL_ID]],DIM_MATERIAL[MATERIAL_ID],DIM_MATERIAL[UOM_AFTER_PROCESS])</f>
        <v>BALE</v>
      </c>
      <c r="E2933">
        <v>65</v>
      </c>
    </row>
    <row r="2934" spans="1:5" x14ac:dyDescent="0.2">
      <c r="A2934" s="3">
        <v>46056</v>
      </c>
      <c r="B2934" t="s">
        <v>1</v>
      </c>
      <c r="C2934">
        <v>1</v>
      </c>
      <c r="D2934" t="str">
        <f>_xlfn.XLOOKUP(RW_DT_PRODUCTION[[#This Row],[MATERIAL_ID]],DIM_MATERIAL[MATERIAL_ID],DIM_MATERIAL[UOM_AFTER_PROCESS])</f>
        <v>BALE</v>
      </c>
      <c r="E2934">
        <v>88</v>
      </c>
    </row>
    <row r="2935" spans="1:5" x14ac:dyDescent="0.2">
      <c r="A2935" s="3">
        <v>46056</v>
      </c>
      <c r="B2935" t="s">
        <v>1</v>
      </c>
      <c r="C2935">
        <v>1</v>
      </c>
      <c r="D2935" t="str">
        <f>_xlfn.XLOOKUP(RW_DT_PRODUCTION[[#This Row],[MATERIAL_ID]],DIM_MATERIAL[MATERIAL_ID],DIM_MATERIAL[UOM_AFTER_PROCESS])</f>
        <v>BALE</v>
      </c>
      <c r="E2935">
        <v>62</v>
      </c>
    </row>
    <row r="2936" spans="1:5" x14ac:dyDescent="0.2">
      <c r="A2936" s="3">
        <v>46056</v>
      </c>
      <c r="B2936" t="s">
        <v>1</v>
      </c>
      <c r="C2936">
        <v>1</v>
      </c>
      <c r="D2936" t="str">
        <f>_xlfn.XLOOKUP(RW_DT_PRODUCTION[[#This Row],[MATERIAL_ID]],DIM_MATERIAL[MATERIAL_ID],DIM_MATERIAL[UOM_AFTER_PROCESS])</f>
        <v>BALE</v>
      </c>
      <c r="E2936">
        <v>74</v>
      </c>
    </row>
    <row r="2937" spans="1:5" x14ac:dyDescent="0.2">
      <c r="A2937" s="3">
        <v>46056</v>
      </c>
      <c r="B2937" t="s">
        <v>2</v>
      </c>
      <c r="C2937">
        <v>1</v>
      </c>
      <c r="D2937" t="str">
        <f>_xlfn.XLOOKUP(RW_DT_PRODUCTION[[#This Row],[MATERIAL_ID]],DIM_MATERIAL[MATERIAL_ID],DIM_MATERIAL[UOM_AFTER_PROCESS])</f>
        <v>BAG</v>
      </c>
      <c r="E2937">
        <v>22</v>
      </c>
    </row>
    <row r="2938" spans="1:5" x14ac:dyDescent="0.2">
      <c r="A2938" s="3">
        <v>46056</v>
      </c>
      <c r="B2938" t="s">
        <v>2</v>
      </c>
      <c r="C2938">
        <v>1</v>
      </c>
      <c r="D2938" t="str">
        <f>_xlfn.XLOOKUP(RW_DT_PRODUCTION[[#This Row],[MATERIAL_ID]],DIM_MATERIAL[MATERIAL_ID],DIM_MATERIAL[UOM_AFTER_PROCESS])</f>
        <v>BAG</v>
      </c>
      <c r="E2938">
        <v>22</v>
      </c>
    </row>
    <row r="2939" spans="1:5" x14ac:dyDescent="0.2">
      <c r="A2939" s="3">
        <v>46057</v>
      </c>
      <c r="B2939" t="s">
        <v>1</v>
      </c>
      <c r="C2939">
        <v>1</v>
      </c>
      <c r="D2939" t="str">
        <f>_xlfn.XLOOKUP(RW_DT_PRODUCTION[[#This Row],[MATERIAL_ID]],DIM_MATERIAL[MATERIAL_ID],DIM_MATERIAL[UOM_AFTER_PROCESS])</f>
        <v>BALE</v>
      </c>
      <c r="E2939">
        <v>64</v>
      </c>
    </row>
    <row r="2940" spans="1:5" x14ac:dyDescent="0.2">
      <c r="A2940" s="3">
        <v>46057</v>
      </c>
      <c r="B2940" t="s">
        <v>1</v>
      </c>
      <c r="C2940">
        <v>1</v>
      </c>
      <c r="D2940" t="str">
        <f>_xlfn.XLOOKUP(RW_DT_PRODUCTION[[#This Row],[MATERIAL_ID]],DIM_MATERIAL[MATERIAL_ID],DIM_MATERIAL[UOM_AFTER_PROCESS])</f>
        <v>BALE</v>
      </c>
      <c r="E2940">
        <v>88</v>
      </c>
    </row>
    <row r="2941" spans="1:5" x14ac:dyDescent="0.2">
      <c r="A2941" s="3">
        <v>46057</v>
      </c>
      <c r="B2941" t="s">
        <v>1</v>
      </c>
      <c r="C2941">
        <v>1</v>
      </c>
      <c r="D2941" t="str">
        <f>_xlfn.XLOOKUP(RW_DT_PRODUCTION[[#This Row],[MATERIAL_ID]],DIM_MATERIAL[MATERIAL_ID],DIM_MATERIAL[UOM_AFTER_PROCESS])</f>
        <v>BALE</v>
      </c>
      <c r="E2941">
        <v>75</v>
      </c>
    </row>
    <row r="2942" spans="1:5" x14ac:dyDescent="0.2">
      <c r="A2942" s="3">
        <v>46057</v>
      </c>
      <c r="B2942" t="s">
        <v>1</v>
      </c>
      <c r="C2942">
        <v>1</v>
      </c>
      <c r="D2942" t="str">
        <f>_xlfn.XLOOKUP(RW_DT_PRODUCTION[[#This Row],[MATERIAL_ID]],DIM_MATERIAL[MATERIAL_ID],DIM_MATERIAL[UOM_AFTER_PROCESS])</f>
        <v>BALE</v>
      </c>
      <c r="E2942">
        <v>77</v>
      </c>
    </row>
    <row r="2943" spans="1:5" x14ac:dyDescent="0.2">
      <c r="A2943" s="3">
        <v>46057</v>
      </c>
      <c r="B2943" t="s">
        <v>1</v>
      </c>
      <c r="C2943">
        <v>1</v>
      </c>
      <c r="D2943" t="str">
        <f>_xlfn.XLOOKUP(RW_DT_PRODUCTION[[#This Row],[MATERIAL_ID]],DIM_MATERIAL[MATERIAL_ID],DIM_MATERIAL[UOM_AFTER_PROCESS])</f>
        <v>BALE</v>
      </c>
      <c r="E2943">
        <v>84</v>
      </c>
    </row>
    <row r="2944" spans="1:5" x14ac:dyDescent="0.2">
      <c r="A2944" s="3">
        <v>46057</v>
      </c>
      <c r="B2944" t="s">
        <v>1</v>
      </c>
      <c r="C2944">
        <v>1</v>
      </c>
      <c r="D2944" t="str">
        <f>_xlfn.XLOOKUP(RW_DT_PRODUCTION[[#This Row],[MATERIAL_ID]],DIM_MATERIAL[MATERIAL_ID],DIM_MATERIAL[UOM_AFTER_PROCESS])</f>
        <v>BALE</v>
      </c>
      <c r="E2944">
        <v>74</v>
      </c>
    </row>
    <row r="2945" spans="1:5" x14ac:dyDescent="0.2">
      <c r="A2945" s="3">
        <v>46057</v>
      </c>
      <c r="B2945" t="s">
        <v>1</v>
      </c>
      <c r="C2945">
        <v>1</v>
      </c>
      <c r="D2945" t="str">
        <f>_xlfn.XLOOKUP(RW_DT_PRODUCTION[[#This Row],[MATERIAL_ID]],DIM_MATERIAL[MATERIAL_ID],DIM_MATERIAL[UOM_AFTER_PROCESS])</f>
        <v>BALE</v>
      </c>
      <c r="E2945">
        <v>83</v>
      </c>
    </row>
    <row r="2946" spans="1:5" x14ac:dyDescent="0.2">
      <c r="A2946" s="3">
        <v>46058</v>
      </c>
      <c r="B2946" t="s">
        <v>1</v>
      </c>
      <c r="C2946">
        <v>1</v>
      </c>
      <c r="D2946" t="str">
        <f>_xlfn.XLOOKUP(RW_DT_PRODUCTION[[#This Row],[MATERIAL_ID]],DIM_MATERIAL[MATERIAL_ID],DIM_MATERIAL[UOM_AFTER_PROCESS])</f>
        <v>BALE</v>
      </c>
      <c r="E2946">
        <v>89</v>
      </c>
    </row>
    <row r="2947" spans="1:5" x14ac:dyDescent="0.2">
      <c r="A2947" s="3">
        <v>46058</v>
      </c>
      <c r="B2947" t="s">
        <v>1</v>
      </c>
      <c r="C2947">
        <v>1</v>
      </c>
      <c r="D2947" t="str">
        <f>_xlfn.XLOOKUP(RW_DT_PRODUCTION[[#This Row],[MATERIAL_ID]],DIM_MATERIAL[MATERIAL_ID],DIM_MATERIAL[UOM_AFTER_PROCESS])</f>
        <v>BALE</v>
      </c>
      <c r="E2947">
        <v>87</v>
      </c>
    </row>
    <row r="2948" spans="1:5" x14ac:dyDescent="0.2">
      <c r="A2948" s="3">
        <v>46058</v>
      </c>
      <c r="B2948" t="s">
        <v>1</v>
      </c>
      <c r="C2948">
        <v>1</v>
      </c>
      <c r="D2948" t="str">
        <f>_xlfn.XLOOKUP(RW_DT_PRODUCTION[[#This Row],[MATERIAL_ID]],DIM_MATERIAL[MATERIAL_ID],DIM_MATERIAL[UOM_AFTER_PROCESS])</f>
        <v>BALE</v>
      </c>
      <c r="E2948">
        <v>88</v>
      </c>
    </row>
    <row r="2949" spans="1:5" x14ac:dyDescent="0.2">
      <c r="A2949" s="3">
        <v>46058</v>
      </c>
      <c r="B2949" t="s">
        <v>1</v>
      </c>
      <c r="C2949">
        <v>1</v>
      </c>
      <c r="D2949" t="str">
        <f>_xlfn.XLOOKUP(RW_DT_PRODUCTION[[#This Row],[MATERIAL_ID]],DIM_MATERIAL[MATERIAL_ID],DIM_MATERIAL[UOM_AFTER_PROCESS])</f>
        <v>BALE</v>
      </c>
      <c r="E2949">
        <v>63</v>
      </c>
    </row>
    <row r="2950" spans="1:5" x14ac:dyDescent="0.2">
      <c r="A2950" s="3">
        <v>46058</v>
      </c>
      <c r="B2950" t="s">
        <v>2</v>
      </c>
      <c r="C2950">
        <v>1</v>
      </c>
      <c r="D2950" t="str">
        <f>_xlfn.XLOOKUP(RW_DT_PRODUCTION[[#This Row],[MATERIAL_ID]],DIM_MATERIAL[MATERIAL_ID],DIM_MATERIAL[UOM_AFTER_PROCESS])</f>
        <v>BAG</v>
      </c>
      <c r="E2950">
        <v>22</v>
      </c>
    </row>
    <row r="2951" spans="1:5" x14ac:dyDescent="0.2">
      <c r="A2951" s="3">
        <v>46059</v>
      </c>
      <c r="B2951" t="s">
        <v>1</v>
      </c>
      <c r="C2951">
        <v>1</v>
      </c>
      <c r="D2951" t="str">
        <f>_xlfn.XLOOKUP(RW_DT_PRODUCTION[[#This Row],[MATERIAL_ID]],DIM_MATERIAL[MATERIAL_ID],DIM_MATERIAL[UOM_AFTER_PROCESS])</f>
        <v>BALE</v>
      </c>
      <c r="E2951">
        <v>69</v>
      </c>
    </row>
    <row r="2952" spans="1:5" x14ac:dyDescent="0.2">
      <c r="A2952" s="3">
        <v>46059</v>
      </c>
      <c r="B2952" t="s">
        <v>1</v>
      </c>
      <c r="C2952">
        <v>1</v>
      </c>
      <c r="D2952" t="str">
        <f>_xlfn.XLOOKUP(RW_DT_PRODUCTION[[#This Row],[MATERIAL_ID]],DIM_MATERIAL[MATERIAL_ID],DIM_MATERIAL[UOM_AFTER_PROCESS])</f>
        <v>BALE</v>
      </c>
      <c r="E2952">
        <v>66</v>
      </c>
    </row>
    <row r="2953" spans="1:5" x14ac:dyDescent="0.2">
      <c r="A2953" s="3">
        <v>46059</v>
      </c>
      <c r="B2953" t="s">
        <v>1</v>
      </c>
      <c r="C2953">
        <v>1</v>
      </c>
      <c r="D2953" t="str">
        <f>_xlfn.XLOOKUP(RW_DT_PRODUCTION[[#This Row],[MATERIAL_ID]],DIM_MATERIAL[MATERIAL_ID],DIM_MATERIAL[UOM_AFTER_PROCESS])</f>
        <v>BALE</v>
      </c>
      <c r="E2953">
        <v>81</v>
      </c>
    </row>
    <row r="2954" spans="1:5" x14ac:dyDescent="0.2">
      <c r="A2954" s="3">
        <v>46059</v>
      </c>
      <c r="B2954" t="s">
        <v>1</v>
      </c>
      <c r="C2954">
        <v>1</v>
      </c>
      <c r="D2954" t="str">
        <f>_xlfn.XLOOKUP(RW_DT_PRODUCTION[[#This Row],[MATERIAL_ID]],DIM_MATERIAL[MATERIAL_ID],DIM_MATERIAL[UOM_AFTER_PROCESS])</f>
        <v>BALE</v>
      </c>
      <c r="E2954">
        <v>62</v>
      </c>
    </row>
    <row r="2955" spans="1:5" x14ac:dyDescent="0.2">
      <c r="A2955" s="3">
        <v>46059</v>
      </c>
      <c r="B2955" t="s">
        <v>1</v>
      </c>
      <c r="C2955">
        <v>1</v>
      </c>
      <c r="D2955" t="str">
        <f>_xlfn.XLOOKUP(RW_DT_PRODUCTION[[#This Row],[MATERIAL_ID]],DIM_MATERIAL[MATERIAL_ID],DIM_MATERIAL[UOM_AFTER_PROCESS])</f>
        <v>BALE</v>
      </c>
      <c r="E2955">
        <v>60</v>
      </c>
    </row>
    <row r="2956" spans="1:5" x14ac:dyDescent="0.2">
      <c r="A2956" s="3">
        <v>46062</v>
      </c>
      <c r="B2956" t="s">
        <v>1</v>
      </c>
      <c r="C2956">
        <v>1</v>
      </c>
      <c r="D2956" t="str">
        <f>_xlfn.XLOOKUP(RW_DT_PRODUCTION[[#This Row],[MATERIAL_ID]],DIM_MATERIAL[MATERIAL_ID],DIM_MATERIAL[UOM_AFTER_PROCESS])</f>
        <v>BALE</v>
      </c>
      <c r="E2956">
        <v>69</v>
      </c>
    </row>
    <row r="2957" spans="1:5" x14ac:dyDescent="0.2">
      <c r="A2957" s="3">
        <v>46062</v>
      </c>
      <c r="B2957" t="s">
        <v>1</v>
      </c>
      <c r="C2957">
        <v>1</v>
      </c>
      <c r="D2957" t="str">
        <f>_xlfn.XLOOKUP(RW_DT_PRODUCTION[[#This Row],[MATERIAL_ID]],DIM_MATERIAL[MATERIAL_ID],DIM_MATERIAL[UOM_AFTER_PROCESS])</f>
        <v>BALE</v>
      </c>
      <c r="E2957">
        <v>65</v>
      </c>
    </row>
    <row r="2958" spans="1:5" x14ac:dyDescent="0.2">
      <c r="A2958" s="3">
        <v>46062</v>
      </c>
      <c r="B2958" t="s">
        <v>1</v>
      </c>
      <c r="C2958">
        <v>1</v>
      </c>
      <c r="D2958" t="str">
        <f>_xlfn.XLOOKUP(RW_DT_PRODUCTION[[#This Row],[MATERIAL_ID]],DIM_MATERIAL[MATERIAL_ID],DIM_MATERIAL[UOM_AFTER_PROCESS])</f>
        <v>BALE</v>
      </c>
      <c r="E2958">
        <v>62</v>
      </c>
    </row>
    <row r="2959" spans="1:5" x14ac:dyDescent="0.2">
      <c r="A2959" s="3">
        <v>46062</v>
      </c>
      <c r="B2959" t="s">
        <v>1</v>
      </c>
      <c r="C2959">
        <v>1</v>
      </c>
      <c r="D2959" t="str">
        <f>_xlfn.XLOOKUP(RW_DT_PRODUCTION[[#This Row],[MATERIAL_ID]],DIM_MATERIAL[MATERIAL_ID],DIM_MATERIAL[UOM_AFTER_PROCESS])</f>
        <v>BALE</v>
      </c>
      <c r="E2959">
        <v>62</v>
      </c>
    </row>
    <row r="2960" spans="1:5" x14ac:dyDescent="0.2">
      <c r="A2960" s="3">
        <v>46062</v>
      </c>
      <c r="B2960" t="s">
        <v>1</v>
      </c>
      <c r="C2960">
        <v>1</v>
      </c>
      <c r="D2960" t="str">
        <f>_xlfn.XLOOKUP(RW_DT_PRODUCTION[[#This Row],[MATERIAL_ID]],DIM_MATERIAL[MATERIAL_ID],DIM_MATERIAL[UOM_AFTER_PROCESS])</f>
        <v>BALE</v>
      </c>
      <c r="E2960">
        <v>64</v>
      </c>
    </row>
    <row r="2961" spans="1:5" x14ac:dyDescent="0.2">
      <c r="A2961" s="3">
        <v>46062</v>
      </c>
      <c r="B2961" t="s">
        <v>1</v>
      </c>
      <c r="C2961">
        <v>1</v>
      </c>
      <c r="D2961" t="str">
        <f>_xlfn.XLOOKUP(RW_DT_PRODUCTION[[#This Row],[MATERIAL_ID]],DIM_MATERIAL[MATERIAL_ID],DIM_MATERIAL[UOM_AFTER_PROCESS])</f>
        <v>BALE</v>
      </c>
      <c r="E2961">
        <v>89</v>
      </c>
    </row>
    <row r="2962" spans="1:5" x14ac:dyDescent="0.2">
      <c r="A2962" s="3">
        <v>46062</v>
      </c>
      <c r="B2962" t="s">
        <v>1</v>
      </c>
      <c r="C2962">
        <v>1</v>
      </c>
      <c r="D2962" t="str">
        <f>_xlfn.XLOOKUP(RW_DT_PRODUCTION[[#This Row],[MATERIAL_ID]],DIM_MATERIAL[MATERIAL_ID],DIM_MATERIAL[UOM_AFTER_PROCESS])</f>
        <v>BALE</v>
      </c>
      <c r="E2962">
        <v>68</v>
      </c>
    </row>
    <row r="2963" spans="1:5" x14ac:dyDescent="0.2">
      <c r="A2963" s="3">
        <v>46062</v>
      </c>
      <c r="B2963" t="s">
        <v>1</v>
      </c>
      <c r="C2963">
        <v>1</v>
      </c>
      <c r="D2963" t="str">
        <f>_xlfn.XLOOKUP(RW_DT_PRODUCTION[[#This Row],[MATERIAL_ID]],DIM_MATERIAL[MATERIAL_ID],DIM_MATERIAL[UOM_AFTER_PROCESS])</f>
        <v>BALE</v>
      </c>
      <c r="E2963">
        <v>63</v>
      </c>
    </row>
    <row r="2964" spans="1:5" x14ac:dyDescent="0.2">
      <c r="A2964" s="3">
        <v>46062</v>
      </c>
      <c r="B2964" t="s">
        <v>1</v>
      </c>
      <c r="C2964">
        <v>1</v>
      </c>
      <c r="D2964" t="str">
        <f>_xlfn.XLOOKUP(RW_DT_PRODUCTION[[#This Row],[MATERIAL_ID]],DIM_MATERIAL[MATERIAL_ID],DIM_MATERIAL[UOM_AFTER_PROCESS])</f>
        <v>BALE</v>
      </c>
      <c r="E2964">
        <v>82</v>
      </c>
    </row>
    <row r="2965" spans="1:5" x14ac:dyDescent="0.2">
      <c r="A2965" s="3">
        <v>46062</v>
      </c>
      <c r="B2965" t="s">
        <v>1</v>
      </c>
      <c r="C2965">
        <v>1</v>
      </c>
      <c r="D2965" t="str">
        <f>_xlfn.XLOOKUP(RW_DT_PRODUCTION[[#This Row],[MATERIAL_ID]],DIM_MATERIAL[MATERIAL_ID],DIM_MATERIAL[UOM_AFTER_PROCESS])</f>
        <v>BALE</v>
      </c>
      <c r="E2965">
        <v>75</v>
      </c>
    </row>
    <row r="2966" spans="1:5" x14ac:dyDescent="0.2">
      <c r="A2966" s="3">
        <v>46062</v>
      </c>
      <c r="B2966" t="s">
        <v>1</v>
      </c>
      <c r="C2966">
        <v>1</v>
      </c>
      <c r="D2966" t="str">
        <f>_xlfn.XLOOKUP(RW_DT_PRODUCTION[[#This Row],[MATERIAL_ID]],DIM_MATERIAL[MATERIAL_ID],DIM_MATERIAL[UOM_AFTER_PROCESS])</f>
        <v>BALE</v>
      </c>
      <c r="E2966">
        <v>63</v>
      </c>
    </row>
    <row r="2967" spans="1:5" x14ac:dyDescent="0.2">
      <c r="A2967" s="3">
        <v>46063</v>
      </c>
      <c r="B2967" t="s">
        <v>1</v>
      </c>
      <c r="C2967">
        <v>1</v>
      </c>
      <c r="D2967" t="str">
        <f>_xlfn.XLOOKUP(RW_DT_PRODUCTION[[#This Row],[MATERIAL_ID]],DIM_MATERIAL[MATERIAL_ID],DIM_MATERIAL[UOM_AFTER_PROCESS])</f>
        <v>BALE</v>
      </c>
      <c r="E2967">
        <v>85</v>
      </c>
    </row>
    <row r="2968" spans="1:5" x14ac:dyDescent="0.2">
      <c r="A2968" s="3">
        <v>46063</v>
      </c>
      <c r="B2968" t="s">
        <v>1</v>
      </c>
      <c r="C2968">
        <v>1</v>
      </c>
      <c r="D2968" t="str">
        <f>_xlfn.XLOOKUP(RW_DT_PRODUCTION[[#This Row],[MATERIAL_ID]],DIM_MATERIAL[MATERIAL_ID],DIM_MATERIAL[UOM_AFTER_PROCESS])</f>
        <v>BALE</v>
      </c>
      <c r="E2968">
        <v>72</v>
      </c>
    </row>
    <row r="2969" spans="1:5" x14ac:dyDescent="0.2">
      <c r="A2969" s="3">
        <v>46063</v>
      </c>
      <c r="B2969" t="s">
        <v>1</v>
      </c>
      <c r="C2969">
        <v>1</v>
      </c>
      <c r="D2969" t="str">
        <f>_xlfn.XLOOKUP(RW_DT_PRODUCTION[[#This Row],[MATERIAL_ID]],DIM_MATERIAL[MATERIAL_ID],DIM_MATERIAL[UOM_AFTER_PROCESS])</f>
        <v>BALE</v>
      </c>
      <c r="E2969">
        <v>83</v>
      </c>
    </row>
    <row r="2970" spans="1:5" x14ac:dyDescent="0.2">
      <c r="A2970" s="3">
        <v>46063</v>
      </c>
      <c r="B2970" t="s">
        <v>1</v>
      </c>
      <c r="C2970">
        <v>1</v>
      </c>
      <c r="D2970" t="str">
        <f>_xlfn.XLOOKUP(RW_DT_PRODUCTION[[#This Row],[MATERIAL_ID]],DIM_MATERIAL[MATERIAL_ID],DIM_MATERIAL[UOM_AFTER_PROCESS])</f>
        <v>BALE</v>
      </c>
      <c r="E2970">
        <v>66</v>
      </c>
    </row>
    <row r="2971" spans="1:5" x14ac:dyDescent="0.2">
      <c r="A2971" s="3">
        <v>46063</v>
      </c>
      <c r="B2971" t="s">
        <v>1</v>
      </c>
      <c r="C2971">
        <v>1</v>
      </c>
      <c r="D2971" t="str">
        <f>_xlfn.XLOOKUP(RW_DT_PRODUCTION[[#This Row],[MATERIAL_ID]],DIM_MATERIAL[MATERIAL_ID],DIM_MATERIAL[UOM_AFTER_PROCESS])</f>
        <v>BALE</v>
      </c>
      <c r="E2971">
        <v>82</v>
      </c>
    </row>
    <row r="2972" spans="1:5" x14ac:dyDescent="0.2">
      <c r="A2972" s="3">
        <v>46063</v>
      </c>
      <c r="B2972" t="s">
        <v>1</v>
      </c>
      <c r="C2972">
        <v>1</v>
      </c>
      <c r="D2972" t="str">
        <f>_xlfn.XLOOKUP(RW_DT_PRODUCTION[[#This Row],[MATERIAL_ID]],DIM_MATERIAL[MATERIAL_ID],DIM_MATERIAL[UOM_AFTER_PROCESS])</f>
        <v>BALE</v>
      </c>
      <c r="E2972">
        <v>73</v>
      </c>
    </row>
    <row r="2973" spans="1:5" x14ac:dyDescent="0.2">
      <c r="A2973" s="3">
        <v>46063</v>
      </c>
      <c r="B2973" t="s">
        <v>1</v>
      </c>
      <c r="C2973">
        <v>1</v>
      </c>
      <c r="D2973" t="str">
        <f>_xlfn.XLOOKUP(RW_DT_PRODUCTION[[#This Row],[MATERIAL_ID]],DIM_MATERIAL[MATERIAL_ID],DIM_MATERIAL[UOM_AFTER_PROCESS])</f>
        <v>BALE</v>
      </c>
      <c r="E2973">
        <v>67</v>
      </c>
    </row>
    <row r="2974" spans="1:5" x14ac:dyDescent="0.2">
      <c r="A2974" s="3">
        <v>46063</v>
      </c>
      <c r="B2974" t="s">
        <v>1</v>
      </c>
      <c r="C2974">
        <v>1</v>
      </c>
      <c r="D2974" t="str">
        <f>_xlfn.XLOOKUP(RW_DT_PRODUCTION[[#This Row],[MATERIAL_ID]],DIM_MATERIAL[MATERIAL_ID],DIM_MATERIAL[UOM_AFTER_PROCESS])</f>
        <v>BALE</v>
      </c>
      <c r="E2974">
        <v>60</v>
      </c>
    </row>
    <row r="2975" spans="1:5" x14ac:dyDescent="0.2">
      <c r="A2975" s="3">
        <v>46063</v>
      </c>
      <c r="B2975" t="s">
        <v>2</v>
      </c>
      <c r="C2975">
        <v>1</v>
      </c>
      <c r="D2975" t="str">
        <f>_xlfn.XLOOKUP(RW_DT_PRODUCTION[[#This Row],[MATERIAL_ID]],DIM_MATERIAL[MATERIAL_ID],DIM_MATERIAL[UOM_AFTER_PROCESS])</f>
        <v>BAG</v>
      </c>
      <c r="E2975">
        <v>22</v>
      </c>
    </row>
    <row r="2976" spans="1:5" x14ac:dyDescent="0.2">
      <c r="A2976" s="3">
        <v>46063</v>
      </c>
      <c r="B2976" t="s">
        <v>2</v>
      </c>
      <c r="C2976">
        <v>1</v>
      </c>
      <c r="D2976" t="str">
        <f>_xlfn.XLOOKUP(RW_DT_PRODUCTION[[#This Row],[MATERIAL_ID]],DIM_MATERIAL[MATERIAL_ID],DIM_MATERIAL[UOM_AFTER_PROCESS])</f>
        <v>BAG</v>
      </c>
      <c r="E2976">
        <v>22</v>
      </c>
    </row>
    <row r="2977" spans="1:5" x14ac:dyDescent="0.2">
      <c r="A2977" s="3">
        <v>46063</v>
      </c>
      <c r="B2977" t="s">
        <v>2</v>
      </c>
      <c r="C2977">
        <v>1</v>
      </c>
      <c r="D2977" t="str">
        <f>_xlfn.XLOOKUP(RW_DT_PRODUCTION[[#This Row],[MATERIAL_ID]],DIM_MATERIAL[MATERIAL_ID],DIM_MATERIAL[UOM_AFTER_PROCESS])</f>
        <v>BAG</v>
      </c>
      <c r="E2977">
        <v>22</v>
      </c>
    </row>
    <row r="2978" spans="1:5" x14ac:dyDescent="0.2">
      <c r="A2978" s="3">
        <v>46063</v>
      </c>
      <c r="B2978" t="s">
        <v>2</v>
      </c>
      <c r="C2978">
        <v>1</v>
      </c>
      <c r="D2978" t="str">
        <f>_xlfn.XLOOKUP(RW_DT_PRODUCTION[[#This Row],[MATERIAL_ID]],DIM_MATERIAL[MATERIAL_ID],DIM_MATERIAL[UOM_AFTER_PROCESS])</f>
        <v>BAG</v>
      </c>
      <c r="E2978">
        <v>22</v>
      </c>
    </row>
    <row r="2979" spans="1:5" x14ac:dyDescent="0.2">
      <c r="A2979" s="3">
        <v>46063</v>
      </c>
      <c r="B2979" t="s">
        <v>2</v>
      </c>
      <c r="C2979">
        <v>1</v>
      </c>
      <c r="D2979" t="str">
        <f>_xlfn.XLOOKUP(RW_DT_PRODUCTION[[#This Row],[MATERIAL_ID]],DIM_MATERIAL[MATERIAL_ID],DIM_MATERIAL[UOM_AFTER_PROCESS])</f>
        <v>BAG</v>
      </c>
      <c r="E2979">
        <v>22</v>
      </c>
    </row>
    <row r="2980" spans="1:5" x14ac:dyDescent="0.2">
      <c r="A2980" s="3">
        <v>46063</v>
      </c>
      <c r="B2980" t="s">
        <v>2</v>
      </c>
      <c r="C2980">
        <v>1</v>
      </c>
      <c r="D2980" t="str">
        <f>_xlfn.XLOOKUP(RW_DT_PRODUCTION[[#This Row],[MATERIAL_ID]],DIM_MATERIAL[MATERIAL_ID],DIM_MATERIAL[UOM_AFTER_PROCESS])</f>
        <v>BAG</v>
      </c>
      <c r="E2980">
        <v>22</v>
      </c>
    </row>
    <row r="2981" spans="1:5" x14ac:dyDescent="0.2">
      <c r="A2981" s="3">
        <v>46064</v>
      </c>
      <c r="B2981" t="s">
        <v>1</v>
      </c>
      <c r="C2981">
        <v>1</v>
      </c>
      <c r="D2981" t="str">
        <f>_xlfn.XLOOKUP(RW_DT_PRODUCTION[[#This Row],[MATERIAL_ID]],DIM_MATERIAL[MATERIAL_ID],DIM_MATERIAL[UOM_AFTER_PROCESS])</f>
        <v>BALE</v>
      </c>
      <c r="E2981">
        <v>85</v>
      </c>
    </row>
    <row r="2982" spans="1:5" x14ac:dyDescent="0.2">
      <c r="A2982" s="3">
        <v>46064</v>
      </c>
      <c r="B2982" t="s">
        <v>1</v>
      </c>
      <c r="C2982">
        <v>1</v>
      </c>
      <c r="D2982" t="str">
        <f>_xlfn.XLOOKUP(RW_DT_PRODUCTION[[#This Row],[MATERIAL_ID]],DIM_MATERIAL[MATERIAL_ID],DIM_MATERIAL[UOM_AFTER_PROCESS])</f>
        <v>BALE</v>
      </c>
      <c r="E2982">
        <v>71</v>
      </c>
    </row>
    <row r="2983" spans="1:5" x14ac:dyDescent="0.2">
      <c r="A2983" s="3">
        <v>46064</v>
      </c>
      <c r="B2983" t="s">
        <v>1</v>
      </c>
      <c r="C2983">
        <v>1</v>
      </c>
      <c r="D2983" t="str">
        <f>_xlfn.XLOOKUP(RW_DT_PRODUCTION[[#This Row],[MATERIAL_ID]],DIM_MATERIAL[MATERIAL_ID],DIM_MATERIAL[UOM_AFTER_PROCESS])</f>
        <v>BALE</v>
      </c>
      <c r="E2983">
        <v>87</v>
      </c>
    </row>
    <row r="2984" spans="1:5" x14ac:dyDescent="0.2">
      <c r="A2984" s="3">
        <v>46064</v>
      </c>
      <c r="B2984" t="s">
        <v>1</v>
      </c>
      <c r="C2984">
        <v>1</v>
      </c>
      <c r="D2984" t="str">
        <f>_xlfn.XLOOKUP(RW_DT_PRODUCTION[[#This Row],[MATERIAL_ID]],DIM_MATERIAL[MATERIAL_ID],DIM_MATERIAL[UOM_AFTER_PROCESS])</f>
        <v>BALE</v>
      </c>
      <c r="E2984">
        <v>88</v>
      </c>
    </row>
    <row r="2985" spans="1:5" x14ac:dyDescent="0.2">
      <c r="A2985" s="3">
        <v>46064</v>
      </c>
      <c r="B2985" t="s">
        <v>1</v>
      </c>
      <c r="C2985">
        <v>1</v>
      </c>
      <c r="D2985" t="str">
        <f>_xlfn.XLOOKUP(RW_DT_PRODUCTION[[#This Row],[MATERIAL_ID]],DIM_MATERIAL[MATERIAL_ID],DIM_MATERIAL[UOM_AFTER_PROCESS])</f>
        <v>BALE</v>
      </c>
      <c r="E2985">
        <v>84</v>
      </c>
    </row>
    <row r="2986" spans="1:5" x14ac:dyDescent="0.2">
      <c r="A2986" s="3">
        <v>46064</v>
      </c>
      <c r="B2986" t="s">
        <v>1</v>
      </c>
      <c r="C2986">
        <v>1</v>
      </c>
      <c r="D2986" t="str">
        <f>_xlfn.XLOOKUP(RW_DT_PRODUCTION[[#This Row],[MATERIAL_ID]],DIM_MATERIAL[MATERIAL_ID],DIM_MATERIAL[UOM_AFTER_PROCESS])</f>
        <v>BALE</v>
      </c>
      <c r="E2986">
        <v>83</v>
      </c>
    </row>
    <row r="2987" spans="1:5" x14ac:dyDescent="0.2">
      <c r="A2987" s="3">
        <v>46064</v>
      </c>
      <c r="B2987" t="s">
        <v>1</v>
      </c>
      <c r="C2987">
        <v>1</v>
      </c>
      <c r="D2987" t="str">
        <f>_xlfn.XLOOKUP(RW_DT_PRODUCTION[[#This Row],[MATERIAL_ID]],DIM_MATERIAL[MATERIAL_ID],DIM_MATERIAL[UOM_AFTER_PROCESS])</f>
        <v>BALE</v>
      </c>
      <c r="E2987">
        <v>88</v>
      </c>
    </row>
    <row r="2988" spans="1:5" x14ac:dyDescent="0.2">
      <c r="A2988" s="3">
        <v>46064</v>
      </c>
      <c r="B2988" t="s">
        <v>1</v>
      </c>
      <c r="C2988">
        <v>1</v>
      </c>
      <c r="D2988" t="str">
        <f>_xlfn.XLOOKUP(RW_DT_PRODUCTION[[#This Row],[MATERIAL_ID]],DIM_MATERIAL[MATERIAL_ID],DIM_MATERIAL[UOM_AFTER_PROCESS])</f>
        <v>BALE</v>
      </c>
      <c r="E2988">
        <v>88</v>
      </c>
    </row>
    <row r="2989" spans="1:5" x14ac:dyDescent="0.2">
      <c r="A2989" s="3">
        <v>46064</v>
      </c>
      <c r="B2989" t="s">
        <v>1</v>
      </c>
      <c r="C2989">
        <v>1</v>
      </c>
      <c r="D2989" t="str">
        <f>_xlfn.XLOOKUP(RW_DT_PRODUCTION[[#This Row],[MATERIAL_ID]],DIM_MATERIAL[MATERIAL_ID],DIM_MATERIAL[UOM_AFTER_PROCESS])</f>
        <v>BALE</v>
      </c>
      <c r="E2989">
        <v>75</v>
      </c>
    </row>
    <row r="2990" spans="1:5" x14ac:dyDescent="0.2">
      <c r="A2990" s="3">
        <v>46065</v>
      </c>
      <c r="B2990" t="s">
        <v>1</v>
      </c>
      <c r="C2990">
        <v>1</v>
      </c>
      <c r="D2990" t="str">
        <f>_xlfn.XLOOKUP(RW_DT_PRODUCTION[[#This Row],[MATERIAL_ID]],DIM_MATERIAL[MATERIAL_ID],DIM_MATERIAL[UOM_AFTER_PROCESS])</f>
        <v>BALE</v>
      </c>
      <c r="E2990">
        <v>61</v>
      </c>
    </row>
    <row r="2991" spans="1:5" x14ac:dyDescent="0.2">
      <c r="A2991" s="3">
        <v>46066</v>
      </c>
      <c r="B2991" t="s">
        <v>1</v>
      </c>
      <c r="C2991">
        <v>1</v>
      </c>
      <c r="D2991" t="str">
        <f>_xlfn.XLOOKUP(RW_DT_PRODUCTION[[#This Row],[MATERIAL_ID]],DIM_MATERIAL[MATERIAL_ID],DIM_MATERIAL[UOM_AFTER_PROCESS])</f>
        <v>BALE</v>
      </c>
      <c r="E2991">
        <v>78</v>
      </c>
    </row>
    <row r="2992" spans="1:5" x14ac:dyDescent="0.2">
      <c r="A2992" s="3">
        <v>46067</v>
      </c>
      <c r="B2992" t="s">
        <v>1</v>
      </c>
      <c r="C2992">
        <v>1</v>
      </c>
      <c r="D2992" t="str">
        <f>_xlfn.XLOOKUP(RW_DT_PRODUCTION[[#This Row],[MATERIAL_ID]],DIM_MATERIAL[MATERIAL_ID],DIM_MATERIAL[UOM_AFTER_PROCESS])</f>
        <v>BALE</v>
      </c>
      <c r="E2992">
        <v>61</v>
      </c>
    </row>
    <row r="2993" spans="1:5" x14ac:dyDescent="0.2">
      <c r="A2993" s="3">
        <v>46067</v>
      </c>
      <c r="B2993" t="s">
        <v>1</v>
      </c>
      <c r="C2993">
        <v>1</v>
      </c>
      <c r="D2993" t="str">
        <f>_xlfn.XLOOKUP(RW_DT_PRODUCTION[[#This Row],[MATERIAL_ID]],DIM_MATERIAL[MATERIAL_ID],DIM_MATERIAL[UOM_AFTER_PROCESS])</f>
        <v>BALE</v>
      </c>
      <c r="E2993">
        <v>81</v>
      </c>
    </row>
    <row r="2994" spans="1:5" x14ac:dyDescent="0.2">
      <c r="A2994" s="3">
        <v>46067</v>
      </c>
      <c r="B2994" t="s">
        <v>1</v>
      </c>
      <c r="C2994">
        <v>1</v>
      </c>
      <c r="D2994" t="str">
        <f>_xlfn.XLOOKUP(RW_DT_PRODUCTION[[#This Row],[MATERIAL_ID]],DIM_MATERIAL[MATERIAL_ID],DIM_MATERIAL[UOM_AFTER_PROCESS])</f>
        <v>BALE</v>
      </c>
      <c r="E2994">
        <v>75</v>
      </c>
    </row>
    <row r="2995" spans="1:5" x14ac:dyDescent="0.2">
      <c r="A2995" s="3">
        <v>46067</v>
      </c>
      <c r="B2995" t="s">
        <v>1</v>
      </c>
      <c r="C2995">
        <v>1</v>
      </c>
      <c r="D2995" t="str">
        <f>_xlfn.XLOOKUP(RW_DT_PRODUCTION[[#This Row],[MATERIAL_ID]],DIM_MATERIAL[MATERIAL_ID],DIM_MATERIAL[UOM_AFTER_PROCESS])</f>
        <v>BALE</v>
      </c>
      <c r="E2995">
        <v>80</v>
      </c>
    </row>
    <row r="2996" spans="1:5" x14ac:dyDescent="0.2">
      <c r="A2996" s="3">
        <v>46069</v>
      </c>
      <c r="B2996" t="s">
        <v>1</v>
      </c>
      <c r="C2996">
        <v>1</v>
      </c>
      <c r="D2996" t="str">
        <f>_xlfn.XLOOKUP(RW_DT_PRODUCTION[[#This Row],[MATERIAL_ID]],DIM_MATERIAL[MATERIAL_ID],DIM_MATERIAL[UOM_AFTER_PROCESS])</f>
        <v>BALE</v>
      </c>
      <c r="E2996">
        <v>62</v>
      </c>
    </row>
    <row r="2997" spans="1:5" x14ac:dyDescent="0.2">
      <c r="A2997" s="3">
        <v>46069</v>
      </c>
      <c r="B2997" t="s">
        <v>1</v>
      </c>
      <c r="C2997">
        <v>1</v>
      </c>
      <c r="D2997" t="str">
        <f>_xlfn.XLOOKUP(RW_DT_PRODUCTION[[#This Row],[MATERIAL_ID]],DIM_MATERIAL[MATERIAL_ID],DIM_MATERIAL[UOM_AFTER_PROCESS])</f>
        <v>BALE</v>
      </c>
      <c r="E2997">
        <v>62</v>
      </c>
    </row>
    <row r="2998" spans="1:5" x14ac:dyDescent="0.2">
      <c r="A2998" s="3">
        <v>46069</v>
      </c>
      <c r="B2998" t="s">
        <v>1</v>
      </c>
      <c r="C2998">
        <v>1</v>
      </c>
      <c r="D2998" t="str">
        <f>_xlfn.XLOOKUP(RW_DT_PRODUCTION[[#This Row],[MATERIAL_ID]],DIM_MATERIAL[MATERIAL_ID],DIM_MATERIAL[UOM_AFTER_PROCESS])</f>
        <v>BALE</v>
      </c>
      <c r="E2998">
        <v>61</v>
      </c>
    </row>
    <row r="2999" spans="1:5" x14ac:dyDescent="0.2">
      <c r="A2999" s="3">
        <v>46069</v>
      </c>
      <c r="B2999" t="s">
        <v>1</v>
      </c>
      <c r="C2999">
        <v>1</v>
      </c>
      <c r="D2999" t="str">
        <f>_xlfn.XLOOKUP(RW_DT_PRODUCTION[[#This Row],[MATERIAL_ID]],DIM_MATERIAL[MATERIAL_ID],DIM_MATERIAL[UOM_AFTER_PROCESS])</f>
        <v>BALE</v>
      </c>
      <c r="E2999">
        <v>65</v>
      </c>
    </row>
    <row r="3000" spans="1:5" x14ac:dyDescent="0.2">
      <c r="A3000" s="3">
        <v>46069</v>
      </c>
      <c r="B3000" t="s">
        <v>1</v>
      </c>
      <c r="C3000">
        <v>1</v>
      </c>
      <c r="D3000" t="str">
        <f>_xlfn.XLOOKUP(RW_DT_PRODUCTION[[#This Row],[MATERIAL_ID]],DIM_MATERIAL[MATERIAL_ID],DIM_MATERIAL[UOM_AFTER_PROCESS])</f>
        <v>BALE</v>
      </c>
      <c r="E3000">
        <v>79</v>
      </c>
    </row>
    <row r="3001" spans="1:5" x14ac:dyDescent="0.2">
      <c r="A3001" s="3">
        <v>46069</v>
      </c>
      <c r="B3001" t="s">
        <v>1</v>
      </c>
      <c r="C3001">
        <v>1</v>
      </c>
      <c r="D3001" t="str">
        <f>_xlfn.XLOOKUP(RW_DT_PRODUCTION[[#This Row],[MATERIAL_ID]],DIM_MATERIAL[MATERIAL_ID],DIM_MATERIAL[UOM_AFTER_PROCESS])</f>
        <v>BALE</v>
      </c>
      <c r="E3001">
        <v>62</v>
      </c>
    </row>
    <row r="3002" spans="1:5" x14ac:dyDescent="0.2">
      <c r="A3002" s="3">
        <v>46069</v>
      </c>
      <c r="B3002" t="s">
        <v>1</v>
      </c>
      <c r="C3002">
        <v>1</v>
      </c>
      <c r="D3002" t="str">
        <f>_xlfn.XLOOKUP(RW_DT_PRODUCTION[[#This Row],[MATERIAL_ID]],DIM_MATERIAL[MATERIAL_ID],DIM_MATERIAL[UOM_AFTER_PROCESS])</f>
        <v>BALE</v>
      </c>
      <c r="E3002">
        <v>63</v>
      </c>
    </row>
    <row r="3003" spans="1:5" x14ac:dyDescent="0.2">
      <c r="A3003" s="3">
        <v>46069</v>
      </c>
      <c r="B3003" t="s">
        <v>1</v>
      </c>
      <c r="C3003">
        <v>1</v>
      </c>
      <c r="D3003" t="str">
        <f>_xlfn.XLOOKUP(RW_DT_PRODUCTION[[#This Row],[MATERIAL_ID]],DIM_MATERIAL[MATERIAL_ID],DIM_MATERIAL[UOM_AFTER_PROCESS])</f>
        <v>BALE</v>
      </c>
      <c r="E3003">
        <v>79</v>
      </c>
    </row>
    <row r="3004" spans="1:5" x14ac:dyDescent="0.2">
      <c r="A3004" s="3">
        <v>46070</v>
      </c>
      <c r="B3004" t="s">
        <v>1</v>
      </c>
      <c r="C3004">
        <v>1</v>
      </c>
      <c r="D3004" t="str">
        <f>_xlfn.XLOOKUP(RW_DT_PRODUCTION[[#This Row],[MATERIAL_ID]],DIM_MATERIAL[MATERIAL_ID],DIM_MATERIAL[UOM_AFTER_PROCESS])</f>
        <v>BALE</v>
      </c>
      <c r="E3004">
        <v>64</v>
      </c>
    </row>
    <row r="3005" spans="1:5" x14ac:dyDescent="0.2">
      <c r="A3005" s="3">
        <v>46070</v>
      </c>
      <c r="B3005" t="s">
        <v>1</v>
      </c>
      <c r="C3005">
        <v>1</v>
      </c>
      <c r="D3005" t="str">
        <f>_xlfn.XLOOKUP(RW_DT_PRODUCTION[[#This Row],[MATERIAL_ID]],DIM_MATERIAL[MATERIAL_ID],DIM_MATERIAL[UOM_AFTER_PROCESS])</f>
        <v>BALE</v>
      </c>
      <c r="E3005">
        <v>63</v>
      </c>
    </row>
    <row r="3006" spans="1:5" x14ac:dyDescent="0.2">
      <c r="A3006" s="3">
        <v>46070</v>
      </c>
      <c r="B3006" t="s">
        <v>1</v>
      </c>
      <c r="C3006">
        <v>1</v>
      </c>
      <c r="D3006" t="str">
        <f>_xlfn.XLOOKUP(RW_DT_PRODUCTION[[#This Row],[MATERIAL_ID]],DIM_MATERIAL[MATERIAL_ID],DIM_MATERIAL[UOM_AFTER_PROCESS])</f>
        <v>BALE</v>
      </c>
      <c r="E3006">
        <v>64</v>
      </c>
    </row>
    <row r="3007" spans="1:5" x14ac:dyDescent="0.2">
      <c r="A3007" s="3">
        <v>46070</v>
      </c>
      <c r="B3007" t="s">
        <v>1</v>
      </c>
      <c r="C3007">
        <v>1</v>
      </c>
      <c r="D3007" t="str">
        <f>_xlfn.XLOOKUP(RW_DT_PRODUCTION[[#This Row],[MATERIAL_ID]],DIM_MATERIAL[MATERIAL_ID],DIM_MATERIAL[UOM_AFTER_PROCESS])</f>
        <v>BALE</v>
      </c>
      <c r="E3007">
        <v>76</v>
      </c>
    </row>
    <row r="3008" spans="1:5" x14ac:dyDescent="0.2">
      <c r="A3008" s="3">
        <v>46071</v>
      </c>
      <c r="B3008" t="s">
        <v>1</v>
      </c>
      <c r="C3008">
        <v>1</v>
      </c>
      <c r="D3008" t="str">
        <f>_xlfn.XLOOKUP(RW_DT_PRODUCTION[[#This Row],[MATERIAL_ID]],DIM_MATERIAL[MATERIAL_ID],DIM_MATERIAL[UOM_AFTER_PROCESS])</f>
        <v>BALE</v>
      </c>
      <c r="E3008">
        <v>70</v>
      </c>
    </row>
    <row r="3009" spans="1:5" x14ac:dyDescent="0.2">
      <c r="A3009" s="3">
        <v>46071</v>
      </c>
      <c r="B3009" t="s">
        <v>1</v>
      </c>
      <c r="C3009">
        <v>1</v>
      </c>
      <c r="D3009" t="str">
        <f>_xlfn.XLOOKUP(RW_DT_PRODUCTION[[#This Row],[MATERIAL_ID]],DIM_MATERIAL[MATERIAL_ID],DIM_MATERIAL[UOM_AFTER_PROCESS])</f>
        <v>BALE</v>
      </c>
      <c r="E3009">
        <v>63</v>
      </c>
    </row>
    <row r="3010" spans="1:5" x14ac:dyDescent="0.2">
      <c r="A3010" s="3">
        <v>46071</v>
      </c>
      <c r="B3010" t="s">
        <v>1</v>
      </c>
      <c r="C3010">
        <v>1</v>
      </c>
      <c r="D3010" t="str">
        <f>_xlfn.XLOOKUP(RW_DT_PRODUCTION[[#This Row],[MATERIAL_ID]],DIM_MATERIAL[MATERIAL_ID],DIM_MATERIAL[UOM_AFTER_PROCESS])</f>
        <v>BALE</v>
      </c>
      <c r="E3010">
        <v>78</v>
      </c>
    </row>
    <row r="3011" spans="1:5" x14ac:dyDescent="0.2">
      <c r="A3011" s="3">
        <v>46071</v>
      </c>
      <c r="B3011" t="s">
        <v>1</v>
      </c>
      <c r="C3011">
        <v>1</v>
      </c>
      <c r="D3011" t="str">
        <f>_xlfn.XLOOKUP(RW_DT_PRODUCTION[[#This Row],[MATERIAL_ID]],DIM_MATERIAL[MATERIAL_ID],DIM_MATERIAL[UOM_AFTER_PROCESS])</f>
        <v>BALE</v>
      </c>
      <c r="E3011">
        <v>88</v>
      </c>
    </row>
    <row r="3012" spans="1:5" x14ac:dyDescent="0.2">
      <c r="A3012" s="3">
        <v>46071</v>
      </c>
      <c r="B3012" t="s">
        <v>1</v>
      </c>
      <c r="C3012">
        <v>1</v>
      </c>
      <c r="D3012" t="str">
        <f>_xlfn.XLOOKUP(RW_DT_PRODUCTION[[#This Row],[MATERIAL_ID]],DIM_MATERIAL[MATERIAL_ID],DIM_MATERIAL[UOM_AFTER_PROCESS])</f>
        <v>BALE</v>
      </c>
      <c r="E3012">
        <v>77</v>
      </c>
    </row>
    <row r="3013" spans="1:5" x14ac:dyDescent="0.2">
      <c r="A3013" s="3">
        <v>46071</v>
      </c>
      <c r="B3013" t="s">
        <v>1</v>
      </c>
      <c r="C3013">
        <v>1</v>
      </c>
      <c r="D3013" t="str">
        <f>_xlfn.XLOOKUP(RW_DT_PRODUCTION[[#This Row],[MATERIAL_ID]],DIM_MATERIAL[MATERIAL_ID],DIM_MATERIAL[UOM_AFTER_PROCESS])</f>
        <v>BALE</v>
      </c>
      <c r="E3013">
        <v>74</v>
      </c>
    </row>
    <row r="3014" spans="1:5" x14ac:dyDescent="0.2">
      <c r="A3014" s="3">
        <v>46071</v>
      </c>
      <c r="B3014" t="s">
        <v>1</v>
      </c>
      <c r="C3014">
        <v>1</v>
      </c>
      <c r="D3014" t="str">
        <f>_xlfn.XLOOKUP(RW_DT_PRODUCTION[[#This Row],[MATERIAL_ID]],DIM_MATERIAL[MATERIAL_ID],DIM_MATERIAL[UOM_AFTER_PROCESS])</f>
        <v>BALE</v>
      </c>
      <c r="E3014">
        <v>88</v>
      </c>
    </row>
    <row r="3015" spans="1:5" x14ac:dyDescent="0.2">
      <c r="A3015" s="3">
        <v>46071</v>
      </c>
      <c r="B3015" t="s">
        <v>1</v>
      </c>
      <c r="C3015">
        <v>1</v>
      </c>
      <c r="D3015" t="str">
        <f>_xlfn.XLOOKUP(RW_DT_PRODUCTION[[#This Row],[MATERIAL_ID]],DIM_MATERIAL[MATERIAL_ID],DIM_MATERIAL[UOM_AFTER_PROCESS])</f>
        <v>BALE</v>
      </c>
      <c r="E3015">
        <v>61</v>
      </c>
    </row>
    <row r="3016" spans="1:5" x14ac:dyDescent="0.2">
      <c r="A3016" s="3">
        <v>46072</v>
      </c>
      <c r="B3016" t="s">
        <v>1</v>
      </c>
      <c r="C3016">
        <v>1</v>
      </c>
      <c r="D3016" t="str">
        <f>_xlfn.XLOOKUP(RW_DT_PRODUCTION[[#This Row],[MATERIAL_ID]],DIM_MATERIAL[MATERIAL_ID],DIM_MATERIAL[UOM_AFTER_PROCESS])</f>
        <v>BALE</v>
      </c>
      <c r="E3016">
        <v>60</v>
      </c>
    </row>
    <row r="3017" spans="1:5" x14ac:dyDescent="0.2">
      <c r="A3017" s="3">
        <v>46072</v>
      </c>
      <c r="B3017" t="s">
        <v>1</v>
      </c>
      <c r="C3017">
        <v>1</v>
      </c>
      <c r="D3017" t="str">
        <f>_xlfn.XLOOKUP(RW_DT_PRODUCTION[[#This Row],[MATERIAL_ID]],DIM_MATERIAL[MATERIAL_ID],DIM_MATERIAL[UOM_AFTER_PROCESS])</f>
        <v>BALE</v>
      </c>
      <c r="E3017">
        <v>75</v>
      </c>
    </row>
    <row r="3018" spans="1:5" x14ac:dyDescent="0.2">
      <c r="A3018" s="3">
        <v>46072</v>
      </c>
      <c r="B3018" t="s">
        <v>1</v>
      </c>
      <c r="C3018">
        <v>1</v>
      </c>
      <c r="D3018" t="str">
        <f>_xlfn.XLOOKUP(RW_DT_PRODUCTION[[#This Row],[MATERIAL_ID]],DIM_MATERIAL[MATERIAL_ID],DIM_MATERIAL[UOM_AFTER_PROCESS])</f>
        <v>BALE</v>
      </c>
      <c r="E3018">
        <v>66</v>
      </c>
    </row>
    <row r="3019" spans="1:5" x14ac:dyDescent="0.2">
      <c r="A3019" s="3">
        <v>46072</v>
      </c>
      <c r="B3019" t="s">
        <v>1</v>
      </c>
      <c r="C3019">
        <v>1</v>
      </c>
      <c r="D3019" t="str">
        <f>_xlfn.XLOOKUP(RW_DT_PRODUCTION[[#This Row],[MATERIAL_ID]],DIM_MATERIAL[MATERIAL_ID],DIM_MATERIAL[UOM_AFTER_PROCESS])</f>
        <v>BALE</v>
      </c>
      <c r="E3019">
        <v>79</v>
      </c>
    </row>
    <row r="3020" spans="1:5" x14ac:dyDescent="0.2">
      <c r="A3020" s="3">
        <v>46072</v>
      </c>
      <c r="B3020" t="s">
        <v>1</v>
      </c>
      <c r="C3020">
        <v>1</v>
      </c>
      <c r="D3020" t="str">
        <f>_xlfn.XLOOKUP(RW_DT_PRODUCTION[[#This Row],[MATERIAL_ID]],DIM_MATERIAL[MATERIAL_ID],DIM_MATERIAL[UOM_AFTER_PROCESS])</f>
        <v>BALE</v>
      </c>
      <c r="E3020">
        <v>61</v>
      </c>
    </row>
    <row r="3021" spans="1:5" x14ac:dyDescent="0.2">
      <c r="A3021" s="3">
        <v>46072</v>
      </c>
      <c r="B3021" t="s">
        <v>1</v>
      </c>
      <c r="C3021">
        <v>1</v>
      </c>
      <c r="D3021" t="str">
        <f>_xlfn.XLOOKUP(RW_DT_PRODUCTION[[#This Row],[MATERIAL_ID]],DIM_MATERIAL[MATERIAL_ID],DIM_MATERIAL[UOM_AFTER_PROCESS])</f>
        <v>BALE</v>
      </c>
      <c r="E3021">
        <v>86</v>
      </c>
    </row>
    <row r="3022" spans="1:5" x14ac:dyDescent="0.2">
      <c r="A3022" s="3">
        <v>46073</v>
      </c>
      <c r="B3022" t="s">
        <v>1</v>
      </c>
      <c r="C3022">
        <v>1</v>
      </c>
      <c r="D3022" t="str">
        <f>_xlfn.XLOOKUP(RW_DT_PRODUCTION[[#This Row],[MATERIAL_ID]],DIM_MATERIAL[MATERIAL_ID],DIM_MATERIAL[UOM_AFTER_PROCESS])</f>
        <v>BALE</v>
      </c>
      <c r="E3022">
        <v>60</v>
      </c>
    </row>
    <row r="3023" spans="1:5" x14ac:dyDescent="0.2">
      <c r="A3023" s="3">
        <v>46073</v>
      </c>
      <c r="B3023" t="s">
        <v>1</v>
      </c>
      <c r="C3023">
        <v>1</v>
      </c>
      <c r="D3023" t="str">
        <f>_xlfn.XLOOKUP(RW_DT_PRODUCTION[[#This Row],[MATERIAL_ID]],DIM_MATERIAL[MATERIAL_ID],DIM_MATERIAL[UOM_AFTER_PROCESS])</f>
        <v>BALE</v>
      </c>
      <c r="E3023">
        <v>67</v>
      </c>
    </row>
    <row r="3024" spans="1:5" x14ac:dyDescent="0.2">
      <c r="A3024" s="3">
        <v>46073</v>
      </c>
      <c r="B3024" t="s">
        <v>1</v>
      </c>
      <c r="C3024">
        <v>1</v>
      </c>
      <c r="D3024" t="str">
        <f>_xlfn.XLOOKUP(RW_DT_PRODUCTION[[#This Row],[MATERIAL_ID]],DIM_MATERIAL[MATERIAL_ID],DIM_MATERIAL[UOM_AFTER_PROCESS])</f>
        <v>BALE</v>
      </c>
      <c r="E3024">
        <v>65</v>
      </c>
    </row>
    <row r="3025" spans="1:5" x14ac:dyDescent="0.2">
      <c r="A3025" s="3">
        <v>46073</v>
      </c>
      <c r="B3025" t="s">
        <v>1</v>
      </c>
      <c r="C3025">
        <v>1</v>
      </c>
      <c r="D3025" t="str">
        <f>_xlfn.XLOOKUP(RW_DT_PRODUCTION[[#This Row],[MATERIAL_ID]],DIM_MATERIAL[MATERIAL_ID],DIM_MATERIAL[UOM_AFTER_PROCESS])</f>
        <v>BALE</v>
      </c>
      <c r="E3025">
        <v>81</v>
      </c>
    </row>
    <row r="3026" spans="1:5" x14ac:dyDescent="0.2">
      <c r="A3026" s="3">
        <v>46073</v>
      </c>
      <c r="B3026" t="s">
        <v>1</v>
      </c>
      <c r="C3026">
        <v>1</v>
      </c>
      <c r="D3026" t="str">
        <f>_xlfn.XLOOKUP(RW_DT_PRODUCTION[[#This Row],[MATERIAL_ID]],DIM_MATERIAL[MATERIAL_ID],DIM_MATERIAL[UOM_AFTER_PROCESS])</f>
        <v>BALE</v>
      </c>
      <c r="E3026">
        <v>70</v>
      </c>
    </row>
    <row r="3027" spans="1:5" x14ac:dyDescent="0.2">
      <c r="A3027" s="3">
        <v>46073</v>
      </c>
      <c r="B3027" t="s">
        <v>1</v>
      </c>
      <c r="C3027">
        <v>1</v>
      </c>
      <c r="D3027" t="str">
        <f>_xlfn.XLOOKUP(RW_DT_PRODUCTION[[#This Row],[MATERIAL_ID]],DIM_MATERIAL[MATERIAL_ID],DIM_MATERIAL[UOM_AFTER_PROCESS])</f>
        <v>BALE</v>
      </c>
      <c r="E3027">
        <v>83</v>
      </c>
    </row>
    <row r="3028" spans="1:5" x14ac:dyDescent="0.2">
      <c r="A3028" s="3">
        <v>46073</v>
      </c>
      <c r="B3028" t="s">
        <v>1</v>
      </c>
      <c r="C3028">
        <v>1</v>
      </c>
      <c r="D3028" t="str">
        <f>_xlfn.XLOOKUP(RW_DT_PRODUCTION[[#This Row],[MATERIAL_ID]],DIM_MATERIAL[MATERIAL_ID],DIM_MATERIAL[UOM_AFTER_PROCESS])</f>
        <v>BALE</v>
      </c>
      <c r="E3028">
        <v>87</v>
      </c>
    </row>
    <row r="3029" spans="1:5" x14ac:dyDescent="0.2">
      <c r="A3029" s="3">
        <v>46073</v>
      </c>
      <c r="B3029" t="s">
        <v>2</v>
      </c>
      <c r="C3029">
        <v>1</v>
      </c>
      <c r="D3029" t="str">
        <f>_xlfn.XLOOKUP(RW_DT_PRODUCTION[[#This Row],[MATERIAL_ID]],DIM_MATERIAL[MATERIAL_ID],DIM_MATERIAL[UOM_AFTER_PROCESS])</f>
        <v>BAG</v>
      </c>
      <c r="E3029">
        <v>22</v>
      </c>
    </row>
    <row r="3030" spans="1:5" x14ac:dyDescent="0.2">
      <c r="A3030" s="3">
        <v>46073</v>
      </c>
      <c r="B3030" t="s">
        <v>2</v>
      </c>
      <c r="C3030">
        <v>1</v>
      </c>
      <c r="D3030" t="str">
        <f>_xlfn.XLOOKUP(RW_DT_PRODUCTION[[#This Row],[MATERIAL_ID]],DIM_MATERIAL[MATERIAL_ID],DIM_MATERIAL[UOM_AFTER_PROCESS])</f>
        <v>BAG</v>
      </c>
      <c r="E3030">
        <v>22</v>
      </c>
    </row>
    <row r="3031" spans="1:5" x14ac:dyDescent="0.2">
      <c r="A3031" s="3">
        <v>46073</v>
      </c>
      <c r="B3031" t="s">
        <v>2</v>
      </c>
      <c r="C3031">
        <v>1</v>
      </c>
      <c r="D3031" t="str">
        <f>_xlfn.XLOOKUP(RW_DT_PRODUCTION[[#This Row],[MATERIAL_ID]],DIM_MATERIAL[MATERIAL_ID],DIM_MATERIAL[UOM_AFTER_PROCESS])</f>
        <v>BAG</v>
      </c>
      <c r="E3031">
        <v>22</v>
      </c>
    </row>
    <row r="3032" spans="1:5" x14ac:dyDescent="0.2">
      <c r="A3032" s="3">
        <v>46073</v>
      </c>
      <c r="B3032" t="s">
        <v>2</v>
      </c>
      <c r="C3032">
        <v>1</v>
      </c>
      <c r="D3032" t="str">
        <f>_xlfn.XLOOKUP(RW_DT_PRODUCTION[[#This Row],[MATERIAL_ID]],DIM_MATERIAL[MATERIAL_ID],DIM_MATERIAL[UOM_AFTER_PROCESS])</f>
        <v>BAG</v>
      </c>
      <c r="E3032">
        <v>22</v>
      </c>
    </row>
    <row r="3033" spans="1:5" x14ac:dyDescent="0.2">
      <c r="A3033" s="3">
        <v>46073</v>
      </c>
      <c r="B3033" t="s">
        <v>2</v>
      </c>
      <c r="C3033">
        <v>1</v>
      </c>
      <c r="D3033" t="str">
        <f>_xlfn.XLOOKUP(RW_DT_PRODUCTION[[#This Row],[MATERIAL_ID]],DIM_MATERIAL[MATERIAL_ID],DIM_MATERIAL[UOM_AFTER_PROCESS])</f>
        <v>BAG</v>
      </c>
      <c r="E3033">
        <v>22</v>
      </c>
    </row>
    <row r="3034" spans="1:5" x14ac:dyDescent="0.2">
      <c r="A3034" s="3">
        <v>46074</v>
      </c>
      <c r="B3034" t="s">
        <v>1</v>
      </c>
      <c r="C3034">
        <v>1</v>
      </c>
      <c r="D3034" t="str">
        <f>_xlfn.XLOOKUP(RW_DT_PRODUCTION[[#This Row],[MATERIAL_ID]],DIM_MATERIAL[MATERIAL_ID],DIM_MATERIAL[UOM_AFTER_PROCESS])</f>
        <v>BALE</v>
      </c>
      <c r="E3034">
        <v>66</v>
      </c>
    </row>
    <row r="3035" spans="1:5" x14ac:dyDescent="0.2">
      <c r="A3035" s="3">
        <v>46074</v>
      </c>
      <c r="B3035" t="s">
        <v>1</v>
      </c>
      <c r="C3035">
        <v>1</v>
      </c>
      <c r="D3035" t="str">
        <f>_xlfn.XLOOKUP(RW_DT_PRODUCTION[[#This Row],[MATERIAL_ID]],DIM_MATERIAL[MATERIAL_ID],DIM_MATERIAL[UOM_AFTER_PROCESS])</f>
        <v>BALE</v>
      </c>
      <c r="E3035">
        <v>62</v>
      </c>
    </row>
    <row r="3036" spans="1:5" x14ac:dyDescent="0.2">
      <c r="A3036" s="3">
        <v>46074</v>
      </c>
      <c r="B3036" t="s">
        <v>1</v>
      </c>
      <c r="C3036">
        <v>1</v>
      </c>
      <c r="D3036" t="str">
        <f>_xlfn.XLOOKUP(RW_DT_PRODUCTION[[#This Row],[MATERIAL_ID]],DIM_MATERIAL[MATERIAL_ID],DIM_MATERIAL[UOM_AFTER_PROCESS])</f>
        <v>BALE</v>
      </c>
      <c r="E3036">
        <v>68</v>
      </c>
    </row>
    <row r="3037" spans="1:5" x14ac:dyDescent="0.2">
      <c r="A3037" s="3">
        <v>46074</v>
      </c>
      <c r="B3037" t="s">
        <v>1</v>
      </c>
      <c r="C3037">
        <v>1</v>
      </c>
      <c r="D3037" t="str">
        <f>_xlfn.XLOOKUP(RW_DT_PRODUCTION[[#This Row],[MATERIAL_ID]],DIM_MATERIAL[MATERIAL_ID],DIM_MATERIAL[UOM_AFTER_PROCESS])</f>
        <v>BALE</v>
      </c>
      <c r="E3037">
        <v>83</v>
      </c>
    </row>
    <row r="3038" spans="1:5" x14ac:dyDescent="0.2">
      <c r="A3038" s="3">
        <v>46076</v>
      </c>
      <c r="B3038" t="s">
        <v>1</v>
      </c>
      <c r="C3038">
        <v>1</v>
      </c>
      <c r="D3038" t="str">
        <f>_xlfn.XLOOKUP(RW_DT_PRODUCTION[[#This Row],[MATERIAL_ID]],DIM_MATERIAL[MATERIAL_ID],DIM_MATERIAL[UOM_AFTER_PROCESS])</f>
        <v>BALE</v>
      </c>
      <c r="E3038">
        <v>86</v>
      </c>
    </row>
    <row r="3039" spans="1:5" x14ac:dyDescent="0.2">
      <c r="A3039" s="3">
        <v>46076</v>
      </c>
      <c r="B3039" t="s">
        <v>1</v>
      </c>
      <c r="C3039">
        <v>1</v>
      </c>
      <c r="D3039" t="str">
        <f>_xlfn.XLOOKUP(RW_DT_PRODUCTION[[#This Row],[MATERIAL_ID]],DIM_MATERIAL[MATERIAL_ID],DIM_MATERIAL[UOM_AFTER_PROCESS])</f>
        <v>BALE</v>
      </c>
      <c r="E3039">
        <v>81</v>
      </c>
    </row>
    <row r="3040" spans="1:5" x14ac:dyDescent="0.2">
      <c r="A3040" s="3">
        <v>46076</v>
      </c>
      <c r="B3040" t="s">
        <v>1</v>
      </c>
      <c r="C3040">
        <v>1</v>
      </c>
      <c r="D3040" t="str">
        <f>_xlfn.XLOOKUP(RW_DT_PRODUCTION[[#This Row],[MATERIAL_ID]],DIM_MATERIAL[MATERIAL_ID],DIM_MATERIAL[UOM_AFTER_PROCESS])</f>
        <v>BALE</v>
      </c>
      <c r="E3040">
        <v>86</v>
      </c>
    </row>
    <row r="3041" spans="1:5" x14ac:dyDescent="0.2">
      <c r="A3041" s="3">
        <v>46076</v>
      </c>
      <c r="B3041" t="s">
        <v>1</v>
      </c>
      <c r="C3041">
        <v>1</v>
      </c>
      <c r="D3041" t="str">
        <f>_xlfn.XLOOKUP(RW_DT_PRODUCTION[[#This Row],[MATERIAL_ID]],DIM_MATERIAL[MATERIAL_ID],DIM_MATERIAL[UOM_AFTER_PROCESS])</f>
        <v>BALE</v>
      </c>
      <c r="E3041">
        <v>85</v>
      </c>
    </row>
    <row r="3042" spans="1:5" x14ac:dyDescent="0.2">
      <c r="A3042" s="3">
        <v>46077</v>
      </c>
      <c r="B3042" t="s">
        <v>1</v>
      </c>
      <c r="C3042">
        <v>1</v>
      </c>
      <c r="D3042" t="str">
        <f>_xlfn.XLOOKUP(RW_DT_PRODUCTION[[#This Row],[MATERIAL_ID]],DIM_MATERIAL[MATERIAL_ID],DIM_MATERIAL[UOM_AFTER_PROCESS])</f>
        <v>BALE</v>
      </c>
      <c r="E3042">
        <v>65</v>
      </c>
    </row>
    <row r="3043" spans="1:5" x14ac:dyDescent="0.2">
      <c r="A3043" s="3">
        <v>46077</v>
      </c>
      <c r="B3043" t="s">
        <v>1</v>
      </c>
      <c r="C3043">
        <v>1</v>
      </c>
      <c r="D3043" t="str">
        <f>_xlfn.XLOOKUP(RW_DT_PRODUCTION[[#This Row],[MATERIAL_ID]],DIM_MATERIAL[MATERIAL_ID],DIM_MATERIAL[UOM_AFTER_PROCESS])</f>
        <v>BALE</v>
      </c>
      <c r="E3043">
        <v>75</v>
      </c>
    </row>
    <row r="3044" spans="1:5" x14ac:dyDescent="0.2">
      <c r="A3044" s="3">
        <v>46077</v>
      </c>
      <c r="B3044" t="s">
        <v>1</v>
      </c>
      <c r="C3044">
        <v>1</v>
      </c>
      <c r="D3044" t="str">
        <f>_xlfn.XLOOKUP(RW_DT_PRODUCTION[[#This Row],[MATERIAL_ID]],DIM_MATERIAL[MATERIAL_ID],DIM_MATERIAL[UOM_AFTER_PROCESS])</f>
        <v>BALE</v>
      </c>
      <c r="E3044">
        <v>73</v>
      </c>
    </row>
    <row r="3045" spans="1:5" x14ac:dyDescent="0.2">
      <c r="A3045" s="3">
        <v>46077</v>
      </c>
      <c r="B3045" t="s">
        <v>1</v>
      </c>
      <c r="C3045">
        <v>1</v>
      </c>
      <c r="D3045" t="str">
        <f>_xlfn.XLOOKUP(RW_DT_PRODUCTION[[#This Row],[MATERIAL_ID]],DIM_MATERIAL[MATERIAL_ID],DIM_MATERIAL[UOM_AFTER_PROCESS])</f>
        <v>BALE</v>
      </c>
      <c r="E3045">
        <v>73</v>
      </c>
    </row>
    <row r="3046" spans="1:5" x14ac:dyDescent="0.2">
      <c r="A3046" s="3">
        <v>46077</v>
      </c>
      <c r="B3046" t="s">
        <v>1</v>
      </c>
      <c r="C3046">
        <v>1</v>
      </c>
      <c r="D3046" t="str">
        <f>_xlfn.XLOOKUP(RW_DT_PRODUCTION[[#This Row],[MATERIAL_ID]],DIM_MATERIAL[MATERIAL_ID],DIM_MATERIAL[UOM_AFTER_PROCESS])</f>
        <v>BALE</v>
      </c>
      <c r="E3046">
        <v>76</v>
      </c>
    </row>
    <row r="3047" spans="1:5" x14ac:dyDescent="0.2">
      <c r="A3047" s="3">
        <v>46077</v>
      </c>
      <c r="B3047" t="s">
        <v>1</v>
      </c>
      <c r="C3047">
        <v>1</v>
      </c>
      <c r="D3047" t="str">
        <f>_xlfn.XLOOKUP(RW_DT_PRODUCTION[[#This Row],[MATERIAL_ID]],DIM_MATERIAL[MATERIAL_ID],DIM_MATERIAL[UOM_AFTER_PROCESS])</f>
        <v>BALE</v>
      </c>
      <c r="E3047">
        <v>70</v>
      </c>
    </row>
    <row r="3048" spans="1:5" x14ac:dyDescent="0.2">
      <c r="A3048" s="3">
        <v>46077</v>
      </c>
      <c r="B3048" t="s">
        <v>1</v>
      </c>
      <c r="C3048">
        <v>1</v>
      </c>
      <c r="D3048" t="str">
        <f>_xlfn.XLOOKUP(RW_DT_PRODUCTION[[#This Row],[MATERIAL_ID]],DIM_MATERIAL[MATERIAL_ID],DIM_MATERIAL[UOM_AFTER_PROCESS])</f>
        <v>BALE</v>
      </c>
      <c r="E3048">
        <v>78</v>
      </c>
    </row>
    <row r="3049" spans="1:5" x14ac:dyDescent="0.2">
      <c r="A3049" s="3">
        <v>46077</v>
      </c>
      <c r="B3049" t="s">
        <v>1</v>
      </c>
      <c r="C3049">
        <v>1</v>
      </c>
      <c r="D3049" t="str">
        <f>_xlfn.XLOOKUP(RW_DT_PRODUCTION[[#This Row],[MATERIAL_ID]],DIM_MATERIAL[MATERIAL_ID],DIM_MATERIAL[UOM_AFTER_PROCESS])</f>
        <v>BALE</v>
      </c>
      <c r="E3049">
        <v>77</v>
      </c>
    </row>
    <row r="3050" spans="1:5" x14ac:dyDescent="0.2">
      <c r="A3050" s="3">
        <v>46077</v>
      </c>
      <c r="B3050" t="s">
        <v>1</v>
      </c>
      <c r="C3050">
        <v>1</v>
      </c>
      <c r="D3050" t="str">
        <f>_xlfn.XLOOKUP(RW_DT_PRODUCTION[[#This Row],[MATERIAL_ID]],DIM_MATERIAL[MATERIAL_ID],DIM_MATERIAL[UOM_AFTER_PROCESS])</f>
        <v>BALE</v>
      </c>
      <c r="E3050">
        <v>88</v>
      </c>
    </row>
    <row r="3051" spans="1:5" x14ac:dyDescent="0.2">
      <c r="A3051" s="3">
        <v>46077</v>
      </c>
      <c r="B3051" t="s">
        <v>1</v>
      </c>
      <c r="C3051">
        <v>1</v>
      </c>
      <c r="D3051" t="str">
        <f>_xlfn.XLOOKUP(RW_DT_PRODUCTION[[#This Row],[MATERIAL_ID]],DIM_MATERIAL[MATERIAL_ID],DIM_MATERIAL[UOM_AFTER_PROCESS])</f>
        <v>BALE</v>
      </c>
      <c r="E3051">
        <v>60</v>
      </c>
    </row>
    <row r="3052" spans="1:5" x14ac:dyDescent="0.2">
      <c r="A3052" s="3">
        <v>46079</v>
      </c>
      <c r="B3052" t="s">
        <v>1</v>
      </c>
      <c r="C3052">
        <v>1</v>
      </c>
      <c r="D3052" t="str">
        <f>_xlfn.XLOOKUP(RW_DT_PRODUCTION[[#This Row],[MATERIAL_ID]],DIM_MATERIAL[MATERIAL_ID],DIM_MATERIAL[UOM_AFTER_PROCESS])</f>
        <v>BALE</v>
      </c>
      <c r="E3052">
        <v>88</v>
      </c>
    </row>
    <row r="3053" spans="1:5" x14ac:dyDescent="0.2">
      <c r="A3053" s="3">
        <v>46079</v>
      </c>
      <c r="B3053" t="s">
        <v>1</v>
      </c>
      <c r="C3053">
        <v>1</v>
      </c>
      <c r="D3053" t="str">
        <f>_xlfn.XLOOKUP(RW_DT_PRODUCTION[[#This Row],[MATERIAL_ID]],DIM_MATERIAL[MATERIAL_ID],DIM_MATERIAL[UOM_AFTER_PROCESS])</f>
        <v>BALE</v>
      </c>
      <c r="E3053">
        <v>86</v>
      </c>
    </row>
    <row r="3054" spans="1:5" x14ac:dyDescent="0.2">
      <c r="A3054" s="3">
        <v>46079</v>
      </c>
      <c r="B3054" t="s">
        <v>1</v>
      </c>
      <c r="C3054">
        <v>1</v>
      </c>
      <c r="D3054" t="str">
        <f>_xlfn.XLOOKUP(RW_DT_PRODUCTION[[#This Row],[MATERIAL_ID]],DIM_MATERIAL[MATERIAL_ID],DIM_MATERIAL[UOM_AFTER_PROCESS])</f>
        <v>BALE</v>
      </c>
      <c r="E3054">
        <v>65</v>
      </c>
    </row>
    <row r="3055" spans="1:5" x14ac:dyDescent="0.2">
      <c r="A3055" s="3">
        <v>46080</v>
      </c>
      <c r="B3055" t="s">
        <v>1</v>
      </c>
      <c r="C3055">
        <v>1</v>
      </c>
      <c r="D3055" t="str">
        <f>_xlfn.XLOOKUP(RW_DT_PRODUCTION[[#This Row],[MATERIAL_ID]],DIM_MATERIAL[MATERIAL_ID],DIM_MATERIAL[UOM_AFTER_PROCESS])</f>
        <v>BALE</v>
      </c>
      <c r="E3055">
        <v>61</v>
      </c>
    </row>
    <row r="3056" spans="1:5" x14ac:dyDescent="0.2">
      <c r="A3056" s="3">
        <v>46080</v>
      </c>
      <c r="B3056" t="s">
        <v>1</v>
      </c>
      <c r="C3056">
        <v>1</v>
      </c>
      <c r="D3056" t="str">
        <f>_xlfn.XLOOKUP(RW_DT_PRODUCTION[[#This Row],[MATERIAL_ID]],DIM_MATERIAL[MATERIAL_ID],DIM_MATERIAL[UOM_AFTER_PROCESS])</f>
        <v>BALE</v>
      </c>
      <c r="E3056">
        <v>73</v>
      </c>
    </row>
    <row r="3057" spans="1:5" x14ac:dyDescent="0.2">
      <c r="A3057" s="3">
        <v>46080</v>
      </c>
      <c r="B3057" t="s">
        <v>1</v>
      </c>
      <c r="C3057">
        <v>1</v>
      </c>
      <c r="D3057" t="str">
        <f>_xlfn.XLOOKUP(RW_DT_PRODUCTION[[#This Row],[MATERIAL_ID]],DIM_MATERIAL[MATERIAL_ID],DIM_MATERIAL[UOM_AFTER_PROCESS])</f>
        <v>BALE</v>
      </c>
      <c r="E3057">
        <v>79</v>
      </c>
    </row>
    <row r="3058" spans="1:5" x14ac:dyDescent="0.2">
      <c r="A3058" s="3">
        <v>46080</v>
      </c>
      <c r="B3058" t="s">
        <v>1</v>
      </c>
      <c r="C3058">
        <v>1</v>
      </c>
      <c r="D3058" t="str">
        <f>_xlfn.XLOOKUP(RW_DT_PRODUCTION[[#This Row],[MATERIAL_ID]],DIM_MATERIAL[MATERIAL_ID],DIM_MATERIAL[UOM_AFTER_PROCESS])</f>
        <v>BALE</v>
      </c>
      <c r="E3058">
        <v>74</v>
      </c>
    </row>
    <row r="3059" spans="1:5" x14ac:dyDescent="0.2">
      <c r="A3059" s="3">
        <v>46080</v>
      </c>
      <c r="B3059" t="s">
        <v>1</v>
      </c>
      <c r="C3059">
        <v>1</v>
      </c>
      <c r="D3059" t="str">
        <f>_xlfn.XLOOKUP(RW_DT_PRODUCTION[[#This Row],[MATERIAL_ID]],DIM_MATERIAL[MATERIAL_ID],DIM_MATERIAL[UOM_AFTER_PROCESS])</f>
        <v>BALE</v>
      </c>
      <c r="E3059">
        <v>83</v>
      </c>
    </row>
    <row r="3060" spans="1:5" x14ac:dyDescent="0.2">
      <c r="A3060" s="3">
        <v>46080</v>
      </c>
      <c r="B3060" t="s">
        <v>1</v>
      </c>
      <c r="C3060">
        <v>1</v>
      </c>
      <c r="D3060" t="str">
        <f>_xlfn.XLOOKUP(RW_DT_PRODUCTION[[#This Row],[MATERIAL_ID]],DIM_MATERIAL[MATERIAL_ID],DIM_MATERIAL[UOM_AFTER_PROCESS])</f>
        <v>BALE</v>
      </c>
      <c r="E3060">
        <v>60</v>
      </c>
    </row>
    <row r="3061" spans="1:5" x14ac:dyDescent="0.2">
      <c r="A3061" s="3">
        <v>46080</v>
      </c>
      <c r="B3061" t="s">
        <v>1</v>
      </c>
      <c r="C3061">
        <v>1</v>
      </c>
      <c r="D3061" t="str">
        <f>_xlfn.XLOOKUP(RW_DT_PRODUCTION[[#This Row],[MATERIAL_ID]],DIM_MATERIAL[MATERIAL_ID],DIM_MATERIAL[UOM_AFTER_PROCESS])</f>
        <v>BALE</v>
      </c>
      <c r="E3061">
        <v>65</v>
      </c>
    </row>
    <row r="3062" spans="1:5" x14ac:dyDescent="0.2">
      <c r="A3062" s="3">
        <v>46080</v>
      </c>
      <c r="B3062" t="s">
        <v>2</v>
      </c>
      <c r="C3062">
        <v>1</v>
      </c>
      <c r="D3062" t="str">
        <f>_xlfn.XLOOKUP(RW_DT_PRODUCTION[[#This Row],[MATERIAL_ID]],DIM_MATERIAL[MATERIAL_ID],DIM_MATERIAL[UOM_AFTER_PROCESS])</f>
        <v>BAG</v>
      </c>
      <c r="E3062">
        <v>22</v>
      </c>
    </row>
    <row r="3063" spans="1:5" x14ac:dyDescent="0.2">
      <c r="A3063" s="3">
        <v>46080</v>
      </c>
      <c r="B3063" t="s">
        <v>2</v>
      </c>
      <c r="C3063">
        <v>1</v>
      </c>
      <c r="D3063" t="str">
        <f>_xlfn.XLOOKUP(RW_DT_PRODUCTION[[#This Row],[MATERIAL_ID]],DIM_MATERIAL[MATERIAL_ID],DIM_MATERIAL[UOM_AFTER_PROCESS])</f>
        <v>BAG</v>
      </c>
      <c r="E3063">
        <v>22</v>
      </c>
    </row>
    <row r="3064" spans="1:5" x14ac:dyDescent="0.2">
      <c r="A3064" s="3">
        <v>46080</v>
      </c>
      <c r="B3064" t="s">
        <v>2</v>
      </c>
      <c r="C3064">
        <v>1</v>
      </c>
      <c r="D3064" t="str">
        <f>_xlfn.XLOOKUP(RW_DT_PRODUCTION[[#This Row],[MATERIAL_ID]],DIM_MATERIAL[MATERIAL_ID],DIM_MATERIAL[UOM_AFTER_PROCESS])</f>
        <v>BAG</v>
      </c>
      <c r="E3064">
        <v>22</v>
      </c>
    </row>
    <row r="3065" spans="1:5" x14ac:dyDescent="0.2">
      <c r="A3065" s="3">
        <v>46080</v>
      </c>
      <c r="B3065" t="s">
        <v>2</v>
      </c>
      <c r="C3065">
        <v>1</v>
      </c>
      <c r="D3065" t="str">
        <f>_xlfn.XLOOKUP(RW_DT_PRODUCTION[[#This Row],[MATERIAL_ID]],DIM_MATERIAL[MATERIAL_ID],DIM_MATERIAL[UOM_AFTER_PROCESS])</f>
        <v>BAG</v>
      </c>
      <c r="E3065">
        <v>22</v>
      </c>
    </row>
    <row r="3066" spans="1:5" x14ac:dyDescent="0.2">
      <c r="A3066" s="3">
        <v>46081</v>
      </c>
      <c r="B3066" t="s">
        <v>580</v>
      </c>
      <c r="C3066">
        <v>1</v>
      </c>
      <c r="D3066" t="str">
        <f>_xlfn.XLOOKUP(RW_DT_PRODUCTION[[#This Row],[MATERIAL_ID]],DIM_MATERIAL[MATERIAL_ID],DIM_MATERIAL[UOM_AFTER_PROCESS])</f>
        <v>BAG</v>
      </c>
      <c r="E3066">
        <v>60</v>
      </c>
    </row>
    <row r="3067" spans="1:5" x14ac:dyDescent="0.2">
      <c r="A3067" s="3">
        <v>46081</v>
      </c>
      <c r="B3067" t="s">
        <v>576</v>
      </c>
      <c r="C3067">
        <v>1</v>
      </c>
      <c r="D3067" t="str">
        <f>_xlfn.XLOOKUP(RW_DT_PRODUCTION[[#This Row],[MATERIAL_ID]],DIM_MATERIAL[MATERIAL_ID],DIM_MATERIAL[UOM_AFTER_PROCESS])</f>
        <v>BAG</v>
      </c>
      <c r="E3067">
        <v>13</v>
      </c>
    </row>
    <row r="3068" spans="1:5" x14ac:dyDescent="0.2">
      <c r="A3068" s="3">
        <v>46081</v>
      </c>
      <c r="B3068" t="s">
        <v>577</v>
      </c>
      <c r="C3068">
        <v>1</v>
      </c>
      <c r="D3068" t="str">
        <f>_xlfn.XLOOKUP(RW_DT_PRODUCTION[[#This Row],[MATERIAL_ID]],DIM_MATERIAL[MATERIAL_ID],DIM_MATERIAL[UOM_AFTER_PROCESS])</f>
        <v>BAG</v>
      </c>
      <c r="E3068">
        <v>13</v>
      </c>
    </row>
    <row r="3069" spans="1:5" x14ac:dyDescent="0.2">
      <c r="A3069" s="3">
        <v>46081</v>
      </c>
      <c r="B3069" t="s">
        <v>577</v>
      </c>
      <c r="C3069">
        <v>1</v>
      </c>
      <c r="D3069" t="str">
        <f>_xlfn.XLOOKUP(RW_DT_PRODUCTION[[#This Row],[MATERIAL_ID]],DIM_MATERIAL[MATERIAL_ID],DIM_MATERIAL[UOM_AFTER_PROCESS])</f>
        <v>BAG</v>
      </c>
      <c r="E3069">
        <v>13</v>
      </c>
    </row>
    <row r="3070" spans="1:5" x14ac:dyDescent="0.2">
      <c r="A3070" s="3">
        <v>46081</v>
      </c>
      <c r="B3070" t="s">
        <v>577</v>
      </c>
      <c r="C3070">
        <v>1</v>
      </c>
      <c r="D3070" t="str">
        <f>_xlfn.XLOOKUP(RW_DT_PRODUCTION[[#This Row],[MATERIAL_ID]],DIM_MATERIAL[MATERIAL_ID],DIM_MATERIAL[UOM_AFTER_PROCESS])</f>
        <v>BAG</v>
      </c>
      <c r="E3070">
        <v>13</v>
      </c>
    </row>
    <row r="3071" spans="1:5" x14ac:dyDescent="0.2">
      <c r="A3071" s="3">
        <v>46081</v>
      </c>
      <c r="B3071" t="s">
        <v>577</v>
      </c>
      <c r="C3071">
        <v>1</v>
      </c>
      <c r="D3071" t="str">
        <f>_xlfn.XLOOKUP(RW_DT_PRODUCTION[[#This Row],[MATERIAL_ID]],DIM_MATERIAL[MATERIAL_ID],DIM_MATERIAL[UOM_AFTER_PROCESS])</f>
        <v>BAG</v>
      </c>
      <c r="E3071">
        <v>13</v>
      </c>
    </row>
    <row r="3072" spans="1:5" x14ac:dyDescent="0.2">
      <c r="A3072" s="3">
        <v>46081</v>
      </c>
      <c r="B3072" t="s">
        <v>577</v>
      </c>
      <c r="C3072">
        <v>1</v>
      </c>
      <c r="D3072" t="str">
        <f>_xlfn.XLOOKUP(RW_DT_PRODUCTION[[#This Row],[MATERIAL_ID]],DIM_MATERIAL[MATERIAL_ID],DIM_MATERIAL[UOM_AFTER_PROCESS])</f>
        <v>BAG</v>
      </c>
      <c r="E3072">
        <v>13</v>
      </c>
    </row>
    <row r="3073" spans="1:5" x14ac:dyDescent="0.2">
      <c r="A3073" s="3">
        <v>46081</v>
      </c>
      <c r="B3073" t="s">
        <v>577</v>
      </c>
      <c r="C3073">
        <v>1</v>
      </c>
      <c r="D3073" t="str">
        <f>_xlfn.XLOOKUP(RW_DT_PRODUCTION[[#This Row],[MATERIAL_ID]],DIM_MATERIAL[MATERIAL_ID],DIM_MATERIAL[UOM_AFTER_PROCESS])</f>
        <v>BAG</v>
      </c>
      <c r="E3073">
        <v>13</v>
      </c>
    </row>
    <row r="3074" spans="1:5" x14ac:dyDescent="0.2">
      <c r="A3074" s="3">
        <v>46081</v>
      </c>
      <c r="B3074" t="s">
        <v>577</v>
      </c>
      <c r="C3074">
        <v>1</v>
      </c>
      <c r="D3074" t="str">
        <f>_xlfn.XLOOKUP(RW_DT_PRODUCTION[[#This Row],[MATERIAL_ID]],DIM_MATERIAL[MATERIAL_ID],DIM_MATERIAL[UOM_AFTER_PROCESS])</f>
        <v>BAG</v>
      </c>
      <c r="E3074">
        <v>13</v>
      </c>
    </row>
    <row r="3075" spans="1:5" x14ac:dyDescent="0.2">
      <c r="A3075" s="3">
        <v>46081</v>
      </c>
      <c r="B3075" t="s">
        <v>577</v>
      </c>
      <c r="C3075">
        <v>1</v>
      </c>
      <c r="D3075" t="str">
        <f>_xlfn.XLOOKUP(RW_DT_PRODUCTION[[#This Row],[MATERIAL_ID]],DIM_MATERIAL[MATERIAL_ID],DIM_MATERIAL[UOM_AFTER_PROCESS])</f>
        <v>BAG</v>
      </c>
      <c r="E3075">
        <v>13</v>
      </c>
    </row>
    <row r="3076" spans="1:5" x14ac:dyDescent="0.2">
      <c r="A3076" s="3">
        <v>46081</v>
      </c>
      <c r="B3076" t="s">
        <v>577</v>
      </c>
      <c r="C3076">
        <v>1</v>
      </c>
      <c r="D3076" t="str">
        <f>_xlfn.XLOOKUP(RW_DT_PRODUCTION[[#This Row],[MATERIAL_ID]],DIM_MATERIAL[MATERIAL_ID],DIM_MATERIAL[UOM_AFTER_PROCESS])</f>
        <v>BAG</v>
      </c>
      <c r="E3076">
        <v>13</v>
      </c>
    </row>
    <row r="3077" spans="1:5" x14ac:dyDescent="0.2">
      <c r="A3077" s="3">
        <v>46081</v>
      </c>
      <c r="B3077" t="s">
        <v>577</v>
      </c>
      <c r="C3077">
        <v>1</v>
      </c>
      <c r="D3077" t="str">
        <f>_xlfn.XLOOKUP(RW_DT_PRODUCTION[[#This Row],[MATERIAL_ID]],DIM_MATERIAL[MATERIAL_ID],DIM_MATERIAL[UOM_AFTER_PROCESS])</f>
        <v>BAG</v>
      </c>
      <c r="E3077">
        <v>13</v>
      </c>
    </row>
    <row r="3078" spans="1:5" x14ac:dyDescent="0.2">
      <c r="A3078" s="3">
        <v>46081</v>
      </c>
      <c r="B3078" t="s">
        <v>577</v>
      </c>
      <c r="C3078">
        <v>1</v>
      </c>
      <c r="D3078" t="str">
        <f>_xlfn.XLOOKUP(RW_DT_PRODUCTION[[#This Row],[MATERIAL_ID]],DIM_MATERIAL[MATERIAL_ID],DIM_MATERIAL[UOM_AFTER_PROCESS])</f>
        <v>BAG</v>
      </c>
      <c r="E3078">
        <v>13</v>
      </c>
    </row>
    <row r="3079" spans="1:5" x14ac:dyDescent="0.2">
      <c r="A3079" s="3">
        <v>46081</v>
      </c>
      <c r="B3079" t="s">
        <v>577</v>
      </c>
      <c r="C3079">
        <v>1</v>
      </c>
      <c r="D3079" t="str">
        <f>_xlfn.XLOOKUP(RW_DT_PRODUCTION[[#This Row],[MATERIAL_ID]],DIM_MATERIAL[MATERIAL_ID],DIM_MATERIAL[UOM_AFTER_PROCESS])</f>
        <v>BAG</v>
      </c>
      <c r="E3079">
        <v>13</v>
      </c>
    </row>
    <row r="3080" spans="1:5" x14ac:dyDescent="0.2">
      <c r="A3080" s="3">
        <v>46082</v>
      </c>
      <c r="B3080" t="s">
        <v>577</v>
      </c>
      <c r="C3080">
        <v>1</v>
      </c>
      <c r="D3080" t="str">
        <f>_xlfn.XLOOKUP(RW_DT_PRODUCTION[[#This Row],[MATERIAL_ID]],DIM_MATERIAL[MATERIAL_ID],DIM_MATERIAL[UOM_AFTER_PROCESS])</f>
        <v>BAG</v>
      </c>
      <c r="E3080">
        <v>13</v>
      </c>
    </row>
    <row r="3081" spans="1:5" x14ac:dyDescent="0.2">
      <c r="A3081" s="3">
        <v>46082</v>
      </c>
      <c r="B3081" t="s">
        <v>577</v>
      </c>
      <c r="C3081">
        <v>1</v>
      </c>
      <c r="D3081" t="str">
        <f>_xlfn.XLOOKUP(RW_DT_PRODUCTION[[#This Row],[MATERIAL_ID]],DIM_MATERIAL[MATERIAL_ID],DIM_MATERIAL[UOM_AFTER_PROCESS])</f>
        <v>BAG</v>
      </c>
      <c r="E3081">
        <v>13</v>
      </c>
    </row>
    <row r="3082" spans="1:5" x14ac:dyDescent="0.2">
      <c r="A3082" s="3">
        <v>46082</v>
      </c>
      <c r="B3082" t="s">
        <v>577</v>
      </c>
      <c r="C3082">
        <v>1</v>
      </c>
      <c r="D3082" t="str">
        <f>_xlfn.XLOOKUP(RW_DT_PRODUCTION[[#This Row],[MATERIAL_ID]],DIM_MATERIAL[MATERIAL_ID],DIM_MATERIAL[UOM_AFTER_PROCESS])</f>
        <v>BAG</v>
      </c>
      <c r="E3082">
        <v>13</v>
      </c>
    </row>
    <row r="3083" spans="1:5" x14ac:dyDescent="0.2">
      <c r="A3083" s="3">
        <v>46082</v>
      </c>
      <c r="B3083" t="s">
        <v>577</v>
      </c>
      <c r="C3083">
        <v>1</v>
      </c>
      <c r="D3083" t="str">
        <f>_xlfn.XLOOKUP(RW_DT_PRODUCTION[[#This Row],[MATERIAL_ID]],DIM_MATERIAL[MATERIAL_ID],DIM_MATERIAL[UOM_AFTER_PROCESS])</f>
        <v>BAG</v>
      </c>
      <c r="E3083">
        <v>13</v>
      </c>
    </row>
    <row r="3084" spans="1:5" x14ac:dyDescent="0.2">
      <c r="A3084" s="3">
        <v>46082</v>
      </c>
      <c r="B3084" t="s">
        <v>577</v>
      </c>
      <c r="C3084">
        <v>1</v>
      </c>
      <c r="D3084" t="str">
        <f>_xlfn.XLOOKUP(RW_DT_PRODUCTION[[#This Row],[MATERIAL_ID]],DIM_MATERIAL[MATERIAL_ID],DIM_MATERIAL[UOM_AFTER_PROCESS])</f>
        <v>BAG</v>
      </c>
      <c r="E3084">
        <v>13</v>
      </c>
    </row>
    <row r="3085" spans="1:5" x14ac:dyDescent="0.2">
      <c r="A3085" s="3">
        <v>46082</v>
      </c>
      <c r="B3085" t="s">
        <v>577</v>
      </c>
      <c r="C3085">
        <v>1</v>
      </c>
      <c r="D3085" t="str">
        <f>_xlfn.XLOOKUP(RW_DT_PRODUCTION[[#This Row],[MATERIAL_ID]],DIM_MATERIAL[MATERIAL_ID],DIM_MATERIAL[UOM_AFTER_PROCESS])</f>
        <v>BAG</v>
      </c>
      <c r="E3085">
        <v>13</v>
      </c>
    </row>
    <row r="3086" spans="1:5" x14ac:dyDescent="0.2">
      <c r="A3086" s="3">
        <v>46082</v>
      </c>
      <c r="B3086" t="s">
        <v>577</v>
      </c>
      <c r="C3086">
        <v>1</v>
      </c>
      <c r="D3086" t="str">
        <f>_xlfn.XLOOKUP(RW_DT_PRODUCTION[[#This Row],[MATERIAL_ID]],DIM_MATERIAL[MATERIAL_ID],DIM_MATERIAL[UOM_AFTER_PROCESS])</f>
        <v>BAG</v>
      </c>
      <c r="E3086">
        <v>13</v>
      </c>
    </row>
    <row r="3087" spans="1:5" x14ac:dyDescent="0.2">
      <c r="A3087" s="3">
        <v>46082</v>
      </c>
      <c r="B3087" t="s">
        <v>577</v>
      </c>
      <c r="C3087">
        <v>1</v>
      </c>
      <c r="D3087" t="str">
        <f>_xlfn.XLOOKUP(RW_DT_PRODUCTION[[#This Row],[MATERIAL_ID]],DIM_MATERIAL[MATERIAL_ID],DIM_MATERIAL[UOM_AFTER_PROCESS])</f>
        <v>BAG</v>
      </c>
      <c r="E3087">
        <v>13</v>
      </c>
    </row>
    <row r="3088" spans="1:5" x14ac:dyDescent="0.2">
      <c r="A3088" s="3">
        <v>46082</v>
      </c>
      <c r="B3088" t="s">
        <v>577</v>
      </c>
      <c r="C3088">
        <v>1</v>
      </c>
      <c r="D3088" t="str">
        <f>_xlfn.XLOOKUP(RW_DT_PRODUCTION[[#This Row],[MATERIAL_ID]],DIM_MATERIAL[MATERIAL_ID],DIM_MATERIAL[UOM_AFTER_PROCESS])</f>
        <v>BAG</v>
      </c>
      <c r="E3088">
        <v>13</v>
      </c>
    </row>
    <row r="3089" spans="1:5" x14ac:dyDescent="0.2">
      <c r="A3089" s="3">
        <v>46082</v>
      </c>
      <c r="B3089" t="s">
        <v>577</v>
      </c>
      <c r="C3089">
        <v>1</v>
      </c>
      <c r="D3089" t="str">
        <f>_xlfn.XLOOKUP(RW_DT_PRODUCTION[[#This Row],[MATERIAL_ID]],DIM_MATERIAL[MATERIAL_ID],DIM_MATERIAL[UOM_AFTER_PROCESS])</f>
        <v>BAG</v>
      </c>
      <c r="E3089">
        <v>13</v>
      </c>
    </row>
    <row r="3090" spans="1:5" x14ac:dyDescent="0.2">
      <c r="A3090" s="3">
        <v>46082</v>
      </c>
      <c r="B3090" t="s">
        <v>577</v>
      </c>
      <c r="C3090">
        <v>1</v>
      </c>
      <c r="D3090" t="str">
        <f>_xlfn.XLOOKUP(RW_DT_PRODUCTION[[#This Row],[MATERIAL_ID]],DIM_MATERIAL[MATERIAL_ID],DIM_MATERIAL[UOM_AFTER_PROCESS])</f>
        <v>BAG</v>
      </c>
      <c r="E3090">
        <v>13</v>
      </c>
    </row>
    <row r="3091" spans="1:5" x14ac:dyDescent="0.2">
      <c r="A3091" s="3">
        <v>46082</v>
      </c>
      <c r="B3091" t="s">
        <v>577</v>
      </c>
      <c r="C3091">
        <v>1</v>
      </c>
      <c r="D3091" t="str">
        <f>_xlfn.XLOOKUP(RW_DT_PRODUCTION[[#This Row],[MATERIAL_ID]],DIM_MATERIAL[MATERIAL_ID],DIM_MATERIAL[UOM_AFTER_PROCESS])</f>
        <v>BAG</v>
      </c>
      <c r="E3091">
        <v>13</v>
      </c>
    </row>
    <row r="3092" spans="1:5" x14ac:dyDescent="0.2">
      <c r="A3092" s="3">
        <v>46082</v>
      </c>
      <c r="B3092" t="s">
        <v>577</v>
      </c>
      <c r="C3092">
        <v>1</v>
      </c>
      <c r="D3092" t="str">
        <f>_xlfn.XLOOKUP(RW_DT_PRODUCTION[[#This Row],[MATERIAL_ID]],DIM_MATERIAL[MATERIAL_ID],DIM_MATERIAL[UOM_AFTER_PROCESS])</f>
        <v>BAG</v>
      </c>
      <c r="E3092">
        <v>13</v>
      </c>
    </row>
    <row r="3093" spans="1:5" x14ac:dyDescent="0.2">
      <c r="A3093" s="3">
        <v>46083</v>
      </c>
      <c r="B3093" t="s">
        <v>1</v>
      </c>
      <c r="C3093">
        <v>1</v>
      </c>
      <c r="D3093" t="str">
        <f>_xlfn.XLOOKUP(RW_DT_PRODUCTION[[#This Row],[MATERIAL_ID]],DIM_MATERIAL[MATERIAL_ID],DIM_MATERIAL[UOM_AFTER_PROCESS])</f>
        <v>BALE</v>
      </c>
      <c r="E3093">
        <v>82</v>
      </c>
    </row>
    <row r="3094" spans="1:5" x14ac:dyDescent="0.2">
      <c r="A3094" s="3">
        <v>46083</v>
      </c>
      <c r="B3094" t="s">
        <v>1</v>
      </c>
      <c r="C3094">
        <v>1</v>
      </c>
      <c r="D3094" t="str">
        <f>_xlfn.XLOOKUP(RW_DT_PRODUCTION[[#This Row],[MATERIAL_ID]],DIM_MATERIAL[MATERIAL_ID],DIM_MATERIAL[UOM_AFTER_PROCESS])</f>
        <v>BALE</v>
      </c>
      <c r="E3094">
        <v>81</v>
      </c>
    </row>
    <row r="3095" spans="1:5" x14ac:dyDescent="0.2">
      <c r="A3095" s="3">
        <v>46083</v>
      </c>
      <c r="B3095" t="s">
        <v>1</v>
      </c>
      <c r="C3095">
        <v>1</v>
      </c>
      <c r="D3095" t="str">
        <f>_xlfn.XLOOKUP(RW_DT_PRODUCTION[[#This Row],[MATERIAL_ID]],DIM_MATERIAL[MATERIAL_ID],DIM_MATERIAL[UOM_AFTER_PROCESS])</f>
        <v>BALE</v>
      </c>
      <c r="E3095">
        <v>62</v>
      </c>
    </row>
    <row r="3096" spans="1:5" x14ac:dyDescent="0.2">
      <c r="A3096" s="3">
        <v>46083</v>
      </c>
      <c r="B3096" t="s">
        <v>1</v>
      </c>
      <c r="C3096">
        <v>1</v>
      </c>
      <c r="D3096" t="str">
        <f>_xlfn.XLOOKUP(RW_DT_PRODUCTION[[#This Row],[MATERIAL_ID]],DIM_MATERIAL[MATERIAL_ID],DIM_MATERIAL[UOM_AFTER_PROCESS])</f>
        <v>BALE</v>
      </c>
      <c r="E3096">
        <v>62</v>
      </c>
    </row>
    <row r="3097" spans="1:5" x14ac:dyDescent="0.2">
      <c r="A3097" s="3">
        <v>46084</v>
      </c>
      <c r="B3097" t="s">
        <v>1</v>
      </c>
      <c r="C3097">
        <v>1</v>
      </c>
      <c r="D3097" t="str">
        <f>_xlfn.XLOOKUP(RW_DT_PRODUCTION[[#This Row],[MATERIAL_ID]],DIM_MATERIAL[MATERIAL_ID],DIM_MATERIAL[UOM_AFTER_PROCESS])</f>
        <v>BALE</v>
      </c>
      <c r="E3097">
        <v>70</v>
      </c>
    </row>
    <row r="3098" spans="1:5" x14ac:dyDescent="0.2">
      <c r="A3098" s="3">
        <v>46084</v>
      </c>
      <c r="B3098" t="s">
        <v>1</v>
      </c>
      <c r="C3098">
        <v>1</v>
      </c>
      <c r="D3098" t="str">
        <f>_xlfn.XLOOKUP(RW_DT_PRODUCTION[[#This Row],[MATERIAL_ID]],DIM_MATERIAL[MATERIAL_ID],DIM_MATERIAL[UOM_AFTER_PROCESS])</f>
        <v>BALE</v>
      </c>
      <c r="E3098">
        <v>76</v>
      </c>
    </row>
    <row r="3099" spans="1:5" x14ac:dyDescent="0.2">
      <c r="A3099" s="3">
        <v>46084</v>
      </c>
      <c r="B3099" t="s">
        <v>1</v>
      </c>
      <c r="C3099">
        <v>1</v>
      </c>
      <c r="D3099" t="str">
        <f>_xlfn.XLOOKUP(RW_DT_PRODUCTION[[#This Row],[MATERIAL_ID]],DIM_MATERIAL[MATERIAL_ID],DIM_MATERIAL[UOM_AFTER_PROCESS])</f>
        <v>BALE</v>
      </c>
      <c r="E3099">
        <v>74</v>
      </c>
    </row>
    <row r="3100" spans="1:5" x14ac:dyDescent="0.2">
      <c r="A3100" s="3">
        <v>46084</v>
      </c>
      <c r="B3100" t="s">
        <v>1</v>
      </c>
      <c r="C3100">
        <v>1</v>
      </c>
      <c r="D3100" t="str">
        <f>_xlfn.XLOOKUP(RW_DT_PRODUCTION[[#This Row],[MATERIAL_ID]],DIM_MATERIAL[MATERIAL_ID],DIM_MATERIAL[UOM_AFTER_PROCESS])</f>
        <v>BALE</v>
      </c>
      <c r="E3100">
        <v>63</v>
      </c>
    </row>
    <row r="3101" spans="1:5" x14ac:dyDescent="0.2">
      <c r="A3101" s="3">
        <v>46084</v>
      </c>
      <c r="B3101" t="s">
        <v>1</v>
      </c>
      <c r="C3101">
        <v>1</v>
      </c>
      <c r="D3101" t="str">
        <f>_xlfn.XLOOKUP(RW_DT_PRODUCTION[[#This Row],[MATERIAL_ID]],DIM_MATERIAL[MATERIAL_ID],DIM_MATERIAL[UOM_AFTER_PROCESS])</f>
        <v>BALE</v>
      </c>
      <c r="E3101">
        <v>82</v>
      </c>
    </row>
    <row r="3102" spans="1:5" x14ac:dyDescent="0.2">
      <c r="A3102" s="3">
        <v>46084</v>
      </c>
      <c r="B3102" t="s">
        <v>1</v>
      </c>
      <c r="C3102">
        <v>1</v>
      </c>
      <c r="D3102" t="str">
        <f>_xlfn.XLOOKUP(RW_DT_PRODUCTION[[#This Row],[MATERIAL_ID]],DIM_MATERIAL[MATERIAL_ID],DIM_MATERIAL[UOM_AFTER_PROCESS])</f>
        <v>BALE</v>
      </c>
      <c r="E3102">
        <v>86</v>
      </c>
    </row>
  </sheetData>
  <phoneticPr fontId="4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9E9176-C72E-440B-96BC-60F7EB4E5AA2}">
          <x14:formula1>
            <xm:f>DIM_MATERIAL!$A$2:$A$6</xm:f>
          </x14:formula1>
          <xm:sqref>B2:B3102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B7A374-C9C2-407D-8038-9DDF64CEE9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DIM_MATERIAL</vt:lpstr>
      <vt:lpstr>DIM_SOURCE</vt:lpstr>
      <vt:lpstr>DIM_CLIENT</vt:lpstr>
      <vt:lpstr>DIM_COST_TYPE</vt:lpstr>
      <vt:lpstr>FACT_SHIPMENT</vt:lpstr>
      <vt:lpstr>FACT_OPERATIONAL_COST</vt:lpstr>
      <vt:lpstr>FACT_PRODUCTION</vt:lpstr>
      <vt:lpstr>FACT_COLLECTION</vt:lpstr>
      <vt:lpstr>RAW_DATA_COL</vt:lpstr>
      <vt:lpstr>RW_DT_PRODUCTION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WEB-W09</dc:creator>
  <cp:lastModifiedBy>Grace Kaya</cp:lastModifiedBy>
  <dcterms:created xsi:type="dcterms:W3CDTF">2026-03-13T17:26:22Z</dcterms:created>
  <dcterms:modified xsi:type="dcterms:W3CDTF">2026-03-31T12:35:20Z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410cc7acfa494862b7f02af3efec9647</vt:lpwstr>
  </property>
</Properties>
</file>